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Nsadaqa\Desktop\abdelrahman files\"/>
    </mc:Choice>
  </mc:AlternateContent>
  <xr:revisionPtr revIDLastSave="0" documentId="13_ncr:1_{F2CF1EE1-84EE-4430-88D4-81BA575349AB}" xr6:coauthVersionLast="47" xr6:coauthVersionMax="47" xr10:uidLastSave="{00000000-0000-0000-0000-000000000000}"/>
  <bookViews>
    <workbookView xWindow="-110" yWindow="-110" windowWidth="19420" windowHeight="10420" xr2:uid="{00000000-000D-0000-FFFF-FFFF00000000}"/>
  </bookViews>
  <sheets>
    <sheet name="Dashboard" sheetId="6" r:id="rId1"/>
    <sheet name="Answer" sheetId="8" r:id="rId2"/>
    <sheet name="calc" sheetId="7" r:id="rId3"/>
    <sheet name="Deals" sheetId="4" r:id="rId4"/>
    <sheet name="Customers" sheetId="3" r:id="rId5"/>
    <sheet name="Deals_Raw" sheetId="2" r:id="rId6"/>
    <sheet name="Rejected_Data" sheetId="5" r:id="rId7"/>
  </sheets>
  <definedNames>
    <definedName name="NativeTimeline_ApplicationDate">#N/A</definedName>
    <definedName name="Slicer_Branch">#N/A</definedName>
    <definedName name="Slicer_Channel">#N/A</definedName>
    <definedName name="Slicer_Product">#N/A</definedName>
    <definedName name="Slicer_Segment">#N/A</definedName>
  </definedNames>
  <calcPr calcId="191029"/>
  <pivotCaches>
    <pivotCache cacheId="13"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4" l="1"/>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O2" i="4"/>
  <c r="P2" i="4" s="1" a="1"/>
  <c r="P2" i="4" s="1"/>
  <c r="O3" i="4"/>
  <c r="P3" i="4" s="1" a="1"/>
  <c r="P3" i="4" s="1"/>
  <c r="O4" i="4"/>
  <c r="P4" i="4" s="1" a="1"/>
  <c r="P4" i="4" s="1"/>
  <c r="O5" i="4"/>
  <c r="P5" i="4" s="1" a="1"/>
  <c r="P5" i="4" s="1"/>
  <c r="O6" i="4"/>
  <c r="P6" i="4" s="1" a="1"/>
  <c r="P6" i="4" s="1"/>
  <c r="O7" i="4"/>
  <c r="P7" i="4" s="1" a="1"/>
  <c r="P7" i="4" s="1"/>
  <c r="O8" i="4"/>
  <c r="P8" i="4" s="1" a="1"/>
  <c r="P8" i="4" s="1"/>
  <c r="O9" i="4"/>
  <c r="P9" i="4" s="1" a="1"/>
  <c r="P9" i="4" s="1"/>
  <c r="O10" i="4"/>
  <c r="P10" i="4" s="1" a="1"/>
  <c r="P10" i="4" s="1"/>
  <c r="O11" i="4"/>
  <c r="P11" i="4" s="1" a="1"/>
  <c r="P11" i="4" s="1"/>
  <c r="O12" i="4"/>
  <c r="P12" i="4" s="1" a="1"/>
  <c r="P12" i="4" s="1"/>
  <c r="O13" i="4"/>
  <c r="P13" i="4" s="1" a="1"/>
  <c r="P13" i="4" s="1"/>
  <c r="O14" i="4"/>
  <c r="P14" i="4" s="1" a="1"/>
  <c r="P14" i="4" s="1"/>
  <c r="O15" i="4"/>
  <c r="P15" i="4" s="1" a="1"/>
  <c r="P15" i="4" s="1"/>
  <c r="O16" i="4"/>
  <c r="P16" i="4" s="1" a="1"/>
  <c r="P16" i="4" s="1"/>
  <c r="O17" i="4"/>
  <c r="P17" i="4" s="1" a="1"/>
  <c r="P17" i="4" s="1"/>
  <c r="O18" i="4"/>
  <c r="P18" i="4" s="1" a="1"/>
  <c r="P18" i="4" s="1"/>
  <c r="O19" i="4"/>
  <c r="P19" i="4" s="1" a="1"/>
  <c r="P19" i="4" s="1"/>
  <c r="O20" i="4"/>
  <c r="P20" i="4" s="1" a="1"/>
  <c r="P20" i="4" s="1"/>
  <c r="O21" i="4"/>
  <c r="P21" i="4" s="1" a="1"/>
  <c r="P21" i="4" s="1"/>
  <c r="O22" i="4"/>
  <c r="P22" i="4" s="1" a="1"/>
  <c r="P22" i="4" s="1"/>
  <c r="O23" i="4"/>
  <c r="P23" i="4" s="1" a="1"/>
  <c r="P23" i="4" s="1"/>
  <c r="O24" i="4"/>
  <c r="P24" i="4" s="1" a="1"/>
  <c r="P24" i="4" s="1"/>
  <c r="O25" i="4"/>
  <c r="P25" i="4" s="1" a="1"/>
  <c r="P25" i="4" s="1"/>
  <c r="O26" i="4"/>
  <c r="P26" i="4" s="1" a="1"/>
  <c r="P26" i="4" s="1"/>
  <c r="O27" i="4"/>
  <c r="P27" i="4" s="1" a="1"/>
  <c r="P27" i="4" s="1"/>
  <c r="O28" i="4"/>
  <c r="P28" i="4" s="1" a="1"/>
  <c r="P28" i="4" s="1"/>
  <c r="O29" i="4"/>
  <c r="P29" i="4" s="1" a="1"/>
  <c r="P29" i="4" s="1"/>
  <c r="O30" i="4"/>
  <c r="P30" i="4" s="1" a="1"/>
  <c r="P30" i="4" s="1"/>
  <c r="O31" i="4"/>
  <c r="P31" i="4" s="1" a="1"/>
  <c r="P31" i="4" s="1"/>
  <c r="O32" i="4"/>
  <c r="P32" i="4" s="1" a="1"/>
  <c r="P32" i="4" s="1"/>
  <c r="O33" i="4"/>
  <c r="P33" i="4" s="1" a="1"/>
  <c r="P33" i="4" s="1"/>
  <c r="O34" i="4"/>
  <c r="P34" i="4" s="1" a="1"/>
  <c r="P34" i="4" s="1"/>
  <c r="O35" i="4"/>
  <c r="P35" i="4" s="1" a="1"/>
  <c r="P35" i="4" s="1"/>
  <c r="O36" i="4"/>
  <c r="P36" i="4" s="1" a="1"/>
  <c r="P36" i="4" s="1"/>
  <c r="O37" i="4"/>
  <c r="P37" i="4" s="1" a="1"/>
  <c r="P37" i="4" s="1"/>
  <c r="O38" i="4"/>
  <c r="P38" i="4" s="1" a="1"/>
  <c r="P38" i="4" s="1"/>
  <c r="O39" i="4"/>
  <c r="P39" i="4" s="1" a="1"/>
  <c r="P39" i="4" s="1"/>
  <c r="O40" i="4"/>
  <c r="P40" i="4" s="1" a="1"/>
  <c r="P40" i="4" s="1"/>
  <c r="O41" i="4"/>
  <c r="P41" i="4" s="1" a="1"/>
  <c r="P41" i="4" s="1"/>
  <c r="O42" i="4"/>
  <c r="P42" i="4" s="1" a="1"/>
  <c r="P42" i="4" s="1"/>
  <c r="O43" i="4"/>
  <c r="P43" i="4" s="1" a="1"/>
  <c r="P43" i="4" s="1"/>
  <c r="O44" i="4"/>
  <c r="P44" i="4" s="1" a="1"/>
  <c r="P44" i="4" s="1"/>
  <c r="O45" i="4"/>
  <c r="P45" i="4" s="1" a="1"/>
  <c r="P45" i="4" s="1"/>
  <c r="O46" i="4"/>
  <c r="P46" i="4" s="1" a="1"/>
  <c r="P46" i="4" s="1"/>
  <c r="O47" i="4"/>
  <c r="P47" i="4" s="1" a="1"/>
  <c r="P47" i="4" s="1"/>
  <c r="O48" i="4"/>
  <c r="P48" i="4" s="1" a="1"/>
  <c r="P48" i="4" s="1"/>
  <c r="O49" i="4"/>
  <c r="P49" i="4" s="1" a="1"/>
  <c r="P49" i="4" s="1"/>
  <c r="O50" i="4"/>
  <c r="P50" i="4" s="1" a="1"/>
  <c r="P50" i="4" s="1"/>
  <c r="O51" i="4"/>
  <c r="P51" i="4" s="1" a="1"/>
  <c r="P51" i="4" s="1"/>
  <c r="O52" i="4"/>
  <c r="P52" i="4" s="1" a="1"/>
  <c r="P52" i="4" s="1"/>
  <c r="O53" i="4"/>
  <c r="P53" i="4" s="1" a="1"/>
  <c r="P53" i="4" s="1"/>
  <c r="O54" i="4"/>
  <c r="P54" i="4" s="1" a="1"/>
  <c r="P54" i="4" s="1"/>
  <c r="O55" i="4"/>
  <c r="P55" i="4" s="1" a="1"/>
  <c r="P55" i="4" s="1"/>
  <c r="O56" i="4"/>
  <c r="P56" i="4" s="1" a="1"/>
  <c r="P56" i="4" s="1"/>
  <c r="O57" i="4"/>
  <c r="P57" i="4" s="1" a="1"/>
  <c r="P57" i="4" s="1"/>
  <c r="O58" i="4"/>
  <c r="P58" i="4" s="1" a="1"/>
  <c r="P58" i="4" s="1"/>
  <c r="O59" i="4"/>
  <c r="P59" i="4" s="1" a="1"/>
  <c r="P59" i="4" s="1"/>
  <c r="O60" i="4"/>
  <c r="P60" i="4" s="1" a="1"/>
  <c r="P60" i="4" s="1"/>
  <c r="O61" i="4"/>
  <c r="P61" i="4" s="1" a="1"/>
  <c r="P61" i="4" s="1"/>
  <c r="O62" i="4"/>
  <c r="P62" i="4" s="1" a="1"/>
  <c r="P62" i="4" s="1"/>
  <c r="O63" i="4"/>
  <c r="P63" i="4" s="1" a="1"/>
  <c r="P63" i="4" s="1"/>
  <c r="O64" i="4"/>
  <c r="P64" i="4" s="1" a="1"/>
  <c r="P64" i="4" s="1"/>
  <c r="O65" i="4"/>
  <c r="P65" i="4" s="1" a="1"/>
  <c r="P65" i="4" s="1"/>
  <c r="O66" i="4"/>
  <c r="P66" i="4" s="1" a="1"/>
  <c r="P66" i="4" s="1"/>
  <c r="O67" i="4"/>
  <c r="P67" i="4" s="1" a="1"/>
  <c r="P67" i="4" s="1"/>
  <c r="O68" i="4"/>
  <c r="P68" i="4" s="1" a="1"/>
  <c r="P68" i="4" s="1"/>
  <c r="O69" i="4"/>
  <c r="P69" i="4" s="1" a="1"/>
  <c r="P69" i="4" s="1"/>
  <c r="O70" i="4"/>
  <c r="P70" i="4" s="1" a="1"/>
  <c r="P70" i="4" s="1"/>
  <c r="O71" i="4"/>
  <c r="P71" i="4" s="1" a="1"/>
  <c r="P71" i="4" s="1"/>
  <c r="O72" i="4"/>
  <c r="P72" i="4" s="1" a="1"/>
  <c r="P72" i="4" s="1"/>
  <c r="O73" i="4"/>
  <c r="P73" i="4" s="1" a="1"/>
  <c r="P73" i="4" s="1"/>
  <c r="O74" i="4"/>
  <c r="P74" i="4" s="1" a="1"/>
  <c r="P74" i="4" s="1"/>
  <c r="O75" i="4"/>
  <c r="P75" i="4" s="1" a="1"/>
  <c r="P75" i="4" s="1"/>
  <c r="O76" i="4"/>
  <c r="P76" i="4" s="1" a="1"/>
  <c r="P76" i="4" s="1"/>
  <c r="O77" i="4"/>
  <c r="P77" i="4" s="1" a="1"/>
  <c r="P77" i="4" s="1"/>
  <c r="O78" i="4"/>
  <c r="P78" i="4" s="1" a="1"/>
  <c r="P78" i="4" s="1"/>
  <c r="O79" i="4"/>
  <c r="P79" i="4" s="1" a="1"/>
  <c r="P79" i="4" s="1"/>
  <c r="O80" i="4"/>
  <c r="P80" i="4" s="1" a="1"/>
  <c r="P80" i="4" s="1"/>
  <c r="O81" i="4"/>
  <c r="P81" i="4" s="1" a="1"/>
  <c r="P81" i="4" s="1"/>
  <c r="O82" i="4"/>
  <c r="P82" i="4" s="1" a="1"/>
  <c r="P82" i="4" s="1"/>
  <c r="O83" i="4"/>
  <c r="P83" i="4" s="1" a="1"/>
  <c r="P83" i="4" s="1"/>
  <c r="O84" i="4"/>
  <c r="P84" i="4" s="1" a="1"/>
  <c r="P84" i="4" s="1"/>
  <c r="O85" i="4"/>
  <c r="P85" i="4" s="1" a="1"/>
  <c r="P85" i="4" s="1"/>
  <c r="O86" i="4"/>
  <c r="P86" i="4" s="1" a="1"/>
  <c r="P86" i="4" s="1"/>
  <c r="O87" i="4"/>
  <c r="P87" i="4" s="1" a="1"/>
  <c r="P87" i="4" s="1"/>
  <c r="O88" i="4"/>
  <c r="P88" i="4" s="1" a="1"/>
  <c r="P88" i="4" s="1"/>
  <c r="O89" i="4"/>
  <c r="P89" i="4" s="1" a="1"/>
  <c r="P89" i="4" s="1"/>
  <c r="O90" i="4"/>
  <c r="P90" i="4" s="1" a="1"/>
  <c r="P90" i="4" s="1"/>
  <c r="O91" i="4"/>
  <c r="P91" i="4" s="1" a="1"/>
  <c r="P91" i="4" s="1"/>
  <c r="O92" i="4"/>
  <c r="P92" i="4" s="1" a="1"/>
  <c r="P92" i="4" s="1"/>
  <c r="O93" i="4"/>
  <c r="P93" i="4" s="1" a="1"/>
  <c r="P93" i="4" s="1"/>
  <c r="O94" i="4"/>
  <c r="P94" i="4" s="1" a="1"/>
  <c r="P94" i="4" s="1"/>
  <c r="O95" i="4"/>
  <c r="P95" i="4" s="1" a="1"/>
  <c r="P95" i="4" s="1"/>
  <c r="O96" i="4"/>
  <c r="P96" i="4" s="1" a="1"/>
  <c r="P96" i="4" s="1"/>
  <c r="O97" i="4"/>
  <c r="P97" i="4" s="1" a="1"/>
  <c r="P97" i="4" s="1"/>
  <c r="O98" i="4"/>
  <c r="P98" i="4" s="1" a="1"/>
  <c r="P98" i="4" s="1"/>
  <c r="O99" i="4"/>
  <c r="P99" i="4" s="1" a="1"/>
  <c r="P99" i="4" s="1"/>
  <c r="O100" i="4"/>
  <c r="P100" i="4" s="1" a="1"/>
  <c r="P100" i="4" s="1"/>
  <c r="O101" i="4"/>
  <c r="P101" i="4" s="1" a="1"/>
  <c r="P101" i="4" s="1"/>
  <c r="O102" i="4"/>
  <c r="P102" i="4" s="1" a="1"/>
  <c r="P102" i="4" s="1"/>
  <c r="O103" i="4"/>
  <c r="P103" i="4" s="1" a="1"/>
  <c r="P103" i="4" s="1"/>
  <c r="O104" i="4"/>
  <c r="P104" i="4" s="1" a="1"/>
  <c r="P104" i="4" s="1"/>
  <c r="O105" i="4"/>
  <c r="P105" i="4" s="1" a="1"/>
  <c r="P105" i="4" s="1"/>
  <c r="O106" i="4"/>
  <c r="P106" i="4" s="1" a="1"/>
  <c r="P106" i="4" s="1"/>
  <c r="O107" i="4"/>
  <c r="P107" i="4" s="1" a="1"/>
  <c r="P107" i="4" s="1"/>
  <c r="O108" i="4"/>
  <c r="P108" i="4" s="1" a="1"/>
  <c r="P108" i="4" s="1"/>
  <c r="O109" i="4"/>
  <c r="P109" i="4" s="1" a="1"/>
  <c r="P109" i="4" s="1"/>
  <c r="O110" i="4"/>
  <c r="P110" i="4" s="1" a="1"/>
  <c r="P110" i="4" s="1"/>
  <c r="O111" i="4"/>
  <c r="P111" i="4" s="1" a="1"/>
  <c r="P111" i="4" s="1"/>
  <c r="O112" i="4"/>
  <c r="P112" i="4" s="1" a="1"/>
  <c r="P112" i="4" s="1"/>
  <c r="O113" i="4"/>
  <c r="P113" i="4" s="1" a="1"/>
  <c r="P113" i="4" s="1"/>
  <c r="O114" i="4"/>
  <c r="P114" i="4" s="1" a="1"/>
  <c r="P114" i="4" s="1"/>
  <c r="O115" i="4"/>
  <c r="P115" i="4" s="1" a="1"/>
  <c r="P115" i="4" s="1"/>
  <c r="O116" i="4"/>
  <c r="P116" i="4" s="1" a="1"/>
  <c r="P116" i="4" s="1"/>
  <c r="O117" i="4"/>
  <c r="P117" i="4" s="1" a="1"/>
  <c r="P117" i="4" s="1"/>
  <c r="O118" i="4"/>
  <c r="P118" i="4" s="1" a="1"/>
  <c r="P118" i="4" s="1"/>
  <c r="O119" i="4"/>
  <c r="P119" i="4" s="1" a="1"/>
  <c r="P119" i="4" s="1"/>
  <c r="O120" i="4"/>
  <c r="P120" i="4" s="1" a="1"/>
  <c r="P120" i="4" s="1"/>
  <c r="O121" i="4"/>
  <c r="P121" i="4" s="1" a="1"/>
  <c r="P121" i="4" s="1"/>
  <c r="O122" i="4"/>
  <c r="P122" i="4" s="1" a="1"/>
  <c r="P122" i="4" s="1"/>
  <c r="O123" i="4"/>
  <c r="P123" i="4" s="1" a="1"/>
  <c r="P123" i="4" s="1"/>
  <c r="O124" i="4"/>
  <c r="P124" i="4" s="1" a="1"/>
  <c r="P124" i="4" s="1"/>
  <c r="O125" i="4"/>
  <c r="P125" i="4" s="1" a="1"/>
  <c r="P125" i="4" s="1"/>
  <c r="O126" i="4"/>
  <c r="P126" i="4" s="1" a="1"/>
  <c r="P126" i="4" s="1"/>
  <c r="O127" i="4"/>
  <c r="P127" i="4" s="1" a="1"/>
  <c r="P127" i="4" s="1"/>
  <c r="O128" i="4"/>
  <c r="P128" i="4" s="1" a="1"/>
  <c r="P128" i="4" s="1"/>
  <c r="O129" i="4"/>
  <c r="P129" i="4" s="1" a="1"/>
  <c r="P129" i="4" s="1"/>
  <c r="O130" i="4"/>
  <c r="P130" i="4" s="1" a="1"/>
  <c r="P130" i="4" s="1"/>
  <c r="O131" i="4"/>
  <c r="P131" i="4" s="1" a="1"/>
  <c r="P131" i="4" s="1"/>
  <c r="O132" i="4"/>
  <c r="P132" i="4" s="1" a="1"/>
  <c r="P132" i="4" s="1"/>
  <c r="O133" i="4"/>
  <c r="P133" i="4" s="1" a="1"/>
  <c r="P133" i="4" s="1"/>
  <c r="O134" i="4"/>
  <c r="P134" i="4" s="1" a="1"/>
  <c r="P134" i="4" s="1"/>
  <c r="O135" i="4"/>
  <c r="P135" i="4" s="1" a="1"/>
  <c r="P135" i="4" s="1"/>
  <c r="O136" i="4"/>
  <c r="P136" i="4" s="1" a="1"/>
  <c r="P136" i="4" s="1"/>
  <c r="O137" i="4"/>
  <c r="P137" i="4" s="1" a="1"/>
  <c r="P137" i="4" s="1"/>
  <c r="O138" i="4"/>
  <c r="P138" i="4" s="1" a="1"/>
  <c r="P138" i="4" s="1"/>
  <c r="O139" i="4"/>
  <c r="P139" i="4" s="1" a="1"/>
  <c r="P139" i="4" s="1"/>
  <c r="O140" i="4"/>
  <c r="P140" i="4" s="1" a="1"/>
  <c r="P140" i="4" s="1"/>
  <c r="O141" i="4"/>
  <c r="P141" i="4" s="1" a="1"/>
  <c r="P141" i="4" s="1"/>
  <c r="O142" i="4"/>
  <c r="P142" i="4" s="1" a="1"/>
  <c r="P142" i="4" s="1"/>
  <c r="O143" i="4"/>
  <c r="P143" i="4" s="1" a="1"/>
  <c r="P143" i="4" s="1"/>
  <c r="O144" i="4"/>
  <c r="P144" i="4" s="1" a="1"/>
  <c r="P144" i="4" s="1"/>
  <c r="O145" i="4"/>
  <c r="P145" i="4" s="1" a="1"/>
  <c r="P145" i="4" s="1"/>
  <c r="O146" i="4"/>
  <c r="P146" i="4" s="1" a="1"/>
  <c r="P146" i="4" s="1"/>
  <c r="O147" i="4"/>
  <c r="P147" i="4" s="1" a="1"/>
  <c r="P147" i="4" s="1"/>
  <c r="O148" i="4"/>
  <c r="P148" i="4" s="1" a="1"/>
  <c r="P148" i="4" s="1"/>
  <c r="O149" i="4"/>
  <c r="P149" i="4" s="1" a="1"/>
  <c r="P149" i="4" s="1"/>
  <c r="O150" i="4"/>
  <c r="P150" i="4" s="1" a="1"/>
  <c r="P150" i="4" s="1"/>
  <c r="O151" i="4"/>
  <c r="P151" i="4" s="1" a="1"/>
  <c r="P151" i="4" s="1"/>
  <c r="O152" i="4"/>
  <c r="P152" i="4" s="1" a="1"/>
  <c r="P152" i="4" s="1"/>
  <c r="O153" i="4"/>
  <c r="P153" i="4" s="1" a="1"/>
  <c r="P153" i="4" s="1"/>
  <c r="O154" i="4"/>
  <c r="P154" i="4" s="1" a="1"/>
  <c r="P154" i="4" s="1"/>
  <c r="O155" i="4"/>
  <c r="P155" i="4" s="1" a="1"/>
  <c r="P155" i="4" s="1"/>
  <c r="O156" i="4"/>
  <c r="P156" i="4" s="1" a="1"/>
  <c r="P156" i="4" s="1"/>
  <c r="O157" i="4"/>
  <c r="P157" i="4" s="1" a="1"/>
  <c r="P157" i="4" s="1"/>
  <c r="O158" i="4"/>
  <c r="P158" i="4" s="1" a="1"/>
  <c r="P158" i="4" s="1"/>
  <c r="O159" i="4"/>
  <c r="P159" i="4" s="1" a="1"/>
  <c r="P159" i="4" s="1"/>
  <c r="O160" i="4"/>
  <c r="P160" i="4" s="1" a="1"/>
  <c r="P160" i="4" s="1"/>
  <c r="O161" i="4"/>
  <c r="P161" i="4" s="1" a="1"/>
  <c r="P161" i="4" s="1"/>
  <c r="O162" i="4"/>
  <c r="P162" i="4" s="1" a="1"/>
  <c r="P162" i="4" s="1"/>
  <c r="O163" i="4"/>
  <c r="P163" i="4" s="1" a="1"/>
  <c r="P163" i="4" s="1"/>
  <c r="O164" i="4"/>
  <c r="P164" i="4" s="1" a="1"/>
  <c r="P164" i="4" s="1"/>
  <c r="O165" i="4"/>
  <c r="P165" i="4" s="1" a="1"/>
  <c r="P165" i="4" s="1"/>
  <c r="O166" i="4"/>
  <c r="P166" i="4" s="1" a="1"/>
  <c r="P166" i="4" s="1"/>
  <c r="O167" i="4"/>
  <c r="P167" i="4" s="1" a="1"/>
  <c r="P167" i="4" s="1"/>
  <c r="O168" i="4"/>
  <c r="P168" i="4" s="1" a="1"/>
  <c r="P168" i="4" s="1"/>
  <c r="O169" i="4"/>
  <c r="P169" i="4" s="1" a="1"/>
  <c r="P169" i="4" s="1"/>
  <c r="O170" i="4"/>
  <c r="P170" i="4" s="1" a="1"/>
  <c r="P170" i="4" s="1"/>
  <c r="O171" i="4"/>
  <c r="P171" i="4" s="1" a="1"/>
  <c r="P171" i="4" s="1"/>
  <c r="O172" i="4"/>
  <c r="P172" i="4" s="1" a="1"/>
  <c r="P172" i="4" s="1"/>
  <c r="O173" i="4"/>
  <c r="P173" i="4" s="1" a="1"/>
  <c r="P173" i="4" s="1"/>
  <c r="O174" i="4"/>
  <c r="P174" i="4" s="1" a="1"/>
  <c r="P174" i="4" s="1"/>
  <c r="O175" i="4"/>
  <c r="P175" i="4" s="1" a="1"/>
  <c r="P175" i="4" s="1"/>
  <c r="O176" i="4"/>
  <c r="P176" i="4" s="1" a="1"/>
  <c r="P176" i="4" s="1"/>
  <c r="O177" i="4"/>
  <c r="P177" i="4" s="1" a="1"/>
  <c r="P177" i="4" s="1"/>
  <c r="O178" i="4"/>
  <c r="P178" i="4" s="1" a="1"/>
  <c r="P178" i="4" s="1"/>
  <c r="O179" i="4"/>
  <c r="P179" i="4" s="1" a="1"/>
  <c r="P179" i="4" s="1"/>
  <c r="O180" i="4"/>
  <c r="P180" i="4" s="1" a="1"/>
  <c r="P180" i="4" s="1"/>
  <c r="O181" i="4"/>
  <c r="P181" i="4" s="1" a="1"/>
  <c r="P181" i="4" s="1"/>
  <c r="O182" i="4"/>
  <c r="P182" i="4" s="1" a="1"/>
  <c r="P182" i="4" s="1"/>
  <c r="O183" i="4"/>
  <c r="P183" i="4" s="1" a="1"/>
  <c r="P183" i="4" s="1"/>
  <c r="O184" i="4"/>
  <c r="P184" i="4" s="1" a="1"/>
  <c r="P184" i="4" s="1"/>
  <c r="O185" i="4"/>
  <c r="P185" i="4" s="1" a="1"/>
  <c r="P185" i="4" s="1"/>
  <c r="O186" i="4"/>
  <c r="P186" i="4" s="1" a="1"/>
  <c r="P186" i="4" s="1"/>
  <c r="O187" i="4"/>
  <c r="P187" i="4" s="1" a="1"/>
  <c r="P187" i="4" s="1"/>
  <c r="O188" i="4"/>
  <c r="P188" i="4" s="1" a="1"/>
  <c r="P188" i="4" s="1"/>
  <c r="O189" i="4"/>
  <c r="P189" i="4" s="1" a="1"/>
  <c r="P189" i="4" s="1"/>
  <c r="O190" i="4"/>
  <c r="P190" i="4" s="1" a="1"/>
  <c r="P190" i="4" s="1"/>
  <c r="O191" i="4"/>
  <c r="P191" i="4" s="1" a="1"/>
  <c r="P191" i="4" s="1"/>
  <c r="O192" i="4"/>
  <c r="P192" i="4" s="1" a="1"/>
  <c r="P192" i="4" s="1"/>
  <c r="O193" i="4"/>
  <c r="P193" i="4" s="1" a="1"/>
  <c r="P193" i="4" s="1"/>
  <c r="O194" i="4"/>
  <c r="P194" i="4" s="1" a="1"/>
  <c r="P194" i="4" s="1"/>
  <c r="O195" i="4"/>
  <c r="P195" i="4" s="1" a="1"/>
  <c r="P195" i="4" s="1"/>
  <c r="O196" i="4"/>
  <c r="P196" i="4" s="1" a="1"/>
  <c r="P196" i="4" s="1"/>
  <c r="O197" i="4"/>
  <c r="P197" i="4" s="1" a="1"/>
  <c r="P197" i="4" s="1"/>
  <c r="O198" i="4"/>
  <c r="P198" i="4" s="1" a="1"/>
  <c r="P198" i="4" s="1"/>
  <c r="O199" i="4"/>
  <c r="P199" i="4" s="1" a="1"/>
  <c r="P199" i="4" s="1"/>
  <c r="O200" i="4"/>
  <c r="P200" i="4" s="1" a="1"/>
  <c r="P200" i="4" s="1"/>
  <c r="O201" i="4"/>
  <c r="P201" i="4" s="1" a="1"/>
  <c r="P201" i="4" s="1"/>
  <c r="O202" i="4"/>
  <c r="P202" i="4" s="1" a="1"/>
  <c r="P202" i="4" s="1"/>
  <c r="O203" i="4"/>
  <c r="P203" i="4" s="1" a="1"/>
  <c r="P203" i="4" s="1"/>
  <c r="O204" i="4"/>
  <c r="P204" i="4" s="1" a="1"/>
  <c r="P204" i="4" s="1"/>
  <c r="O205" i="4"/>
  <c r="P205" i="4" s="1" a="1"/>
  <c r="P205" i="4" s="1"/>
  <c r="O206" i="4"/>
  <c r="P206" i="4" s="1" a="1"/>
  <c r="P206" i="4" s="1"/>
  <c r="O207" i="4"/>
  <c r="P207" i="4" s="1" a="1"/>
  <c r="P207" i="4" s="1"/>
  <c r="O208" i="4"/>
  <c r="P208" i="4" s="1" a="1"/>
  <c r="P208" i="4" s="1"/>
  <c r="O209" i="4"/>
  <c r="P209" i="4" s="1" a="1"/>
  <c r="P209" i="4" s="1"/>
  <c r="O210" i="4"/>
  <c r="P210" i="4" s="1" a="1"/>
  <c r="P210" i="4" s="1"/>
  <c r="O211" i="4"/>
  <c r="P211" i="4" s="1" a="1"/>
  <c r="P211" i="4" s="1"/>
  <c r="O212" i="4"/>
  <c r="P212" i="4" s="1" a="1"/>
  <c r="P212" i="4" s="1"/>
  <c r="O213" i="4"/>
  <c r="P213" i="4" s="1" a="1"/>
  <c r="P213" i="4" s="1"/>
  <c r="O214" i="4"/>
  <c r="P214" i="4" s="1" a="1"/>
  <c r="P214" i="4" s="1"/>
  <c r="O215" i="4"/>
  <c r="P215" i="4" s="1" a="1"/>
  <c r="P215" i="4" s="1"/>
  <c r="O216" i="4"/>
  <c r="P216" i="4" s="1" a="1"/>
  <c r="P216" i="4" s="1"/>
  <c r="O217" i="4"/>
  <c r="P217" i="4" s="1" a="1"/>
  <c r="P217" i="4" s="1"/>
  <c r="O218" i="4"/>
  <c r="P218" i="4" s="1" a="1"/>
  <c r="P218" i="4" s="1"/>
  <c r="O219" i="4"/>
  <c r="P219" i="4" s="1" a="1"/>
  <c r="P219" i="4" s="1"/>
  <c r="O220" i="4"/>
  <c r="P220" i="4" s="1" a="1"/>
  <c r="P220" i="4" s="1"/>
  <c r="O221" i="4"/>
  <c r="P221" i="4" s="1" a="1"/>
  <c r="P221" i="4" s="1"/>
  <c r="O222" i="4"/>
  <c r="P222" i="4" s="1" a="1"/>
  <c r="P222" i="4" s="1"/>
  <c r="O223" i="4"/>
  <c r="P223" i="4" s="1" a="1"/>
  <c r="P223" i="4" s="1"/>
  <c r="O224" i="4"/>
  <c r="P224" i="4" s="1" a="1"/>
  <c r="P224" i="4" s="1"/>
  <c r="O225" i="4"/>
  <c r="P225" i="4" s="1" a="1"/>
  <c r="P225" i="4" s="1"/>
  <c r="O226" i="4"/>
  <c r="P226" i="4" s="1" a="1"/>
  <c r="P226" i="4" s="1"/>
  <c r="O227" i="4"/>
  <c r="P227" i="4" s="1" a="1"/>
  <c r="P227" i="4" s="1"/>
  <c r="O228" i="4"/>
  <c r="P228" i="4" s="1" a="1"/>
  <c r="P228" i="4" s="1"/>
  <c r="O229" i="4"/>
  <c r="P229" i="4" s="1" a="1"/>
  <c r="P229" i="4" s="1"/>
  <c r="O230" i="4"/>
  <c r="P230" i="4" s="1" a="1"/>
  <c r="P230" i="4" s="1"/>
  <c r="O231" i="4"/>
  <c r="P231" i="4" s="1" a="1"/>
  <c r="P231" i="4" s="1"/>
  <c r="O232" i="4"/>
  <c r="P232" i="4" s="1" a="1"/>
  <c r="P232" i="4" s="1"/>
  <c r="O233" i="4"/>
  <c r="P233" i="4" s="1" a="1"/>
  <c r="P233" i="4" s="1"/>
  <c r="O234" i="4"/>
  <c r="P234" i="4" s="1" a="1"/>
  <c r="P234" i="4" s="1"/>
  <c r="O235" i="4"/>
  <c r="P235" i="4" s="1" a="1"/>
  <c r="P235" i="4" s="1"/>
  <c r="O236" i="4"/>
  <c r="P236" i="4" s="1" a="1"/>
  <c r="P236" i="4" s="1"/>
  <c r="O237" i="4"/>
  <c r="P237" i="4" s="1" a="1"/>
  <c r="P237" i="4" s="1"/>
  <c r="O238" i="4"/>
  <c r="P238" i="4" s="1" a="1"/>
  <c r="P238" i="4" s="1"/>
  <c r="O239" i="4"/>
  <c r="P239" i="4" s="1" a="1"/>
  <c r="P239" i="4" s="1"/>
  <c r="O240" i="4"/>
  <c r="P240" i="4" s="1" a="1"/>
  <c r="P240" i="4" s="1"/>
  <c r="O241" i="4"/>
  <c r="P241" i="4" s="1" a="1"/>
  <c r="P241" i="4" s="1"/>
  <c r="O242" i="4"/>
  <c r="P242" i="4" s="1" a="1"/>
  <c r="P242" i="4" s="1"/>
  <c r="O243" i="4"/>
  <c r="P243" i="4" s="1" a="1"/>
  <c r="P243" i="4" s="1"/>
  <c r="O244" i="4"/>
  <c r="P244" i="4" s="1" a="1"/>
  <c r="P244" i="4" s="1"/>
  <c r="O245" i="4"/>
  <c r="P245" i="4" s="1" a="1"/>
  <c r="P245" i="4" s="1"/>
  <c r="O246" i="4"/>
  <c r="P246" i="4" s="1" a="1"/>
  <c r="P246" i="4" s="1"/>
  <c r="O247" i="4"/>
  <c r="P247" i="4" s="1" a="1"/>
  <c r="P247" i="4" s="1"/>
  <c r="O248" i="4"/>
  <c r="P248" i="4" s="1" a="1"/>
  <c r="P248" i="4" s="1"/>
  <c r="O249" i="4"/>
  <c r="P249" i="4" s="1" a="1"/>
  <c r="P249" i="4" s="1"/>
  <c r="O250" i="4"/>
  <c r="P250" i="4" s="1" a="1"/>
  <c r="P250" i="4" s="1"/>
  <c r="O251" i="4"/>
  <c r="P251" i="4" s="1" a="1"/>
  <c r="P251" i="4" s="1"/>
  <c r="O252" i="4"/>
  <c r="P252" i="4" s="1" a="1"/>
  <c r="P252" i="4" s="1"/>
  <c r="O253" i="4"/>
  <c r="P253" i="4" s="1" a="1"/>
  <c r="P253" i="4" s="1"/>
  <c r="O254" i="4"/>
  <c r="P254" i="4" s="1" a="1"/>
  <c r="P254" i="4" s="1"/>
  <c r="O255" i="4"/>
  <c r="P255" i="4" s="1" a="1"/>
  <c r="P255" i="4" s="1"/>
  <c r="O256" i="4"/>
  <c r="P256" i="4" s="1" a="1"/>
  <c r="P256" i="4" s="1"/>
  <c r="O257" i="4"/>
  <c r="P257" i="4" s="1" a="1"/>
  <c r="P257" i="4" s="1"/>
  <c r="O258" i="4"/>
  <c r="P258" i="4" s="1" a="1"/>
  <c r="P258" i="4" s="1"/>
  <c r="O259" i="4"/>
  <c r="P259" i="4" s="1" a="1"/>
  <c r="P259" i="4" s="1"/>
  <c r="O260" i="4"/>
  <c r="P260" i="4" s="1" a="1"/>
  <c r="P260" i="4" s="1"/>
  <c r="O261" i="4"/>
  <c r="P261" i="4" s="1" a="1"/>
  <c r="P261" i="4" s="1"/>
  <c r="O262" i="4"/>
  <c r="P262" i="4" s="1" a="1"/>
  <c r="P262" i="4" s="1"/>
  <c r="O263" i="4"/>
  <c r="P263" i="4" s="1" a="1"/>
  <c r="P263" i="4" s="1"/>
  <c r="O264" i="4"/>
  <c r="P264" i="4" s="1" a="1"/>
  <c r="P264" i="4" s="1"/>
  <c r="O265" i="4"/>
  <c r="P265" i="4" s="1" a="1"/>
  <c r="P265" i="4" s="1"/>
  <c r="O266" i="4"/>
  <c r="P266" i="4" s="1" a="1"/>
  <c r="P266" i="4" s="1"/>
  <c r="O267" i="4"/>
  <c r="P267" i="4" s="1" a="1"/>
  <c r="P267" i="4" s="1"/>
  <c r="O268" i="4"/>
  <c r="P268" i="4" s="1" a="1"/>
  <c r="P268" i="4" s="1"/>
  <c r="O269" i="4"/>
  <c r="P269" i="4" s="1" a="1"/>
  <c r="P269" i="4" s="1"/>
  <c r="O270" i="4"/>
  <c r="P270" i="4" s="1" a="1"/>
  <c r="P270" i="4" s="1"/>
  <c r="O271" i="4"/>
  <c r="P271" i="4" s="1" a="1"/>
  <c r="P271" i="4" s="1"/>
  <c r="O272" i="4"/>
  <c r="P272" i="4" s="1" a="1"/>
  <c r="P272" i="4" s="1"/>
  <c r="O273" i="4"/>
  <c r="P273" i="4" s="1" a="1"/>
  <c r="P273" i="4" s="1"/>
  <c r="O274" i="4"/>
  <c r="P274" i="4" s="1" a="1"/>
  <c r="P274" i="4" s="1"/>
  <c r="O275" i="4"/>
  <c r="P275" i="4" s="1" a="1"/>
  <c r="P275" i="4" s="1"/>
  <c r="O276" i="4"/>
  <c r="P276" i="4" s="1" a="1"/>
  <c r="P276" i="4" s="1"/>
  <c r="O277" i="4"/>
  <c r="P277" i="4" s="1" a="1"/>
  <c r="P277" i="4" s="1"/>
  <c r="O278" i="4"/>
  <c r="P278" i="4" s="1" a="1"/>
  <c r="P278" i="4" s="1"/>
  <c r="O279" i="4"/>
  <c r="P279" i="4" s="1" a="1"/>
  <c r="P279" i="4" s="1"/>
  <c r="O280" i="4"/>
  <c r="P280" i="4" s="1" a="1"/>
  <c r="P280" i="4" s="1"/>
  <c r="O281" i="4"/>
  <c r="P281" i="4" s="1" a="1"/>
  <c r="P281" i="4" s="1"/>
  <c r="O282" i="4"/>
  <c r="P282" i="4" s="1" a="1"/>
  <c r="P282" i="4" s="1"/>
  <c r="O283" i="4"/>
  <c r="P283" i="4" s="1" a="1"/>
  <c r="P283" i="4" s="1"/>
  <c r="O284" i="4"/>
  <c r="P284" i="4" s="1" a="1"/>
  <c r="P284" i="4" s="1"/>
  <c r="O285" i="4"/>
  <c r="P285" i="4" s="1" a="1"/>
  <c r="P285" i="4" s="1"/>
  <c r="O286" i="4"/>
  <c r="P286" i="4" s="1" a="1"/>
  <c r="P286" i="4" s="1"/>
  <c r="O287" i="4"/>
  <c r="P287" i="4" s="1" a="1"/>
  <c r="P287" i="4" s="1"/>
  <c r="O288" i="4"/>
  <c r="P288" i="4" s="1" a="1"/>
  <c r="P288" i="4" s="1"/>
  <c r="O289" i="4"/>
  <c r="P289" i="4" s="1" a="1"/>
  <c r="P289" i="4" s="1"/>
  <c r="O290" i="4"/>
  <c r="P290" i="4" s="1" a="1"/>
  <c r="P290" i="4" s="1"/>
  <c r="O291" i="4"/>
  <c r="P291" i="4" s="1" a="1"/>
  <c r="P291" i="4" s="1"/>
  <c r="O292" i="4"/>
  <c r="P292" i="4" s="1" a="1"/>
  <c r="P292" i="4" s="1"/>
  <c r="O293" i="4"/>
  <c r="P293" i="4" s="1" a="1"/>
  <c r="P293" i="4" s="1"/>
  <c r="O294" i="4"/>
  <c r="P294" i="4" s="1" a="1"/>
  <c r="P294" i="4" s="1"/>
  <c r="O295" i="4"/>
  <c r="P295" i="4" s="1" a="1"/>
  <c r="P295" i="4" s="1"/>
  <c r="O296" i="4"/>
  <c r="P296" i="4" s="1" a="1"/>
  <c r="P296" i="4" s="1"/>
  <c r="O297" i="4"/>
  <c r="P297" i="4" s="1" a="1"/>
  <c r="P297" i="4" s="1"/>
  <c r="O298" i="4"/>
  <c r="P298" i="4" s="1" a="1"/>
  <c r="P298" i="4" s="1"/>
  <c r="O299" i="4"/>
  <c r="P299" i="4" s="1" a="1"/>
  <c r="P299" i="4" s="1"/>
  <c r="O300" i="4"/>
  <c r="P300" i="4" s="1" a="1"/>
  <c r="P300" i="4" s="1"/>
  <c r="O301" i="4"/>
  <c r="P301" i="4" s="1" a="1"/>
  <c r="P301" i="4" s="1"/>
  <c r="O302" i="4"/>
  <c r="P302" i="4" s="1" a="1"/>
  <c r="P302" i="4" s="1"/>
  <c r="O303" i="4"/>
  <c r="P303" i="4" s="1" a="1"/>
  <c r="P303" i="4" s="1"/>
  <c r="O304" i="4"/>
  <c r="P304" i="4" s="1" a="1"/>
  <c r="P304" i="4" s="1"/>
  <c r="O305" i="4"/>
  <c r="P305" i="4" s="1" a="1"/>
  <c r="P305" i="4" s="1"/>
  <c r="O306" i="4"/>
  <c r="P306" i="4" s="1" a="1"/>
  <c r="P306" i="4" s="1"/>
  <c r="O307" i="4"/>
  <c r="P307" i="4" s="1" a="1"/>
  <c r="P307" i="4" s="1"/>
  <c r="O308" i="4"/>
  <c r="P308" i="4" s="1" a="1"/>
  <c r="P308" i="4" s="1"/>
  <c r="O309" i="4"/>
  <c r="P309" i="4" s="1" a="1"/>
  <c r="P309" i="4" s="1"/>
  <c r="O310" i="4"/>
  <c r="P310" i="4" s="1" a="1"/>
  <c r="P310" i="4" s="1"/>
  <c r="O311" i="4"/>
  <c r="P311" i="4" s="1" a="1"/>
  <c r="P311" i="4" s="1"/>
  <c r="O312" i="4"/>
  <c r="P312" i="4" s="1" a="1"/>
  <c r="P312" i="4" s="1"/>
  <c r="O313" i="4"/>
  <c r="P313" i="4" s="1" a="1"/>
  <c r="P313" i="4" s="1"/>
  <c r="O314" i="4"/>
  <c r="P314" i="4" s="1" a="1"/>
  <c r="P314" i="4" s="1"/>
  <c r="O315" i="4"/>
  <c r="P315" i="4" s="1" a="1"/>
  <c r="P315" i="4" s="1"/>
  <c r="O316" i="4"/>
  <c r="P316" i="4" s="1" a="1"/>
  <c r="P316" i="4" s="1"/>
  <c r="O317" i="4"/>
  <c r="P317" i="4" s="1" a="1"/>
  <c r="P317" i="4" s="1"/>
  <c r="O318" i="4"/>
  <c r="P318" i="4" s="1" a="1"/>
  <c r="P318" i="4" s="1"/>
  <c r="O319" i="4"/>
  <c r="P319" i="4" s="1" a="1"/>
  <c r="P319" i="4" s="1"/>
  <c r="O320" i="4"/>
  <c r="P320" i="4" s="1" a="1"/>
  <c r="P320" i="4" s="1"/>
  <c r="O321" i="4"/>
  <c r="P321" i="4" s="1" a="1"/>
  <c r="P321" i="4" s="1"/>
  <c r="O322" i="4"/>
  <c r="P322" i="4" s="1" a="1"/>
  <c r="P322" i="4" s="1"/>
  <c r="O323" i="4"/>
  <c r="P323" i="4" s="1" a="1"/>
  <c r="P323" i="4" s="1"/>
  <c r="O324" i="4"/>
  <c r="P324" i="4" s="1" a="1"/>
  <c r="P324" i="4" s="1"/>
  <c r="O325" i="4"/>
  <c r="P325" i="4" s="1" a="1"/>
  <c r="P325" i="4" s="1"/>
  <c r="O326" i="4"/>
  <c r="P326" i="4" s="1" a="1"/>
  <c r="P326" i="4" s="1"/>
  <c r="O327" i="4"/>
  <c r="P327" i="4" s="1" a="1"/>
  <c r="P327" i="4" s="1"/>
  <c r="O328" i="4"/>
  <c r="P328" i="4" s="1" a="1"/>
  <c r="P328" i="4" s="1"/>
  <c r="O329" i="4"/>
  <c r="P329" i="4" s="1" a="1"/>
  <c r="P329" i="4" s="1"/>
  <c r="O330" i="4"/>
  <c r="P330" i="4" s="1" a="1"/>
  <c r="P330" i="4" s="1"/>
  <c r="O331" i="4"/>
  <c r="P331" i="4" s="1" a="1"/>
  <c r="P331" i="4" s="1"/>
  <c r="O332" i="4"/>
  <c r="P332" i="4" s="1" a="1"/>
  <c r="P332" i="4" s="1"/>
  <c r="O333" i="4"/>
  <c r="P333" i="4" s="1" a="1"/>
  <c r="P333" i="4" s="1"/>
  <c r="O334" i="4"/>
  <c r="P334" i="4" s="1" a="1"/>
  <c r="P334" i="4" s="1"/>
  <c r="O335" i="4"/>
  <c r="P335" i="4" s="1" a="1"/>
  <c r="P335" i="4" s="1"/>
  <c r="O336" i="4"/>
  <c r="P336" i="4" s="1" a="1"/>
  <c r="P336" i="4" s="1"/>
  <c r="O337" i="4"/>
  <c r="P337" i="4" s="1" a="1"/>
  <c r="P337" i="4" s="1"/>
  <c r="O338" i="4"/>
  <c r="P338" i="4" s="1" a="1"/>
  <c r="P338" i="4" s="1"/>
  <c r="O339" i="4"/>
  <c r="P339" i="4" s="1" a="1"/>
  <c r="P339" i="4" s="1"/>
  <c r="O340" i="4"/>
  <c r="P340" i="4" s="1" a="1"/>
  <c r="P340" i="4" s="1"/>
  <c r="O341" i="4"/>
  <c r="P341" i="4" s="1" a="1"/>
  <c r="P341" i="4" s="1"/>
  <c r="O342" i="4"/>
  <c r="P342" i="4" s="1" a="1"/>
  <c r="P342" i="4" s="1"/>
  <c r="O343" i="4"/>
  <c r="P343" i="4" s="1" a="1"/>
  <c r="P343" i="4" s="1"/>
  <c r="O344" i="4"/>
  <c r="P344" i="4" s="1" a="1"/>
  <c r="P344" i="4" s="1"/>
  <c r="O345" i="4"/>
  <c r="P345" i="4" s="1" a="1"/>
  <c r="P345" i="4" s="1"/>
  <c r="O346" i="4"/>
  <c r="P346" i="4" s="1" a="1"/>
  <c r="P346" i="4" s="1"/>
  <c r="O347" i="4"/>
  <c r="P347" i="4" s="1" a="1"/>
  <c r="P347" i="4" s="1"/>
  <c r="O348" i="4"/>
  <c r="P348" i="4" s="1" a="1"/>
  <c r="P348" i="4" s="1"/>
  <c r="O349" i="4"/>
  <c r="P349" i="4" s="1" a="1"/>
  <c r="P349" i="4" s="1"/>
  <c r="O350" i="4"/>
  <c r="P350" i="4" s="1" a="1"/>
  <c r="P350" i="4" s="1"/>
  <c r="O351" i="4"/>
  <c r="P351" i="4" s="1" a="1"/>
  <c r="P351" i="4" s="1"/>
  <c r="O352" i="4"/>
  <c r="P352" i="4" s="1" a="1"/>
  <c r="P352" i="4" s="1"/>
  <c r="O353" i="4"/>
  <c r="P353" i="4" s="1" a="1"/>
  <c r="P353" i="4" s="1"/>
  <c r="O354" i="4"/>
  <c r="P354" i="4" s="1" a="1"/>
  <c r="P354" i="4" s="1"/>
  <c r="O355" i="4"/>
  <c r="P355" i="4" s="1" a="1"/>
  <c r="P355" i="4" s="1"/>
  <c r="O356" i="4"/>
  <c r="P356" i="4" s="1" a="1"/>
  <c r="P356" i="4" s="1"/>
  <c r="O357" i="4"/>
  <c r="P357" i="4" s="1" a="1"/>
  <c r="P357" i="4" s="1"/>
  <c r="O358" i="4"/>
  <c r="P358" i="4" s="1" a="1"/>
  <c r="P358" i="4" s="1"/>
  <c r="O359" i="4"/>
  <c r="P359" i="4" s="1" a="1"/>
  <c r="P359" i="4" s="1"/>
  <c r="O360" i="4"/>
  <c r="P360" i="4" s="1" a="1"/>
  <c r="P360" i="4" s="1"/>
  <c r="O361" i="4"/>
  <c r="P361" i="4" s="1" a="1"/>
  <c r="P361" i="4" s="1"/>
  <c r="O362" i="4"/>
  <c r="P362" i="4" s="1" a="1"/>
  <c r="P362" i="4" s="1"/>
  <c r="O363" i="4"/>
  <c r="P363" i="4" s="1" a="1"/>
  <c r="P363" i="4" s="1"/>
  <c r="O364" i="4"/>
  <c r="P364" i="4" s="1" a="1"/>
  <c r="P364" i="4" s="1"/>
  <c r="O365" i="4"/>
  <c r="P365" i="4" s="1" a="1"/>
  <c r="P365" i="4" s="1"/>
  <c r="O366" i="4"/>
  <c r="P366" i="4" s="1" a="1"/>
  <c r="P366" i="4" s="1"/>
  <c r="O367" i="4"/>
  <c r="P367" i="4" s="1" a="1"/>
  <c r="P367" i="4" s="1"/>
  <c r="O368" i="4"/>
  <c r="P368" i="4" s="1" a="1"/>
  <c r="P368" i="4" s="1"/>
  <c r="O369" i="4"/>
  <c r="P369" i="4" s="1" a="1"/>
  <c r="P369" i="4" s="1"/>
  <c r="O370" i="4"/>
  <c r="P370" i="4" s="1" a="1"/>
  <c r="P370" i="4" s="1"/>
  <c r="O371" i="4"/>
  <c r="P371" i="4" s="1" a="1"/>
  <c r="P371" i="4" s="1"/>
  <c r="O372" i="4"/>
  <c r="P372" i="4" s="1" a="1"/>
  <c r="P372" i="4" s="1"/>
  <c r="O373" i="4"/>
  <c r="P373" i="4" s="1" a="1"/>
  <c r="P373" i="4" s="1"/>
  <c r="O374" i="4"/>
  <c r="P374" i="4" s="1" a="1"/>
  <c r="P374" i="4" s="1"/>
  <c r="O375" i="4"/>
  <c r="P375" i="4" s="1" a="1"/>
  <c r="P375" i="4" s="1"/>
  <c r="O376" i="4"/>
  <c r="P376" i="4" s="1" a="1"/>
  <c r="P376" i="4" s="1"/>
  <c r="O377" i="4"/>
  <c r="P377" i="4" s="1" a="1"/>
  <c r="P377" i="4" s="1"/>
  <c r="O378" i="4"/>
  <c r="P378" i="4" s="1" a="1"/>
  <c r="P378" i="4" s="1"/>
  <c r="O379" i="4"/>
  <c r="P379" i="4" s="1" a="1"/>
  <c r="P379" i="4" s="1"/>
  <c r="O380" i="4"/>
  <c r="P380" i="4" s="1" a="1"/>
  <c r="P380" i="4" s="1"/>
  <c r="O381" i="4"/>
  <c r="P381" i="4" s="1" a="1"/>
  <c r="P381" i="4" s="1"/>
  <c r="O382" i="4"/>
  <c r="P382" i="4" s="1" a="1"/>
  <c r="P382" i="4" s="1"/>
  <c r="O383" i="4"/>
  <c r="P383" i="4" s="1" a="1"/>
  <c r="P383" i="4" s="1"/>
  <c r="O384" i="4"/>
  <c r="P384" i="4" s="1" a="1"/>
  <c r="P384" i="4" s="1"/>
  <c r="O385" i="4"/>
  <c r="P385" i="4" s="1" a="1"/>
  <c r="P385" i="4" s="1"/>
  <c r="O386" i="4"/>
  <c r="P386" i="4" s="1" a="1"/>
  <c r="P386" i="4" s="1"/>
  <c r="O387" i="4"/>
  <c r="P387" i="4" s="1" a="1"/>
  <c r="P387" i="4" s="1"/>
  <c r="O388" i="4"/>
  <c r="P388" i="4" s="1" a="1"/>
  <c r="P388" i="4" s="1"/>
  <c r="O389" i="4"/>
  <c r="P389" i="4" s="1" a="1"/>
  <c r="P389" i="4" s="1"/>
  <c r="O390" i="4"/>
  <c r="P390" i="4" s="1" a="1"/>
  <c r="P390" i="4" s="1"/>
  <c r="O391" i="4"/>
  <c r="P391" i="4" s="1" a="1"/>
  <c r="P391" i="4" s="1"/>
  <c r="O392" i="4"/>
  <c r="P392" i="4" s="1" a="1"/>
  <c r="P392" i="4" s="1"/>
  <c r="O393" i="4"/>
  <c r="P393" i="4" s="1" a="1"/>
  <c r="P393" i="4" s="1"/>
  <c r="O394" i="4"/>
  <c r="P394" i="4" s="1" a="1"/>
  <c r="P394" i="4" s="1"/>
  <c r="O395" i="4"/>
  <c r="P395" i="4" s="1" a="1"/>
  <c r="P395" i="4" s="1"/>
  <c r="O396" i="4"/>
  <c r="P396" i="4" s="1" a="1"/>
  <c r="P396" i="4" s="1"/>
  <c r="O397" i="4"/>
  <c r="P397" i="4" s="1" a="1"/>
  <c r="P397" i="4" s="1"/>
  <c r="O398" i="4"/>
  <c r="P398" i="4" s="1" a="1"/>
  <c r="P398" i="4" s="1"/>
  <c r="O399" i="4"/>
  <c r="P399" i="4" s="1" a="1"/>
  <c r="P399" i="4" s="1"/>
  <c r="O400" i="4"/>
  <c r="P400" i="4" s="1" a="1"/>
  <c r="P400" i="4" s="1"/>
  <c r="O401" i="4"/>
  <c r="P401" i="4" s="1" a="1"/>
  <c r="P401" i="4" s="1"/>
  <c r="O402" i="4"/>
  <c r="P402" i="4" s="1" a="1"/>
  <c r="P402" i="4" s="1"/>
  <c r="O403" i="4"/>
  <c r="P403" i="4" s="1" a="1"/>
  <c r="P403" i="4" s="1"/>
  <c r="O404" i="4"/>
  <c r="P404" i="4" s="1" a="1"/>
  <c r="P404" i="4" s="1"/>
  <c r="O405" i="4"/>
  <c r="P405" i="4" s="1" a="1"/>
  <c r="P405" i="4" s="1"/>
  <c r="O406" i="4"/>
  <c r="P406" i="4" s="1" a="1"/>
  <c r="P406" i="4" s="1"/>
  <c r="O407" i="4"/>
  <c r="P407" i="4" s="1" a="1"/>
  <c r="P407" i="4" s="1"/>
  <c r="O408" i="4"/>
  <c r="P408" i="4" s="1" a="1"/>
  <c r="P408" i="4" s="1"/>
  <c r="O409" i="4"/>
  <c r="P409" i="4" s="1" a="1"/>
  <c r="P409" i="4" s="1"/>
  <c r="O410" i="4"/>
  <c r="P410" i="4" s="1" a="1"/>
  <c r="P410" i="4" s="1"/>
  <c r="O411" i="4"/>
  <c r="P411" i="4" s="1" a="1"/>
  <c r="P411" i="4" s="1"/>
  <c r="O412" i="4"/>
  <c r="P412" i="4" s="1" a="1"/>
  <c r="P412" i="4" s="1"/>
  <c r="O413" i="4"/>
  <c r="P413" i="4" s="1" a="1"/>
  <c r="P413" i="4" s="1"/>
  <c r="O414" i="4"/>
  <c r="P414" i="4" s="1" a="1"/>
  <c r="P414" i="4" s="1"/>
  <c r="O415" i="4"/>
  <c r="P415" i="4" s="1" a="1"/>
  <c r="P415" i="4" s="1"/>
  <c r="O416" i="4"/>
  <c r="P416" i="4" s="1" a="1"/>
  <c r="P416" i="4" s="1"/>
  <c r="O417" i="4"/>
  <c r="P417" i="4" s="1" a="1"/>
  <c r="P417" i="4" s="1"/>
  <c r="O418" i="4"/>
  <c r="P418" i="4" s="1" a="1"/>
  <c r="P418" i="4" s="1"/>
  <c r="O419" i="4"/>
  <c r="P419" i="4" s="1" a="1"/>
  <c r="P419" i="4" s="1"/>
  <c r="O420" i="4"/>
  <c r="P420" i="4" s="1" a="1"/>
  <c r="P420" i="4" s="1"/>
  <c r="O421" i="4"/>
  <c r="P421" i="4" s="1" a="1"/>
  <c r="P421" i="4" s="1"/>
  <c r="O422" i="4"/>
  <c r="P422" i="4" s="1" a="1"/>
  <c r="P422" i="4" s="1"/>
  <c r="O423" i="4"/>
  <c r="P423" i="4" s="1" a="1"/>
  <c r="P423" i="4" s="1"/>
  <c r="O424" i="4"/>
  <c r="P424" i="4" s="1" a="1"/>
  <c r="P424" i="4" s="1"/>
  <c r="O425" i="4"/>
  <c r="P425" i="4" s="1" a="1"/>
  <c r="P425" i="4" s="1"/>
  <c r="O426" i="4"/>
  <c r="P426" i="4" s="1" a="1"/>
  <c r="P426" i="4" s="1"/>
  <c r="O427" i="4"/>
  <c r="P427" i="4" s="1" a="1"/>
  <c r="P427" i="4" s="1"/>
  <c r="O428" i="4"/>
  <c r="P428" i="4" s="1" a="1"/>
  <c r="P428" i="4" s="1"/>
  <c r="O429" i="4"/>
  <c r="P429" i="4" s="1" a="1"/>
  <c r="P429" i="4" s="1"/>
  <c r="O430" i="4"/>
  <c r="P430" i="4" s="1" a="1"/>
  <c r="P430" i="4" s="1"/>
  <c r="O431" i="4"/>
  <c r="P431" i="4" s="1" a="1"/>
  <c r="P431" i="4" s="1"/>
  <c r="O432" i="4"/>
  <c r="P432" i="4" s="1" a="1"/>
  <c r="P432" i="4" s="1"/>
  <c r="O433" i="4"/>
  <c r="P433" i="4" s="1" a="1"/>
  <c r="P433" i="4" s="1"/>
  <c r="O434" i="4"/>
  <c r="P434" i="4" s="1" a="1"/>
  <c r="P434" i="4" s="1"/>
  <c r="O435" i="4"/>
  <c r="P435" i="4" s="1" a="1"/>
  <c r="P435" i="4" s="1"/>
  <c r="O436" i="4"/>
  <c r="P436" i="4" s="1" a="1"/>
  <c r="P436" i="4" s="1"/>
  <c r="O437" i="4"/>
  <c r="P437" i="4" s="1" a="1"/>
  <c r="P437" i="4" s="1"/>
  <c r="O438" i="4"/>
  <c r="P438" i="4" s="1" a="1"/>
  <c r="P438" i="4" s="1"/>
  <c r="O439" i="4"/>
  <c r="P439" i="4" s="1" a="1"/>
  <c r="P439" i="4" s="1"/>
  <c r="O440" i="4"/>
  <c r="P440" i="4" s="1" a="1"/>
  <c r="P440" i="4" s="1"/>
  <c r="O441" i="4"/>
  <c r="P441" i="4" s="1" a="1"/>
  <c r="P441" i="4" s="1"/>
  <c r="O442" i="4"/>
  <c r="P442" i="4" s="1" a="1"/>
  <c r="P442" i="4" s="1"/>
  <c r="O443" i="4"/>
  <c r="P443" i="4" s="1" a="1"/>
  <c r="P443" i="4" s="1"/>
  <c r="O444" i="4"/>
  <c r="P444" i="4" s="1" a="1"/>
  <c r="P444" i="4" s="1"/>
  <c r="O445" i="4"/>
  <c r="P445" i="4" s="1" a="1"/>
  <c r="P445" i="4" s="1"/>
  <c r="O446" i="4"/>
  <c r="P446" i="4" s="1" a="1"/>
  <c r="P446" i="4" s="1"/>
  <c r="O447" i="4"/>
  <c r="P447" i="4" s="1" a="1"/>
  <c r="P447" i="4" s="1"/>
  <c r="O448" i="4"/>
  <c r="P448" i="4" s="1" a="1"/>
  <c r="P448" i="4" s="1"/>
  <c r="O449" i="4"/>
  <c r="P449" i="4" s="1" a="1"/>
  <c r="P449" i="4" s="1"/>
  <c r="O450" i="4"/>
  <c r="P450" i="4" s="1" a="1"/>
  <c r="P450" i="4" s="1"/>
  <c r="O451" i="4"/>
  <c r="P451" i="4" s="1" a="1"/>
  <c r="P451" i="4" s="1"/>
  <c r="O452" i="4"/>
  <c r="P452" i="4" s="1" a="1"/>
  <c r="P452" i="4" s="1"/>
  <c r="O453" i="4"/>
  <c r="P453" i="4" s="1" a="1"/>
  <c r="P453" i="4" s="1"/>
  <c r="O454" i="4"/>
  <c r="P454" i="4" s="1" a="1"/>
  <c r="P454" i="4" s="1"/>
  <c r="O455" i="4"/>
  <c r="P455" i="4" s="1" a="1"/>
  <c r="P455" i="4" s="1"/>
  <c r="O456" i="4"/>
  <c r="P456" i="4" s="1" a="1"/>
  <c r="P456" i="4" s="1"/>
  <c r="O457" i="4"/>
  <c r="P457" i="4" s="1" a="1"/>
  <c r="P457" i="4" s="1"/>
  <c r="O458" i="4"/>
  <c r="P458" i="4" s="1" a="1"/>
  <c r="P458" i="4" s="1"/>
  <c r="O459" i="4"/>
  <c r="P459" i="4" s="1" a="1"/>
  <c r="P459" i="4" s="1"/>
  <c r="O460" i="4"/>
  <c r="P460" i="4" s="1" a="1"/>
  <c r="P460" i="4" s="1"/>
  <c r="O461" i="4"/>
  <c r="P461" i="4" s="1" a="1"/>
  <c r="P461" i="4" s="1"/>
  <c r="O462" i="4"/>
  <c r="P462" i="4" s="1" a="1"/>
  <c r="P462" i="4" s="1"/>
  <c r="O463" i="4"/>
  <c r="P463" i="4" s="1" a="1"/>
  <c r="P463" i="4" s="1"/>
  <c r="O464" i="4"/>
  <c r="P464" i="4" s="1" a="1"/>
  <c r="P464" i="4" s="1"/>
  <c r="O465" i="4"/>
  <c r="P465" i="4" s="1" a="1"/>
  <c r="P465" i="4" s="1"/>
  <c r="O466" i="4"/>
  <c r="P466" i="4" s="1" a="1"/>
  <c r="P466" i="4" s="1"/>
  <c r="O467" i="4"/>
  <c r="P467" i="4" s="1" a="1"/>
  <c r="P467" i="4" s="1"/>
  <c r="O468" i="4"/>
  <c r="P468" i="4" s="1" a="1"/>
  <c r="P468" i="4" s="1"/>
  <c r="O469" i="4"/>
  <c r="P469" i="4" s="1" a="1"/>
  <c r="P469" i="4" s="1"/>
  <c r="O470" i="4"/>
  <c r="P470" i="4" s="1" a="1"/>
  <c r="P470" i="4" s="1"/>
  <c r="O471" i="4"/>
  <c r="P471" i="4" s="1" a="1"/>
  <c r="P471" i="4" s="1"/>
  <c r="O472" i="4"/>
  <c r="P472" i="4" s="1" a="1"/>
  <c r="P472" i="4" s="1"/>
  <c r="O473" i="4"/>
  <c r="P473" i="4" s="1" a="1"/>
  <c r="P473" i="4" s="1"/>
  <c r="O474" i="4"/>
  <c r="P474" i="4" s="1" a="1"/>
  <c r="P474" i="4" s="1"/>
  <c r="O475" i="4"/>
  <c r="P475" i="4" s="1" a="1"/>
  <c r="P475" i="4" s="1"/>
  <c r="O476" i="4"/>
  <c r="P476" i="4" s="1" a="1"/>
  <c r="P476" i="4" s="1"/>
  <c r="O477" i="4"/>
  <c r="P477" i="4" s="1" a="1"/>
  <c r="P477" i="4" s="1"/>
  <c r="O478" i="4"/>
  <c r="P478" i="4" s="1" a="1"/>
  <c r="P478" i="4" s="1"/>
  <c r="O479" i="4"/>
  <c r="P479" i="4" s="1" a="1"/>
  <c r="P479" i="4" s="1"/>
  <c r="O480" i="4"/>
  <c r="P480" i="4" s="1" a="1"/>
  <c r="P480" i="4" s="1"/>
  <c r="O481" i="4"/>
  <c r="P481" i="4" s="1" a="1"/>
  <c r="P481" i="4" s="1"/>
  <c r="O482" i="4"/>
  <c r="P482" i="4" s="1" a="1"/>
  <c r="P482" i="4" s="1"/>
  <c r="O483" i="4"/>
  <c r="P483" i="4" s="1" a="1"/>
  <c r="P483" i="4" s="1"/>
  <c r="O484" i="4"/>
  <c r="P484" i="4" s="1" a="1"/>
  <c r="P484" i="4" s="1"/>
  <c r="O485" i="4"/>
  <c r="P485" i="4" s="1" a="1"/>
  <c r="P485" i="4" s="1"/>
  <c r="O486" i="4"/>
  <c r="P486" i="4" s="1" a="1"/>
  <c r="P486" i="4" s="1"/>
  <c r="O487" i="4"/>
  <c r="P487" i="4" s="1" a="1"/>
  <c r="P487" i="4" s="1"/>
  <c r="O488" i="4"/>
  <c r="P488" i="4" s="1" a="1"/>
  <c r="P488" i="4" s="1"/>
  <c r="O489" i="4"/>
  <c r="P489" i="4" s="1" a="1"/>
  <c r="P489" i="4" s="1"/>
  <c r="O490" i="4"/>
  <c r="P490" i="4" s="1" a="1"/>
  <c r="P490" i="4" s="1"/>
  <c r="O491" i="4"/>
  <c r="P491" i="4" s="1" a="1"/>
  <c r="P491" i="4" s="1"/>
  <c r="O492" i="4"/>
  <c r="P492" i="4" s="1" a="1"/>
  <c r="P492" i="4" s="1"/>
  <c r="O493" i="4"/>
  <c r="P493" i="4" s="1" a="1"/>
  <c r="P493" i="4" s="1"/>
  <c r="O494" i="4"/>
  <c r="P494" i="4" s="1" a="1"/>
  <c r="P494" i="4" s="1"/>
  <c r="O495" i="4"/>
  <c r="P495" i="4" s="1" a="1"/>
  <c r="P495" i="4" s="1"/>
  <c r="O496" i="4"/>
  <c r="P496" i="4" s="1" a="1"/>
  <c r="P496" i="4" s="1"/>
  <c r="O497" i="4"/>
  <c r="P497" i="4" s="1" a="1"/>
  <c r="P497" i="4" s="1"/>
  <c r="O498" i="4"/>
  <c r="P498" i="4" s="1" a="1"/>
  <c r="P498" i="4" s="1"/>
  <c r="O499" i="4"/>
  <c r="P499" i="4" s="1" a="1"/>
  <c r="P499" i="4" s="1"/>
  <c r="O500" i="4"/>
  <c r="P500" i="4" s="1" a="1"/>
  <c r="P500" i="4" s="1"/>
  <c r="O501" i="4"/>
  <c r="P501" i="4" s="1" a="1"/>
  <c r="P501" i="4" s="1"/>
  <c r="O502" i="4"/>
  <c r="P502" i="4" s="1" a="1"/>
  <c r="P502" i="4" s="1"/>
  <c r="O503" i="4"/>
  <c r="P503" i="4" s="1" a="1"/>
  <c r="P503" i="4" s="1"/>
  <c r="O504" i="4"/>
  <c r="P504" i="4" s="1" a="1"/>
  <c r="P504" i="4" s="1"/>
  <c r="O505" i="4"/>
  <c r="P505" i="4" s="1" a="1"/>
  <c r="P505" i="4" s="1"/>
  <c r="O506" i="4"/>
  <c r="P506" i="4" s="1" a="1"/>
  <c r="P506" i="4" s="1"/>
  <c r="O507" i="4"/>
  <c r="P507" i="4" s="1" a="1"/>
  <c r="P507" i="4" s="1"/>
  <c r="O508" i="4"/>
  <c r="P508" i="4" s="1" a="1"/>
  <c r="P508" i="4" s="1"/>
  <c r="O509" i="4"/>
  <c r="P509" i="4" s="1" a="1"/>
  <c r="P509" i="4" s="1"/>
  <c r="O510" i="4"/>
  <c r="P510" i="4" s="1" a="1"/>
  <c r="P510" i="4" s="1"/>
  <c r="O511" i="4"/>
  <c r="P511" i="4" s="1" a="1"/>
  <c r="P511" i="4" s="1"/>
  <c r="O512" i="4"/>
  <c r="P512" i="4" s="1" a="1"/>
  <c r="P512" i="4" s="1"/>
  <c r="O513" i="4"/>
  <c r="P513" i="4" s="1" a="1"/>
  <c r="P513" i="4" s="1"/>
  <c r="O514" i="4"/>
  <c r="P514" i="4" s="1" a="1"/>
  <c r="P514" i="4" s="1"/>
  <c r="O515" i="4"/>
  <c r="P515" i="4" s="1" a="1"/>
  <c r="P515" i="4" s="1"/>
  <c r="O516" i="4"/>
  <c r="P516" i="4" s="1" a="1"/>
  <c r="P516" i="4" s="1"/>
  <c r="O517" i="4"/>
  <c r="P517" i="4" s="1" a="1"/>
  <c r="P517" i="4" s="1"/>
  <c r="O518" i="4"/>
  <c r="P518" i="4" s="1" a="1"/>
  <c r="P518" i="4" s="1"/>
  <c r="O519" i="4"/>
  <c r="P519" i="4" s="1" a="1"/>
  <c r="P519" i="4" s="1"/>
  <c r="O520" i="4"/>
  <c r="P520" i="4" s="1" a="1"/>
  <c r="P520" i="4" s="1"/>
  <c r="O521" i="4"/>
  <c r="P521" i="4" s="1" a="1"/>
  <c r="P521" i="4" s="1"/>
  <c r="O522" i="4"/>
  <c r="P522" i="4" s="1" a="1"/>
  <c r="P522" i="4" s="1"/>
  <c r="O523" i="4"/>
  <c r="P523" i="4" s="1" a="1"/>
  <c r="P523" i="4" s="1"/>
  <c r="O524" i="4"/>
  <c r="P524" i="4" s="1" a="1"/>
  <c r="P524" i="4" s="1"/>
  <c r="O525" i="4"/>
  <c r="P525" i="4" s="1" a="1"/>
  <c r="P525" i="4" s="1"/>
  <c r="O526" i="4"/>
  <c r="P526" i="4" s="1" a="1"/>
  <c r="P526" i="4" s="1"/>
  <c r="O527" i="4"/>
  <c r="P527" i="4" s="1" a="1"/>
  <c r="P527" i="4" s="1"/>
  <c r="O528" i="4"/>
  <c r="P528" i="4" s="1" a="1"/>
  <c r="P528" i="4" s="1"/>
  <c r="O529" i="4"/>
  <c r="P529" i="4" s="1" a="1"/>
  <c r="P529" i="4" s="1"/>
  <c r="O530" i="4"/>
  <c r="P530" i="4" s="1" a="1"/>
  <c r="P530" i="4" s="1"/>
  <c r="O531" i="4"/>
  <c r="P531" i="4" s="1" a="1"/>
  <c r="P531" i="4" s="1"/>
  <c r="O532" i="4"/>
  <c r="P532" i="4" s="1" a="1"/>
  <c r="P532" i="4" s="1"/>
  <c r="O533" i="4"/>
  <c r="P533" i="4" s="1" a="1"/>
  <c r="P533" i="4" s="1"/>
  <c r="O534" i="4"/>
  <c r="P534" i="4" s="1" a="1"/>
  <c r="P534" i="4" s="1"/>
  <c r="O535" i="4"/>
  <c r="P535" i="4" s="1" a="1"/>
  <c r="P535" i="4" s="1"/>
  <c r="O536" i="4"/>
  <c r="P536" i="4" s="1" a="1"/>
  <c r="P536" i="4" s="1"/>
  <c r="O537" i="4"/>
  <c r="P537" i="4" s="1" a="1"/>
  <c r="P537" i="4" s="1"/>
  <c r="O538" i="4"/>
  <c r="P538" i="4" s="1" a="1"/>
  <c r="P538" i="4" s="1"/>
  <c r="O539" i="4"/>
  <c r="P539" i="4" s="1" a="1"/>
  <c r="P539" i="4" s="1"/>
  <c r="O540" i="4"/>
  <c r="P540" i="4" s="1" a="1"/>
  <c r="P540" i="4" s="1"/>
  <c r="O541" i="4"/>
  <c r="P541" i="4" s="1" a="1"/>
  <c r="P541" i="4" s="1"/>
  <c r="O542" i="4"/>
  <c r="P542" i="4" s="1" a="1"/>
  <c r="P542" i="4" s="1"/>
  <c r="O543" i="4"/>
  <c r="P543" i="4" s="1" a="1"/>
  <c r="P543" i="4" s="1"/>
  <c r="O544" i="4"/>
  <c r="P544" i="4" s="1" a="1"/>
  <c r="P544" i="4" s="1"/>
  <c r="O545" i="4"/>
  <c r="P545" i="4" s="1" a="1"/>
  <c r="P545" i="4" s="1"/>
  <c r="O546" i="4"/>
  <c r="P546" i="4" s="1" a="1"/>
  <c r="P546" i="4" s="1"/>
  <c r="O547" i="4"/>
  <c r="P547" i="4" s="1" a="1"/>
  <c r="P547" i="4" s="1"/>
  <c r="O548" i="4"/>
  <c r="P548" i="4" s="1" a="1"/>
  <c r="P548" i="4" s="1"/>
  <c r="O549" i="4"/>
  <c r="P549" i="4" s="1" a="1"/>
  <c r="P549" i="4" s="1"/>
  <c r="O550" i="4"/>
  <c r="P550" i="4" s="1" a="1"/>
  <c r="P550" i="4" s="1"/>
  <c r="O551" i="4"/>
  <c r="P551" i="4" s="1" a="1"/>
  <c r="P551" i="4" s="1"/>
  <c r="O552" i="4"/>
  <c r="P552" i="4" s="1" a="1"/>
  <c r="P552" i="4" s="1"/>
  <c r="O553" i="4"/>
  <c r="P553" i="4" s="1" a="1"/>
  <c r="P553" i="4" s="1"/>
  <c r="O554" i="4"/>
  <c r="P554" i="4" s="1" a="1"/>
  <c r="P554" i="4" s="1"/>
  <c r="O555" i="4"/>
  <c r="P555" i="4" s="1" a="1"/>
  <c r="P555" i="4" s="1"/>
  <c r="O556" i="4"/>
  <c r="P556" i="4" s="1" a="1"/>
  <c r="P556" i="4" s="1"/>
  <c r="O557" i="4"/>
  <c r="P557" i="4" s="1" a="1"/>
  <c r="P557" i="4" s="1"/>
  <c r="O558" i="4"/>
  <c r="P558" i="4" s="1" a="1"/>
  <c r="P558" i="4" s="1"/>
  <c r="O559" i="4"/>
  <c r="P559" i="4" s="1" a="1"/>
  <c r="P559" i="4" s="1"/>
  <c r="O560" i="4"/>
  <c r="P560" i="4" s="1" a="1"/>
  <c r="P560" i="4" s="1"/>
  <c r="O561" i="4"/>
  <c r="P561" i="4" s="1" a="1"/>
  <c r="P561" i="4" s="1"/>
  <c r="O562" i="4"/>
  <c r="P562" i="4" s="1" a="1"/>
  <c r="P562" i="4" s="1"/>
  <c r="O563" i="4"/>
  <c r="P563" i="4" s="1" a="1"/>
  <c r="P563" i="4" s="1"/>
  <c r="O564" i="4"/>
  <c r="P564" i="4" s="1" a="1"/>
  <c r="P564" i="4" s="1"/>
  <c r="O565" i="4"/>
  <c r="P565" i="4" s="1" a="1"/>
  <c r="P565" i="4" s="1"/>
  <c r="O566" i="4"/>
  <c r="P566" i="4" s="1" a="1"/>
  <c r="P566" i="4" s="1"/>
  <c r="O567" i="4"/>
  <c r="P567" i="4" s="1" a="1"/>
  <c r="P567" i="4" s="1"/>
  <c r="O568" i="4"/>
  <c r="P568" i="4" s="1" a="1"/>
  <c r="P568" i="4" s="1"/>
  <c r="O569" i="4"/>
  <c r="P569" i="4" s="1" a="1"/>
  <c r="P569" i="4" s="1"/>
  <c r="O570" i="4"/>
  <c r="P570" i="4" s="1" a="1"/>
  <c r="P570" i="4" s="1"/>
  <c r="O571" i="4"/>
  <c r="P571" i="4" s="1" a="1"/>
  <c r="P571" i="4" s="1"/>
  <c r="O572" i="4"/>
  <c r="P572" i="4" s="1" a="1"/>
  <c r="P572" i="4" s="1"/>
  <c r="O573" i="4"/>
  <c r="P573" i="4" s="1" a="1"/>
  <c r="P573" i="4" s="1"/>
  <c r="O574" i="4"/>
  <c r="P574" i="4" s="1" a="1"/>
  <c r="P574" i="4" s="1"/>
  <c r="O575" i="4"/>
  <c r="P575" i="4" s="1" a="1"/>
  <c r="P575" i="4" s="1"/>
  <c r="O576" i="4"/>
  <c r="P576" i="4" s="1" a="1"/>
  <c r="P576" i="4" s="1"/>
  <c r="O577" i="4"/>
  <c r="P577" i="4" s="1" a="1"/>
  <c r="P577" i="4" s="1"/>
  <c r="O578" i="4"/>
  <c r="P578" i="4" s="1" a="1"/>
  <c r="P578" i="4" s="1"/>
  <c r="O579" i="4"/>
  <c r="P579" i="4" s="1" a="1"/>
  <c r="P579" i="4" s="1"/>
  <c r="O580" i="4"/>
  <c r="P580" i="4" s="1" a="1"/>
  <c r="P580" i="4" s="1"/>
  <c r="O581" i="4"/>
  <c r="P581" i="4" s="1" a="1"/>
  <c r="P581" i="4" s="1"/>
  <c r="O582" i="4"/>
  <c r="P582" i="4" s="1" a="1"/>
  <c r="P582" i="4" s="1"/>
  <c r="O583" i="4"/>
  <c r="P583" i="4" s="1" a="1"/>
  <c r="P583" i="4" s="1"/>
  <c r="O584" i="4"/>
  <c r="P584" i="4" s="1" a="1"/>
  <c r="P584" i="4" s="1"/>
  <c r="O585" i="4"/>
  <c r="P585" i="4" s="1" a="1"/>
  <c r="P585" i="4" s="1"/>
  <c r="O586" i="4"/>
  <c r="P586" i="4" s="1" a="1"/>
  <c r="P586" i="4" s="1"/>
  <c r="O587" i="4"/>
  <c r="P587" i="4" s="1" a="1"/>
  <c r="P587" i="4" s="1"/>
  <c r="O588" i="4"/>
  <c r="P588" i="4" s="1" a="1"/>
  <c r="P588" i="4" s="1"/>
  <c r="O589" i="4"/>
  <c r="P589" i="4" s="1" a="1"/>
  <c r="P589" i="4" s="1"/>
  <c r="O590" i="4"/>
  <c r="P590" i="4" s="1" a="1"/>
  <c r="P590" i="4" s="1"/>
  <c r="O591" i="4"/>
  <c r="P591" i="4" s="1" a="1"/>
  <c r="P591" i="4" s="1"/>
  <c r="O592" i="4"/>
  <c r="P592" i="4" s="1" a="1"/>
  <c r="P592" i="4" s="1"/>
  <c r="O593" i="4"/>
  <c r="P593" i="4" s="1" a="1"/>
  <c r="P593" i="4" s="1"/>
  <c r="O594" i="4"/>
  <c r="P594" i="4" s="1" a="1"/>
  <c r="P594" i="4" s="1"/>
  <c r="O595" i="4"/>
  <c r="P595" i="4" s="1" a="1"/>
  <c r="P595" i="4" s="1"/>
  <c r="O596" i="4"/>
  <c r="P596" i="4" s="1" a="1"/>
  <c r="P596" i="4" s="1"/>
  <c r="O597" i="4"/>
  <c r="P597" i="4" s="1" a="1"/>
  <c r="P597" i="4" s="1"/>
  <c r="O598" i="4"/>
  <c r="P598" i="4" s="1" a="1"/>
  <c r="P598" i="4" s="1"/>
  <c r="O599" i="4"/>
  <c r="P599" i="4" s="1" a="1"/>
  <c r="P599" i="4" s="1"/>
  <c r="O600" i="4"/>
  <c r="P600" i="4" s="1" a="1"/>
  <c r="P600" i="4" s="1"/>
  <c r="O601" i="4"/>
  <c r="P601" i="4" s="1" a="1"/>
  <c r="P601" i="4" s="1"/>
  <c r="O602" i="4"/>
  <c r="P602" i="4" s="1" a="1"/>
  <c r="P602" i="4" s="1"/>
  <c r="O603" i="4"/>
  <c r="P603" i="4" s="1" a="1"/>
  <c r="P603" i="4" s="1"/>
  <c r="O604" i="4"/>
  <c r="P604" i="4" s="1" a="1"/>
  <c r="P604" i="4" s="1"/>
  <c r="O605" i="4"/>
  <c r="P605" i="4" s="1" a="1"/>
  <c r="P605" i="4" s="1"/>
  <c r="O606" i="4"/>
  <c r="P606" i="4" s="1" a="1"/>
  <c r="P606" i="4" s="1"/>
  <c r="O607" i="4"/>
  <c r="P607" i="4" s="1" a="1"/>
  <c r="P607" i="4" s="1"/>
  <c r="O608" i="4"/>
  <c r="P608" i="4" s="1" a="1"/>
  <c r="P608" i="4" s="1"/>
  <c r="O609" i="4"/>
  <c r="P609" i="4" s="1" a="1"/>
  <c r="P609" i="4" s="1"/>
  <c r="O610" i="4"/>
  <c r="P610" i="4" s="1" a="1"/>
  <c r="P610" i="4" s="1"/>
  <c r="O611" i="4"/>
  <c r="P611" i="4" s="1" a="1"/>
  <c r="P611" i="4" s="1"/>
  <c r="O612" i="4"/>
  <c r="P612" i="4" s="1" a="1"/>
  <c r="P612" i="4" s="1"/>
  <c r="O613" i="4"/>
  <c r="P613" i="4" s="1" a="1"/>
  <c r="P613" i="4" s="1"/>
  <c r="O614" i="4"/>
  <c r="P614" i="4" s="1" a="1"/>
  <c r="P614" i="4" s="1"/>
  <c r="O615" i="4"/>
  <c r="P615" i="4" s="1" a="1"/>
  <c r="P615" i="4" s="1"/>
  <c r="O616" i="4"/>
  <c r="P616" i="4" s="1" a="1"/>
  <c r="P616" i="4" s="1"/>
  <c r="O617" i="4"/>
  <c r="P617" i="4" s="1" a="1"/>
  <c r="P617" i="4" s="1"/>
  <c r="O618" i="4"/>
  <c r="P618" i="4" s="1" a="1"/>
  <c r="P618" i="4" s="1"/>
  <c r="O619" i="4"/>
  <c r="P619" i="4" s="1" a="1"/>
  <c r="P619" i="4" s="1"/>
  <c r="O620" i="4"/>
  <c r="P620" i="4" s="1" a="1"/>
  <c r="P620" i="4" s="1"/>
  <c r="O621" i="4"/>
  <c r="P621" i="4" s="1" a="1"/>
  <c r="P621" i="4" s="1"/>
  <c r="O622" i="4"/>
  <c r="P622" i="4" s="1" a="1"/>
  <c r="P622" i="4" s="1"/>
  <c r="O623" i="4"/>
  <c r="P623" i="4" s="1" a="1"/>
  <c r="P623" i="4" s="1"/>
  <c r="O624" i="4"/>
  <c r="P624" i="4" s="1" a="1"/>
  <c r="P624" i="4" s="1"/>
  <c r="O625" i="4"/>
  <c r="P625" i="4" s="1" a="1"/>
  <c r="P625" i="4" s="1"/>
  <c r="O626" i="4"/>
  <c r="P626" i="4" s="1" a="1"/>
  <c r="P626" i="4" s="1"/>
  <c r="O627" i="4"/>
  <c r="P627" i="4" s="1" a="1"/>
  <c r="P627" i="4" s="1"/>
  <c r="O628" i="4"/>
  <c r="P628" i="4" s="1" a="1"/>
  <c r="P628" i="4" s="1"/>
  <c r="O629" i="4"/>
  <c r="P629" i="4" s="1" a="1"/>
  <c r="P629" i="4" s="1"/>
  <c r="O630" i="4"/>
  <c r="P630" i="4" s="1" a="1"/>
  <c r="P630" i="4" s="1"/>
  <c r="O631" i="4"/>
  <c r="P631" i="4" s="1" a="1"/>
  <c r="P631" i="4" s="1"/>
  <c r="O632" i="4"/>
  <c r="P632" i="4" s="1" a="1"/>
  <c r="P632" i="4" s="1"/>
  <c r="O633" i="4"/>
  <c r="P633" i="4" s="1" a="1"/>
  <c r="P633" i="4" s="1"/>
  <c r="O634" i="4"/>
  <c r="P634" i="4" s="1" a="1"/>
  <c r="P634" i="4" s="1"/>
  <c r="O635" i="4"/>
  <c r="P635" i="4" s="1" a="1"/>
  <c r="P635" i="4" s="1"/>
  <c r="O636" i="4"/>
  <c r="P636" i="4" s="1" a="1"/>
  <c r="P636" i="4" s="1"/>
  <c r="O637" i="4"/>
  <c r="P637" i="4" s="1" a="1"/>
  <c r="P637" i="4" s="1"/>
  <c r="O638" i="4"/>
  <c r="P638" i="4" s="1" a="1"/>
  <c r="P638" i="4" s="1"/>
  <c r="O639" i="4"/>
  <c r="P639" i="4" s="1" a="1"/>
  <c r="P639" i="4" s="1"/>
  <c r="O640" i="4"/>
  <c r="P640" i="4" s="1" a="1"/>
  <c r="P640" i="4" s="1"/>
  <c r="O641" i="4"/>
  <c r="P641" i="4" s="1" a="1"/>
  <c r="P641" i="4" s="1"/>
  <c r="O642" i="4"/>
  <c r="P642" i="4" s="1" a="1"/>
  <c r="P642" i="4" s="1"/>
  <c r="O643" i="4"/>
  <c r="P643" i="4" s="1" a="1"/>
  <c r="P643" i="4" s="1"/>
  <c r="O644" i="4"/>
  <c r="P644" i="4" s="1" a="1"/>
  <c r="P644" i="4" s="1"/>
  <c r="O645" i="4"/>
  <c r="P645" i="4" s="1" a="1"/>
  <c r="P645" i="4" s="1"/>
  <c r="O646" i="4"/>
  <c r="P646" i="4" s="1" a="1"/>
  <c r="P646" i="4" s="1"/>
  <c r="O647" i="4"/>
  <c r="P647" i="4" s="1" a="1"/>
  <c r="P647" i="4" s="1"/>
  <c r="O648" i="4"/>
  <c r="P648" i="4" s="1" a="1"/>
  <c r="P648" i="4" s="1"/>
  <c r="O649" i="4"/>
  <c r="P649" i="4" s="1" a="1"/>
  <c r="P649" i="4" s="1"/>
  <c r="O650" i="4"/>
  <c r="P650" i="4" s="1" a="1"/>
  <c r="P650" i="4" s="1"/>
  <c r="O651" i="4"/>
  <c r="P651" i="4" s="1" a="1"/>
  <c r="P651" i="4" s="1"/>
  <c r="O652" i="4"/>
  <c r="P652" i="4" s="1" a="1"/>
  <c r="P652" i="4" s="1"/>
  <c r="O653" i="4"/>
  <c r="P653" i="4" s="1" a="1"/>
  <c r="P653" i="4" s="1"/>
  <c r="O654" i="4"/>
  <c r="P654" i="4" s="1" a="1"/>
  <c r="P654" i="4" s="1"/>
  <c r="O655" i="4"/>
  <c r="P655" i="4" s="1" a="1"/>
  <c r="P655" i="4" s="1"/>
  <c r="O656" i="4"/>
  <c r="P656" i="4" s="1" a="1"/>
  <c r="P656" i="4" s="1"/>
  <c r="O657" i="4"/>
  <c r="P657" i="4" s="1" a="1"/>
  <c r="P657" i="4" s="1"/>
  <c r="O658" i="4"/>
  <c r="P658" i="4" s="1" a="1"/>
  <c r="P658" i="4" s="1"/>
  <c r="O659" i="4"/>
  <c r="P659" i="4" s="1" a="1"/>
  <c r="P659" i="4" s="1"/>
  <c r="O660" i="4"/>
  <c r="P660" i="4" s="1" a="1"/>
  <c r="P660" i="4" s="1"/>
  <c r="O661" i="4"/>
  <c r="P661" i="4" s="1" a="1"/>
  <c r="P661" i="4" s="1"/>
  <c r="O662" i="4"/>
  <c r="P662" i="4" s="1" a="1"/>
  <c r="P662" i="4" s="1"/>
  <c r="O663" i="4"/>
  <c r="P663" i="4" s="1" a="1"/>
  <c r="P663" i="4" s="1"/>
  <c r="O664" i="4"/>
  <c r="P664" i="4" s="1" a="1"/>
  <c r="P664" i="4" s="1"/>
  <c r="O665" i="4"/>
  <c r="P665" i="4" s="1" a="1"/>
  <c r="P665" i="4" s="1"/>
  <c r="O666" i="4"/>
  <c r="P666" i="4" s="1" a="1"/>
  <c r="P666" i="4" s="1"/>
  <c r="O667" i="4"/>
  <c r="P667" i="4" s="1" a="1"/>
  <c r="P667" i="4" s="1"/>
  <c r="O668" i="4"/>
  <c r="P668" i="4" s="1" a="1"/>
  <c r="P668" i="4" s="1"/>
  <c r="O669" i="4"/>
  <c r="P669" i="4" s="1" a="1"/>
  <c r="P669" i="4" s="1"/>
  <c r="O670" i="4"/>
  <c r="P670" i="4" s="1" a="1"/>
  <c r="P670" i="4" s="1"/>
  <c r="O671" i="4"/>
  <c r="P671" i="4" s="1" a="1"/>
  <c r="P671" i="4" s="1"/>
  <c r="O672" i="4"/>
  <c r="P672" i="4" s="1" a="1"/>
  <c r="P672" i="4" s="1"/>
  <c r="O673" i="4"/>
  <c r="P673" i="4" s="1" a="1"/>
  <c r="P673" i="4" s="1"/>
  <c r="O674" i="4"/>
  <c r="P674" i="4" s="1" a="1"/>
  <c r="P674" i="4" s="1"/>
  <c r="O675" i="4"/>
  <c r="P675" i="4" s="1" a="1"/>
  <c r="P675" i="4" s="1"/>
  <c r="O676" i="4"/>
  <c r="P676" i="4" s="1" a="1"/>
  <c r="P676" i="4" s="1"/>
  <c r="O677" i="4"/>
  <c r="P677" i="4" s="1" a="1"/>
  <c r="P677" i="4" s="1"/>
  <c r="O678" i="4"/>
  <c r="P678" i="4" s="1" a="1"/>
  <c r="P678" i="4" s="1"/>
  <c r="O679" i="4"/>
  <c r="P679" i="4" s="1" a="1"/>
  <c r="P679" i="4" s="1"/>
  <c r="O680" i="4"/>
  <c r="P680" i="4" s="1" a="1"/>
  <c r="P680" i="4" s="1"/>
  <c r="O681" i="4"/>
  <c r="P681" i="4" s="1" a="1"/>
  <c r="P681" i="4" s="1"/>
  <c r="O682" i="4"/>
  <c r="P682" i="4" s="1" a="1"/>
  <c r="P682" i="4" s="1"/>
  <c r="O683" i="4"/>
  <c r="P683" i="4" s="1" a="1"/>
  <c r="P683" i="4" s="1"/>
  <c r="O684" i="4"/>
  <c r="P684" i="4" s="1" a="1"/>
  <c r="P684" i="4" s="1"/>
  <c r="O685" i="4"/>
  <c r="P685" i="4" s="1" a="1"/>
  <c r="P685" i="4" s="1"/>
  <c r="O686" i="4"/>
  <c r="P686" i="4" s="1" a="1"/>
  <c r="P686" i="4" s="1"/>
  <c r="O687" i="4"/>
  <c r="P687" i="4" s="1" a="1"/>
  <c r="P687" i="4" s="1"/>
  <c r="O688" i="4"/>
  <c r="P688" i="4" s="1" a="1"/>
  <c r="P688" i="4" s="1"/>
  <c r="O689" i="4"/>
  <c r="P689" i="4" s="1" a="1"/>
  <c r="P689" i="4" s="1"/>
  <c r="O690" i="4"/>
  <c r="P690" i="4" s="1" a="1"/>
  <c r="P690" i="4" s="1"/>
  <c r="O691" i="4"/>
  <c r="P691" i="4" s="1" a="1"/>
  <c r="P691" i="4" s="1"/>
  <c r="O692" i="4"/>
  <c r="P692" i="4" s="1" a="1"/>
  <c r="P692" i="4" s="1"/>
  <c r="O693" i="4"/>
  <c r="P693" i="4" s="1" a="1"/>
  <c r="P693" i="4" s="1"/>
  <c r="O694" i="4"/>
  <c r="P694" i="4" s="1" a="1"/>
  <c r="P694" i="4" s="1"/>
  <c r="O695" i="4"/>
  <c r="P695" i="4" s="1" a="1"/>
  <c r="P695" i="4" s="1"/>
  <c r="O696" i="4"/>
  <c r="P696" i="4" s="1" a="1"/>
  <c r="P696" i="4" s="1"/>
  <c r="O697" i="4"/>
  <c r="P697" i="4" s="1" a="1"/>
  <c r="P697" i="4" s="1"/>
  <c r="O698" i="4"/>
  <c r="P698" i="4" s="1" a="1"/>
  <c r="P698" i="4" s="1"/>
  <c r="O699" i="4"/>
  <c r="P699" i="4" s="1" a="1"/>
  <c r="P699" i="4" s="1"/>
  <c r="O700" i="4"/>
  <c r="P700" i="4" s="1" a="1"/>
  <c r="P700" i="4" s="1"/>
  <c r="O701" i="4"/>
  <c r="P701" i="4" s="1" a="1"/>
  <c r="P701" i="4" s="1"/>
  <c r="O702" i="4"/>
  <c r="P702" i="4" s="1" a="1"/>
  <c r="P702" i="4" s="1"/>
  <c r="O703" i="4"/>
  <c r="P703" i="4" s="1" a="1"/>
  <c r="P703" i="4" s="1"/>
  <c r="O704" i="4"/>
  <c r="P704" i="4" s="1" a="1"/>
  <c r="P704" i="4" s="1"/>
  <c r="O705" i="4"/>
  <c r="P705" i="4" s="1" a="1"/>
  <c r="P705" i="4" s="1"/>
  <c r="O706" i="4"/>
  <c r="P706" i="4" s="1" a="1"/>
  <c r="P706" i="4" s="1"/>
  <c r="O707" i="4"/>
  <c r="P707" i="4" s="1" a="1"/>
  <c r="P707" i="4" s="1"/>
  <c r="O708" i="4"/>
  <c r="P708" i="4" s="1" a="1"/>
  <c r="P708" i="4" s="1"/>
  <c r="O709" i="4"/>
  <c r="P709" i="4" s="1" a="1"/>
  <c r="P709" i="4" s="1"/>
  <c r="O710" i="4"/>
  <c r="P710" i="4" s="1" a="1"/>
  <c r="P710" i="4" s="1"/>
  <c r="O711" i="4"/>
  <c r="P711" i="4" s="1" a="1"/>
  <c r="P711" i="4" s="1"/>
  <c r="O712" i="4"/>
  <c r="P712" i="4" s="1" a="1"/>
  <c r="P712" i="4" s="1"/>
  <c r="O713" i="4"/>
  <c r="P713" i="4" s="1" a="1"/>
  <c r="P713" i="4" s="1"/>
  <c r="O714" i="4"/>
  <c r="P714" i="4" s="1" a="1"/>
  <c r="P714" i="4" s="1"/>
  <c r="O715" i="4"/>
  <c r="P715" i="4" s="1" a="1"/>
  <c r="P715" i="4" s="1"/>
  <c r="O716" i="4"/>
  <c r="P716" i="4" s="1" a="1"/>
  <c r="P716" i="4" s="1"/>
  <c r="O717" i="4"/>
  <c r="P717" i="4" s="1" a="1"/>
  <c r="P717" i="4" s="1"/>
  <c r="O718" i="4"/>
  <c r="P718" i="4" s="1" a="1"/>
  <c r="P718" i="4" s="1"/>
  <c r="O719" i="4"/>
  <c r="P719" i="4" s="1" a="1"/>
  <c r="P719" i="4" s="1"/>
  <c r="O720" i="4"/>
  <c r="P720" i="4" s="1" a="1"/>
  <c r="P720" i="4" s="1"/>
  <c r="O721" i="4"/>
  <c r="P721" i="4" s="1" a="1"/>
  <c r="P721" i="4" s="1"/>
  <c r="O722" i="4"/>
  <c r="P722" i="4" s="1" a="1"/>
  <c r="P722" i="4" s="1"/>
  <c r="O723" i="4"/>
  <c r="P723" i="4" s="1" a="1"/>
  <c r="P723" i="4" s="1"/>
  <c r="O724" i="4"/>
  <c r="P724" i="4" s="1" a="1"/>
  <c r="P724" i="4" s="1"/>
  <c r="O725" i="4"/>
  <c r="P725" i="4" s="1" a="1"/>
  <c r="P725" i="4" s="1"/>
  <c r="O726" i="4"/>
  <c r="P726" i="4" s="1" a="1"/>
  <c r="P726" i="4" s="1"/>
  <c r="O727" i="4"/>
  <c r="P727" i="4" s="1" a="1"/>
  <c r="P727" i="4" s="1"/>
  <c r="O728" i="4"/>
  <c r="P728" i="4" s="1" a="1"/>
  <c r="P728" i="4" s="1"/>
  <c r="O729" i="4"/>
  <c r="P729" i="4" s="1" a="1"/>
  <c r="P729" i="4" s="1"/>
  <c r="O730" i="4"/>
  <c r="P730" i="4" s="1" a="1"/>
  <c r="P730" i="4" s="1"/>
  <c r="O731" i="4"/>
  <c r="P731" i="4" s="1" a="1"/>
  <c r="P731" i="4" s="1"/>
  <c r="O732" i="4"/>
  <c r="P732" i="4" s="1" a="1"/>
  <c r="P732" i="4" s="1"/>
  <c r="O733" i="4"/>
  <c r="P733" i="4" s="1" a="1"/>
  <c r="P733" i="4" s="1"/>
  <c r="O734" i="4"/>
  <c r="P734" i="4" s="1" a="1"/>
  <c r="P734" i="4" s="1"/>
  <c r="O735" i="4"/>
  <c r="P735" i="4" s="1" a="1"/>
  <c r="P735" i="4" s="1"/>
  <c r="O736" i="4"/>
  <c r="P736" i="4" s="1" a="1"/>
  <c r="P736" i="4" s="1"/>
  <c r="O737" i="4"/>
  <c r="P737" i="4" s="1" a="1"/>
  <c r="P737" i="4" s="1"/>
  <c r="O738" i="4"/>
  <c r="P738" i="4" s="1" a="1"/>
  <c r="P738" i="4" s="1"/>
  <c r="O739" i="4"/>
  <c r="P739" i="4" s="1" a="1"/>
  <c r="P739" i="4" s="1"/>
  <c r="O740" i="4"/>
  <c r="P740" i="4" s="1" a="1"/>
  <c r="P740" i="4" s="1"/>
  <c r="O741" i="4"/>
  <c r="P741" i="4" s="1" a="1"/>
  <c r="P741" i="4" s="1"/>
  <c r="O742" i="4"/>
  <c r="P742" i="4" s="1" a="1"/>
  <c r="P742" i="4" s="1"/>
  <c r="O743" i="4"/>
  <c r="P743" i="4" s="1" a="1"/>
  <c r="P743" i="4" s="1"/>
  <c r="O744" i="4"/>
  <c r="P744" i="4" s="1" a="1"/>
  <c r="P744" i="4" s="1"/>
  <c r="O745" i="4"/>
  <c r="P745" i="4" s="1" a="1"/>
  <c r="P745" i="4" s="1"/>
  <c r="O746" i="4"/>
  <c r="P746" i="4" s="1" a="1"/>
  <c r="P746" i="4" s="1"/>
  <c r="O747" i="4"/>
  <c r="P747" i="4" s="1" a="1"/>
  <c r="P747" i="4" s="1"/>
  <c r="O748" i="4"/>
  <c r="P748" i="4" s="1" a="1"/>
  <c r="P748" i="4" s="1"/>
  <c r="O749" i="4"/>
  <c r="P749" i="4" s="1" a="1"/>
  <c r="P749" i="4" s="1"/>
  <c r="O750" i="4"/>
  <c r="P750" i="4" s="1" a="1"/>
  <c r="P750" i="4" s="1"/>
  <c r="O751" i="4"/>
  <c r="P751" i="4" s="1" a="1"/>
  <c r="P751" i="4" s="1"/>
  <c r="O752" i="4"/>
  <c r="P752" i="4" s="1" a="1"/>
  <c r="P752" i="4" s="1"/>
  <c r="O753" i="4"/>
  <c r="P753" i="4" s="1" a="1"/>
  <c r="P753" i="4" s="1"/>
  <c r="O754" i="4"/>
  <c r="P754" i="4" s="1" a="1"/>
  <c r="P754" i="4" s="1"/>
  <c r="O755" i="4"/>
  <c r="P755" i="4" s="1" a="1"/>
  <c r="P755" i="4" s="1"/>
  <c r="O756" i="4"/>
  <c r="P756" i="4" s="1" a="1"/>
  <c r="P756" i="4" s="1"/>
  <c r="O757" i="4"/>
  <c r="P757" i="4" s="1" a="1"/>
  <c r="P757" i="4" s="1"/>
  <c r="O758" i="4"/>
  <c r="P758" i="4" s="1" a="1"/>
  <c r="P758" i="4" s="1"/>
  <c r="O759" i="4"/>
  <c r="P759" i="4" s="1" a="1"/>
  <c r="P759" i="4" s="1"/>
  <c r="O760" i="4"/>
  <c r="P760" i="4" s="1" a="1"/>
  <c r="P760" i="4" s="1"/>
  <c r="O761" i="4"/>
  <c r="P761" i="4" s="1" a="1"/>
  <c r="P761" i="4" s="1"/>
  <c r="O762" i="4"/>
  <c r="P762" i="4" s="1" a="1"/>
  <c r="P762" i="4" s="1"/>
  <c r="O763" i="4"/>
  <c r="P763" i="4" s="1" a="1"/>
  <c r="P763" i="4" s="1"/>
  <c r="O764" i="4"/>
  <c r="P764" i="4" s="1" a="1"/>
  <c r="P764" i="4" s="1"/>
  <c r="O765" i="4"/>
  <c r="P765" i="4" s="1" a="1"/>
  <c r="P765" i="4" s="1"/>
  <c r="O766" i="4"/>
  <c r="P766" i="4" s="1" a="1"/>
  <c r="P766" i="4" s="1"/>
  <c r="O767" i="4"/>
  <c r="P767" i="4" s="1" a="1"/>
  <c r="P767" i="4" s="1"/>
  <c r="O768" i="4"/>
  <c r="P768" i="4" s="1" a="1"/>
  <c r="P768" i="4" s="1"/>
  <c r="O769" i="4"/>
  <c r="P769" i="4" s="1" a="1"/>
  <c r="P769" i="4" s="1"/>
  <c r="O770" i="4"/>
  <c r="P770" i="4" s="1" a="1"/>
  <c r="P770" i="4" s="1"/>
  <c r="O771" i="4"/>
  <c r="P771" i="4" s="1" a="1"/>
  <c r="P771" i="4" s="1"/>
  <c r="O772" i="4"/>
  <c r="P772" i="4" s="1" a="1"/>
  <c r="P772" i="4" s="1"/>
  <c r="O773" i="4"/>
  <c r="P773" i="4" s="1" a="1"/>
  <c r="P773" i="4" s="1"/>
  <c r="O774" i="4"/>
  <c r="P774" i="4" s="1" a="1"/>
  <c r="P774" i="4" s="1"/>
  <c r="O775" i="4"/>
  <c r="P775" i="4" s="1" a="1"/>
  <c r="P775" i="4" s="1"/>
  <c r="O776" i="4"/>
  <c r="P776" i="4" s="1" a="1"/>
  <c r="P776" i="4" s="1"/>
  <c r="O777" i="4"/>
  <c r="P777" i="4" s="1" a="1"/>
  <c r="P777" i="4" s="1"/>
  <c r="O778" i="4"/>
  <c r="P778" i="4" s="1" a="1"/>
  <c r="P778" i="4" s="1"/>
  <c r="O779" i="4"/>
  <c r="P779" i="4" s="1" a="1"/>
  <c r="P779" i="4" s="1"/>
  <c r="O780" i="4"/>
  <c r="P780" i="4" s="1" a="1"/>
  <c r="P780" i="4" s="1"/>
  <c r="O781" i="4"/>
  <c r="P781" i="4" s="1" a="1"/>
  <c r="P781" i="4" s="1"/>
  <c r="O782" i="4"/>
  <c r="P782" i="4" s="1" a="1"/>
  <c r="P782" i="4" s="1"/>
  <c r="O783" i="4"/>
  <c r="P783" i="4" s="1" a="1"/>
  <c r="P783" i="4" s="1"/>
  <c r="O784" i="4"/>
  <c r="P784" i="4" s="1" a="1"/>
  <c r="P784" i="4" s="1"/>
  <c r="O785" i="4"/>
  <c r="P785" i="4" s="1" a="1"/>
  <c r="P785" i="4" s="1"/>
  <c r="O786" i="4"/>
  <c r="P786" i="4" s="1" a="1"/>
  <c r="P786" i="4" s="1"/>
  <c r="O787" i="4"/>
  <c r="P787" i="4" s="1" a="1"/>
  <c r="P787" i="4" s="1"/>
  <c r="O788" i="4"/>
  <c r="P788" i="4" s="1" a="1"/>
  <c r="P788" i="4" s="1"/>
  <c r="O789" i="4"/>
  <c r="P789" i="4" s="1" a="1"/>
  <c r="P789" i="4" s="1"/>
  <c r="O790" i="4"/>
  <c r="P790" i="4" s="1" a="1"/>
  <c r="P790" i="4" s="1"/>
  <c r="O791" i="4"/>
  <c r="P791" i="4" s="1" a="1"/>
  <c r="P791" i="4" s="1"/>
  <c r="O792" i="4"/>
  <c r="P792" i="4" s="1" a="1"/>
  <c r="P792" i="4" s="1"/>
  <c r="O793" i="4"/>
  <c r="P793" i="4" s="1" a="1"/>
  <c r="P793" i="4" s="1"/>
  <c r="O794" i="4"/>
  <c r="P794" i="4" s="1" a="1"/>
  <c r="P794" i="4" s="1"/>
  <c r="O795" i="4"/>
  <c r="P795" i="4" s="1" a="1"/>
  <c r="P795" i="4" s="1"/>
  <c r="O796" i="4"/>
  <c r="P796" i="4" s="1" a="1"/>
  <c r="P796" i="4" s="1"/>
  <c r="O797" i="4"/>
  <c r="P797" i="4" s="1" a="1"/>
  <c r="P797" i="4" s="1"/>
  <c r="O798" i="4"/>
  <c r="P798" i="4" s="1" a="1"/>
  <c r="P798" i="4" s="1"/>
  <c r="O799" i="4"/>
  <c r="P799" i="4" s="1" a="1"/>
  <c r="P799" i="4" s="1"/>
  <c r="O800" i="4"/>
  <c r="P800" i="4" s="1" a="1"/>
  <c r="P800" i="4" s="1"/>
  <c r="O801" i="4"/>
  <c r="P801" i="4" s="1" a="1"/>
  <c r="P801" i="4" s="1"/>
  <c r="O802" i="4"/>
  <c r="P802" i="4" s="1" a="1"/>
  <c r="P802" i="4" s="1"/>
  <c r="O803" i="4"/>
  <c r="P803" i="4" s="1" a="1"/>
  <c r="P803" i="4" s="1"/>
  <c r="O804" i="4"/>
  <c r="P804" i="4" s="1" a="1"/>
  <c r="P804" i="4" s="1"/>
  <c r="O805" i="4"/>
  <c r="P805" i="4" s="1" a="1"/>
  <c r="P805" i="4" s="1"/>
  <c r="O806" i="4"/>
  <c r="P806" i="4" s="1" a="1"/>
  <c r="P806" i="4" s="1"/>
  <c r="O807" i="4"/>
  <c r="P807" i="4" s="1" a="1"/>
  <c r="P807" i="4" s="1"/>
  <c r="O808" i="4"/>
  <c r="P808" i="4" s="1" a="1"/>
  <c r="P808" i="4" s="1"/>
  <c r="O809" i="4"/>
  <c r="P809" i="4" s="1" a="1"/>
  <c r="P809" i="4" s="1"/>
  <c r="O810" i="4"/>
  <c r="P810" i="4" s="1" a="1"/>
  <c r="P810" i="4" s="1"/>
  <c r="O811" i="4"/>
  <c r="P811" i="4" s="1" a="1"/>
  <c r="P811" i="4" s="1"/>
  <c r="O812" i="4"/>
  <c r="P812" i="4" s="1" a="1"/>
  <c r="P812" i="4" s="1"/>
  <c r="O813" i="4"/>
  <c r="P813" i="4" s="1" a="1"/>
  <c r="P813" i="4" s="1"/>
  <c r="O814" i="4"/>
  <c r="P814" i="4" s="1" a="1"/>
  <c r="P814" i="4" s="1"/>
  <c r="O815" i="4"/>
  <c r="P815" i="4" s="1" a="1"/>
  <c r="P815" i="4" s="1"/>
  <c r="O816" i="4"/>
  <c r="P816" i="4" s="1" a="1"/>
  <c r="P816" i="4" s="1"/>
  <c r="O817" i="4"/>
  <c r="P817" i="4" s="1" a="1"/>
  <c r="P817" i="4" s="1"/>
  <c r="O818" i="4"/>
  <c r="P818" i="4" s="1" a="1"/>
  <c r="P818" i="4" s="1"/>
  <c r="O819" i="4"/>
  <c r="P819" i="4" s="1" a="1"/>
  <c r="P819" i="4" s="1"/>
  <c r="O820" i="4"/>
  <c r="P820" i="4" s="1" a="1"/>
  <c r="P820" i="4" s="1"/>
  <c r="O821" i="4"/>
  <c r="P821" i="4" s="1" a="1"/>
  <c r="P821" i="4" s="1"/>
  <c r="O822" i="4"/>
  <c r="P822" i="4" s="1" a="1"/>
  <c r="P822" i="4" s="1"/>
  <c r="O823" i="4"/>
  <c r="P823" i="4" s="1" a="1"/>
  <c r="P823" i="4" s="1"/>
  <c r="O824" i="4"/>
  <c r="P824" i="4" s="1" a="1"/>
  <c r="P824" i="4" s="1"/>
  <c r="O825" i="4"/>
  <c r="P825" i="4" s="1" a="1"/>
  <c r="P825" i="4" s="1"/>
  <c r="O826" i="4"/>
  <c r="P826" i="4" s="1" a="1"/>
  <c r="P826" i="4" s="1"/>
  <c r="O827" i="4"/>
  <c r="P827" i="4" s="1" a="1"/>
  <c r="P827" i="4" s="1"/>
  <c r="O828" i="4"/>
  <c r="P828" i="4" s="1" a="1"/>
  <c r="P828" i="4" s="1"/>
  <c r="O829" i="4"/>
  <c r="P829" i="4" s="1" a="1"/>
  <c r="P829" i="4" s="1"/>
  <c r="O830" i="4"/>
  <c r="P830" i="4" s="1" a="1"/>
  <c r="P830" i="4" s="1"/>
  <c r="O831" i="4"/>
  <c r="P831" i="4" s="1" a="1"/>
  <c r="P831" i="4" s="1"/>
  <c r="O832" i="4"/>
  <c r="P832" i="4" s="1" a="1"/>
  <c r="P832" i="4" s="1"/>
  <c r="O833" i="4"/>
  <c r="P833" i="4" s="1" a="1"/>
  <c r="P833" i="4" s="1"/>
  <c r="O834" i="4"/>
  <c r="P834" i="4" s="1" a="1"/>
  <c r="P834" i="4" s="1"/>
  <c r="O835" i="4"/>
  <c r="P835" i="4" s="1" a="1"/>
  <c r="P835" i="4" s="1"/>
  <c r="O836" i="4"/>
  <c r="P836" i="4" s="1" a="1"/>
  <c r="P836" i="4" s="1"/>
  <c r="O837" i="4"/>
  <c r="P837" i="4" s="1" a="1"/>
  <c r="P837" i="4" s="1"/>
  <c r="O838" i="4"/>
  <c r="P838" i="4" s="1" a="1"/>
  <c r="P838" i="4" s="1"/>
  <c r="O839" i="4"/>
  <c r="P839" i="4" s="1" a="1"/>
  <c r="P839" i="4" s="1"/>
  <c r="O840" i="4"/>
  <c r="P840" i="4" s="1" a="1"/>
  <c r="P840" i="4" s="1"/>
  <c r="O841" i="4"/>
  <c r="P841" i="4" s="1" a="1"/>
  <c r="P841" i="4" s="1"/>
  <c r="O842" i="4"/>
  <c r="P842" i="4" s="1" a="1"/>
  <c r="P842" i="4" s="1"/>
  <c r="O843" i="4"/>
  <c r="P843" i="4" s="1" a="1"/>
  <c r="P843" i="4" s="1"/>
  <c r="O844" i="4"/>
  <c r="P844" i="4" s="1" a="1"/>
  <c r="P844" i="4" s="1"/>
  <c r="O845" i="4"/>
  <c r="P845" i="4" s="1" a="1"/>
  <c r="P845" i="4" s="1"/>
  <c r="O846" i="4"/>
  <c r="P846" i="4" s="1" a="1"/>
  <c r="P846" i="4" s="1"/>
  <c r="O847" i="4"/>
  <c r="P847" i="4" s="1" a="1"/>
  <c r="P847" i="4" s="1"/>
  <c r="O848" i="4"/>
  <c r="P848" i="4" s="1" a="1"/>
  <c r="P848" i="4" s="1"/>
  <c r="O849" i="4"/>
  <c r="P849" i="4" s="1" a="1"/>
  <c r="P849" i="4" s="1"/>
  <c r="O850" i="4"/>
  <c r="P850" i="4" s="1" a="1"/>
  <c r="P850" i="4" s="1"/>
  <c r="O851" i="4"/>
  <c r="P851" i="4" s="1" a="1"/>
  <c r="P851" i="4" s="1"/>
  <c r="O852" i="4"/>
  <c r="P852" i="4" s="1" a="1"/>
  <c r="P852" i="4" s="1"/>
  <c r="O853" i="4"/>
  <c r="P853" i="4" s="1" a="1"/>
  <c r="P853" i="4" s="1"/>
  <c r="O854" i="4"/>
  <c r="P854" i="4" s="1" a="1"/>
  <c r="P854" i="4" s="1"/>
  <c r="O855" i="4"/>
  <c r="P855" i="4" s="1" a="1"/>
  <c r="P855" i="4" s="1"/>
  <c r="O856" i="4"/>
  <c r="P856" i="4" s="1" a="1"/>
  <c r="P856" i="4" s="1"/>
  <c r="O857" i="4"/>
  <c r="P857" i="4" s="1" a="1"/>
  <c r="P857" i="4" s="1"/>
  <c r="O858" i="4"/>
  <c r="P858" i="4" s="1" a="1"/>
  <c r="P858" i="4" s="1"/>
  <c r="O859" i="4"/>
  <c r="P859" i="4" s="1" a="1"/>
  <c r="P859" i="4" s="1"/>
  <c r="O860" i="4"/>
  <c r="P860" i="4" s="1" a="1"/>
  <c r="P860" i="4" s="1"/>
  <c r="O861" i="4"/>
  <c r="P861" i="4" s="1" a="1"/>
  <c r="P861" i="4" s="1"/>
  <c r="O862" i="4"/>
  <c r="P862" i="4" s="1" a="1"/>
  <c r="P862" i="4" s="1"/>
  <c r="O863" i="4"/>
  <c r="P863" i="4" s="1" a="1"/>
  <c r="P863" i="4" s="1"/>
  <c r="O864" i="4"/>
  <c r="P864" i="4" s="1" a="1"/>
  <c r="P864" i="4" s="1"/>
  <c r="O865" i="4"/>
  <c r="P865" i="4" s="1" a="1"/>
  <c r="P865" i="4" s="1"/>
  <c r="O866" i="4"/>
  <c r="P866" i="4" s="1" a="1"/>
  <c r="P866" i="4" s="1"/>
  <c r="O867" i="4"/>
  <c r="P867" i="4" s="1" a="1"/>
  <c r="P867" i="4" s="1"/>
  <c r="O868" i="4"/>
  <c r="P868" i="4" s="1" a="1"/>
  <c r="P868" i="4" s="1"/>
  <c r="O869" i="4"/>
  <c r="P869" i="4" s="1" a="1"/>
  <c r="P869" i="4" s="1"/>
  <c r="O870" i="4"/>
  <c r="P870" i="4" s="1" a="1"/>
  <c r="P870" i="4" s="1"/>
  <c r="O871" i="4"/>
  <c r="P871" i="4" s="1" a="1"/>
  <c r="P871" i="4" s="1"/>
  <c r="O872" i="4"/>
  <c r="P872" i="4" s="1" a="1"/>
  <c r="P872" i="4" s="1"/>
  <c r="O873" i="4"/>
  <c r="P873" i="4" s="1" a="1"/>
  <c r="P873" i="4" s="1"/>
  <c r="O874" i="4"/>
  <c r="P874" i="4" s="1" a="1"/>
  <c r="P874" i="4" s="1"/>
  <c r="O875" i="4"/>
  <c r="P875" i="4" s="1" a="1"/>
  <c r="P875" i="4" s="1"/>
  <c r="O876" i="4"/>
  <c r="P876" i="4" s="1" a="1"/>
  <c r="P876" i="4" s="1"/>
  <c r="O877" i="4"/>
  <c r="P877" i="4" s="1" a="1"/>
  <c r="P877" i="4" s="1"/>
  <c r="O878" i="4"/>
  <c r="P878" i="4" s="1" a="1"/>
  <c r="P878" i="4" s="1"/>
  <c r="O879" i="4"/>
  <c r="P879" i="4" s="1" a="1"/>
  <c r="P879" i="4" s="1"/>
  <c r="O880" i="4"/>
  <c r="P880" i="4" s="1" a="1"/>
  <c r="P880" i="4" s="1"/>
  <c r="O881" i="4"/>
  <c r="P881" i="4" s="1" a="1"/>
  <c r="P881" i="4" s="1"/>
  <c r="O882" i="4"/>
  <c r="P882" i="4" s="1" a="1"/>
  <c r="P882" i="4" s="1"/>
  <c r="O883" i="4"/>
  <c r="P883" i="4" s="1" a="1"/>
  <c r="P883" i="4" s="1"/>
  <c r="O884" i="4"/>
  <c r="P884" i="4" s="1" a="1"/>
  <c r="P884" i="4" s="1"/>
  <c r="O885" i="4"/>
  <c r="P885" i="4" s="1" a="1"/>
  <c r="P885" i="4" s="1"/>
  <c r="O886" i="4"/>
  <c r="P886" i="4" s="1" a="1"/>
  <c r="P886" i="4" s="1"/>
  <c r="O887" i="4"/>
  <c r="P887" i="4" s="1" a="1"/>
  <c r="P887" i="4" s="1"/>
  <c r="O888" i="4"/>
  <c r="P888" i="4" s="1" a="1"/>
  <c r="P888" i="4" s="1"/>
  <c r="O889" i="4"/>
  <c r="P889" i="4" s="1" a="1"/>
  <c r="P889" i="4" s="1"/>
  <c r="O890" i="4"/>
  <c r="P890" i="4" s="1" a="1"/>
  <c r="P890" i="4" s="1"/>
  <c r="O891" i="4"/>
  <c r="P891" i="4" s="1" a="1"/>
  <c r="P891" i="4" s="1"/>
  <c r="O892" i="4"/>
  <c r="P892" i="4" s="1" a="1"/>
  <c r="P892" i="4" s="1"/>
  <c r="O893" i="4"/>
  <c r="P893" i="4" s="1" a="1"/>
  <c r="P893" i="4" s="1"/>
  <c r="O894" i="4"/>
  <c r="P894" i="4" s="1" a="1"/>
  <c r="P894" i="4" s="1"/>
  <c r="O895" i="4"/>
  <c r="P895" i="4" s="1" a="1"/>
  <c r="P895" i="4" s="1"/>
  <c r="O896" i="4"/>
  <c r="P896" i="4" s="1" a="1"/>
  <c r="P896" i="4" s="1"/>
  <c r="O897" i="4"/>
  <c r="P897" i="4" s="1" a="1"/>
  <c r="P897" i="4" s="1"/>
  <c r="O898" i="4"/>
  <c r="P898" i="4" s="1" a="1"/>
  <c r="P898" i="4" s="1"/>
  <c r="O899" i="4"/>
  <c r="P899" i="4" s="1" a="1"/>
  <c r="P899" i="4" s="1"/>
  <c r="O900" i="4"/>
  <c r="P900" i="4" s="1" a="1"/>
  <c r="P900" i="4" s="1"/>
  <c r="O901" i="4"/>
  <c r="P901" i="4" s="1" a="1"/>
  <c r="P901" i="4" s="1"/>
  <c r="O902" i="4"/>
  <c r="P902" i="4" s="1" a="1"/>
  <c r="P902" i="4" s="1"/>
  <c r="O903" i="4"/>
  <c r="P903" i="4" s="1" a="1"/>
  <c r="P903" i="4" s="1"/>
  <c r="O904" i="4"/>
  <c r="P904" i="4" s="1" a="1"/>
  <c r="P904" i="4" s="1"/>
  <c r="O905" i="4"/>
  <c r="P905" i="4" s="1" a="1"/>
  <c r="P905" i="4" s="1"/>
  <c r="O906" i="4"/>
  <c r="P906" i="4" s="1" a="1"/>
  <c r="P906" i="4" s="1"/>
  <c r="O907" i="4"/>
  <c r="P907" i="4" s="1" a="1"/>
  <c r="P907" i="4" s="1"/>
  <c r="O908" i="4"/>
  <c r="P908" i="4" s="1" a="1"/>
  <c r="P908" i="4" s="1"/>
  <c r="O909" i="4"/>
  <c r="P909" i="4" s="1" a="1"/>
  <c r="P909" i="4" s="1"/>
  <c r="O910" i="4"/>
  <c r="P910" i="4" s="1" a="1"/>
  <c r="P910" i="4" s="1"/>
  <c r="O911" i="4"/>
  <c r="P911" i="4" s="1" a="1"/>
  <c r="P911" i="4" s="1"/>
  <c r="O912" i="4"/>
  <c r="P912" i="4" s="1" a="1"/>
  <c r="P912" i="4" s="1"/>
  <c r="O913" i="4"/>
  <c r="P913" i="4" s="1" a="1"/>
  <c r="P913" i="4" s="1"/>
  <c r="O914" i="4"/>
  <c r="P914" i="4" s="1" a="1"/>
  <c r="P914" i="4" s="1"/>
  <c r="O915" i="4"/>
  <c r="P915" i="4" s="1" a="1"/>
  <c r="P915" i="4" s="1"/>
  <c r="O916" i="4"/>
  <c r="P916" i="4" s="1" a="1"/>
  <c r="P916" i="4" s="1"/>
  <c r="O917" i="4"/>
  <c r="P917" i="4" s="1" a="1"/>
  <c r="P917" i="4" s="1"/>
  <c r="O918" i="4"/>
  <c r="P918" i="4" s="1" a="1"/>
  <c r="P918" i="4" s="1"/>
  <c r="O919" i="4"/>
  <c r="P919" i="4" s="1" a="1"/>
  <c r="P919" i="4" s="1"/>
  <c r="O920" i="4"/>
  <c r="P920" i="4" s="1" a="1"/>
  <c r="P920" i="4" s="1"/>
  <c r="O921" i="4"/>
  <c r="P921" i="4" s="1" a="1"/>
  <c r="P921" i="4" s="1"/>
  <c r="O922" i="4"/>
  <c r="P922" i="4" s="1" a="1"/>
  <c r="P922" i="4" s="1"/>
  <c r="O923" i="4"/>
  <c r="P923" i="4" s="1" a="1"/>
  <c r="P923" i="4" s="1"/>
  <c r="O924" i="4"/>
  <c r="P924" i="4" s="1" a="1"/>
  <c r="P924" i="4" s="1"/>
  <c r="O925" i="4"/>
  <c r="P925" i="4" s="1" a="1"/>
  <c r="P925" i="4" s="1"/>
  <c r="O926" i="4"/>
  <c r="P926" i="4" s="1" a="1"/>
  <c r="P926" i="4" s="1"/>
  <c r="O927" i="4"/>
  <c r="P927" i="4" s="1" a="1"/>
  <c r="P927" i="4" s="1"/>
  <c r="O928" i="4"/>
  <c r="P928" i="4" s="1" a="1"/>
  <c r="P928" i="4" s="1"/>
  <c r="O929" i="4"/>
  <c r="P929" i="4" s="1" a="1"/>
  <c r="P929" i="4" s="1"/>
  <c r="O930" i="4"/>
  <c r="P930" i="4" s="1" a="1"/>
  <c r="P930" i="4" s="1"/>
  <c r="O931" i="4"/>
  <c r="P931" i="4" s="1" a="1"/>
  <c r="P931" i="4" s="1"/>
  <c r="O932" i="4"/>
  <c r="P932" i="4" s="1" a="1"/>
  <c r="P932" i="4" s="1"/>
  <c r="O933" i="4"/>
  <c r="P933" i="4" s="1" a="1"/>
  <c r="P933" i="4" s="1"/>
  <c r="O934" i="4"/>
  <c r="P934" i="4" s="1" a="1"/>
  <c r="P934" i="4" s="1"/>
  <c r="O935" i="4"/>
  <c r="P935" i="4" s="1" a="1"/>
  <c r="P935" i="4" s="1"/>
  <c r="O936" i="4"/>
  <c r="P936" i="4" s="1" a="1"/>
  <c r="P936" i="4" s="1"/>
  <c r="O937" i="4"/>
  <c r="P937" i="4" s="1" a="1"/>
  <c r="P937" i="4" s="1"/>
  <c r="O938" i="4"/>
  <c r="P938" i="4" s="1" a="1"/>
  <c r="P938" i="4" s="1"/>
  <c r="O939" i="4"/>
  <c r="P939" i="4" s="1" a="1"/>
  <c r="P939" i="4" s="1"/>
  <c r="O940" i="4"/>
  <c r="P940" i="4" s="1" a="1"/>
  <c r="P940" i="4" s="1"/>
  <c r="O941" i="4"/>
  <c r="P941" i="4" s="1" a="1"/>
  <c r="P941" i="4" s="1"/>
  <c r="O942" i="4"/>
  <c r="P942" i="4" s="1" a="1"/>
  <c r="P942" i="4" s="1"/>
  <c r="O943" i="4"/>
  <c r="P943" i="4" s="1" a="1"/>
  <c r="P943" i="4" s="1"/>
  <c r="O944" i="4"/>
  <c r="P944" i="4" s="1" a="1"/>
  <c r="P944" i="4" s="1"/>
  <c r="O945" i="4"/>
  <c r="P945" i="4" s="1" a="1"/>
  <c r="P945" i="4" s="1"/>
  <c r="O946" i="4"/>
  <c r="P946" i="4" s="1" a="1"/>
  <c r="P946" i="4" s="1"/>
  <c r="O947" i="4"/>
  <c r="P947" i="4" s="1" a="1"/>
  <c r="P947" i="4" s="1"/>
  <c r="O948" i="4"/>
  <c r="P948" i="4" s="1" a="1"/>
  <c r="P948" i="4" s="1"/>
  <c r="O949" i="4"/>
  <c r="P949" i="4" s="1" a="1"/>
  <c r="P949" i="4" s="1"/>
  <c r="O950" i="4"/>
  <c r="P950" i="4" s="1" a="1"/>
  <c r="P950" i="4" s="1"/>
  <c r="O951" i="4"/>
  <c r="P951" i="4" s="1" a="1"/>
  <c r="P951" i="4" s="1"/>
  <c r="O952" i="4"/>
  <c r="P952" i="4" s="1" a="1"/>
  <c r="P952" i="4" s="1"/>
  <c r="O953" i="4"/>
  <c r="P953" i="4" s="1" a="1"/>
  <c r="P953" i="4" s="1"/>
  <c r="O954" i="4"/>
  <c r="P954" i="4" s="1" a="1"/>
  <c r="P954" i="4" s="1"/>
  <c r="O955" i="4"/>
  <c r="P955" i="4" s="1" a="1"/>
  <c r="P955" i="4" s="1"/>
  <c r="O956" i="4"/>
  <c r="P956" i="4" s="1" a="1"/>
  <c r="P956" i="4" s="1"/>
  <c r="O957" i="4"/>
  <c r="P957" i="4" s="1" a="1"/>
  <c r="P957" i="4" s="1"/>
  <c r="O958" i="4"/>
  <c r="P958" i="4" s="1" a="1"/>
  <c r="P958" i="4" s="1"/>
  <c r="O959" i="4"/>
  <c r="P959" i="4" s="1" a="1"/>
  <c r="P959" i="4" s="1"/>
  <c r="O960" i="4"/>
  <c r="P960" i="4" s="1" a="1"/>
  <c r="P960" i="4" s="1"/>
  <c r="O961" i="4"/>
  <c r="P961" i="4" s="1" a="1"/>
  <c r="P961" i="4" s="1"/>
  <c r="O962" i="4"/>
  <c r="P962" i="4" s="1" a="1"/>
  <c r="P962" i="4" s="1"/>
  <c r="O963" i="4"/>
  <c r="P963" i="4" s="1" a="1"/>
  <c r="P963" i="4" s="1"/>
  <c r="O964" i="4"/>
  <c r="P964" i="4" s="1" a="1"/>
  <c r="P964" i="4" s="1"/>
  <c r="O965" i="4"/>
  <c r="P965" i="4" s="1" a="1"/>
  <c r="P965" i="4" s="1"/>
  <c r="O966" i="4"/>
  <c r="P966" i="4" s="1" a="1"/>
  <c r="P966" i="4" s="1"/>
  <c r="O967" i="4"/>
  <c r="P967" i="4" s="1" a="1"/>
  <c r="P967" i="4" s="1"/>
  <c r="O968" i="4"/>
  <c r="P968" i="4" s="1" a="1"/>
  <c r="P968" i="4" s="1"/>
  <c r="O969" i="4"/>
  <c r="P969" i="4" s="1" a="1"/>
  <c r="P969" i="4" s="1"/>
  <c r="O970" i="4"/>
  <c r="P970" i="4" s="1" a="1"/>
  <c r="P970" i="4" s="1"/>
  <c r="O971" i="4"/>
  <c r="P971" i="4" s="1" a="1"/>
  <c r="P971" i="4" s="1"/>
  <c r="O972" i="4"/>
  <c r="P972" i="4" s="1" a="1"/>
  <c r="P972" i="4" s="1"/>
  <c r="O973" i="4"/>
  <c r="P973" i="4" s="1" a="1"/>
  <c r="P973" i="4" s="1"/>
  <c r="O974" i="4"/>
  <c r="P974" i="4" s="1" a="1"/>
  <c r="P974" i="4" s="1"/>
  <c r="O975" i="4"/>
  <c r="P975" i="4" s="1" a="1"/>
  <c r="P975" i="4" s="1"/>
  <c r="O976" i="4"/>
  <c r="P976" i="4" s="1" a="1"/>
  <c r="P976" i="4" s="1"/>
  <c r="O977" i="4"/>
  <c r="P977" i="4" s="1" a="1"/>
  <c r="P977" i="4" s="1"/>
  <c r="O978" i="4"/>
  <c r="P978" i="4" s="1" a="1"/>
  <c r="P978" i="4" s="1"/>
  <c r="O979" i="4"/>
  <c r="P979" i="4" s="1" a="1"/>
  <c r="P979" i="4" s="1"/>
  <c r="O980" i="4"/>
  <c r="P980" i="4" s="1" a="1"/>
  <c r="P980" i="4" s="1"/>
  <c r="O981" i="4"/>
  <c r="P981" i="4" s="1" a="1"/>
  <c r="P981" i="4" s="1"/>
  <c r="O982" i="4"/>
  <c r="P982" i="4" s="1" a="1"/>
  <c r="P982" i="4" s="1"/>
  <c r="O983" i="4"/>
  <c r="P983" i="4" s="1" a="1"/>
  <c r="P983" i="4" s="1"/>
  <c r="O984" i="4"/>
  <c r="P984" i="4" s="1" a="1"/>
  <c r="P984" i="4" s="1"/>
  <c r="O985" i="4"/>
  <c r="P985" i="4" s="1" a="1"/>
  <c r="P985" i="4" s="1"/>
  <c r="O986" i="4"/>
  <c r="P986" i="4" s="1" a="1"/>
  <c r="P986" i="4" s="1"/>
  <c r="O987" i="4"/>
  <c r="P987" i="4" s="1" a="1"/>
  <c r="P987" i="4" s="1"/>
  <c r="O988" i="4"/>
  <c r="P988" i="4" s="1" a="1"/>
  <c r="P988" i="4" s="1"/>
  <c r="O989" i="4"/>
  <c r="P989" i="4" s="1" a="1"/>
  <c r="P989" i="4" s="1"/>
  <c r="O990" i="4"/>
  <c r="P990" i="4" s="1" a="1"/>
  <c r="P990" i="4" s="1"/>
  <c r="O991" i="4"/>
  <c r="P991" i="4" s="1" a="1"/>
  <c r="P991" i="4" s="1"/>
  <c r="O992" i="4"/>
  <c r="P992" i="4" s="1" a="1"/>
  <c r="P992" i="4" s="1"/>
  <c r="O993" i="4"/>
  <c r="P993" i="4" s="1" a="1"/>
  <c r="P993" i="4" s="1"/>
  <c r="O994" i="4"/>
  <c r="P994" i="4" s="1" a="1"/>
  <c r="P994" i="4" s="1"/>
  <c r="O995" i="4"/>
  <c r="P995" i="4" s="1" a="1"/>
  <c r="P995" i="4" s="1"/>
  <c r="O996" i="4"/>
  <c r="P996" i="4" s="1" a="1"/>
  <c r="P996" i="4" s="1"/>
  <c r="O997" i="4"/>
  <c r="P997" i="4" s="1" a="1"/>
  <c r="P997" i="4" s="1"/>
  <c r="O998" i="4"/>
  <c r="P998" i="4" s="1" a="1"/>
  <c r="P998" i="4" s="1"/>
  <c r="O999" i="4"/>
  <c r="P999" i="4" s="1" a="1"/>
  <c r="P999" i="4" s="1"/>
  <c r="O1000" i="4"/>
  <c r="P1000" i="4" s="1" a="1"/>
  <c r="P1000" i="4" s="1"/>
  <c r="O1001" i="4"/>
  <c r="P1001" i="4" s="1" a="1"/>
  <c r="P1001" i="4" s="1"/>
  <c r="O1002" i="4"/>
  <c r="P1002" i="4" s="1" a="1"/>
  <c r="P1002" i="4" s="1"/>
  <c r="O1003" i="4"/>
  <c r="P1003" i="4" s="1" a="1"/>
  <c r="P1003" i="4" s="1"/>
  <c r="O1004" i="4"/>
  <c r="P1004" i="4" s="1" a="1"/>
  <c r="P1004" i="4" s="1"/>
  <c r="O1005" i="4"/>
  <c r="P1005" i="4" s="1" a="1"/>
  <c r="P1005" i="4" s="1"/>
  <c r="O1006" i="4"/>
  <c r="P1006" i="4" s="1" a="1"/>
  <c r="P1006" i="4" s="1"/>
  <c r="O1007" i="4"/>
  <c r="P1007" i="4" s="1" a="1"/>
  <c r="P1007" i="4" s="1"/>
  <c r="O1008" i="4"/>
  <c r="P1008" i="4" s="1" a="1"/>
  <c r="P1008" i="4" s="1"/>
  <c r="O1009" i="4"/>
  <c r="P1009" i="4" s="1" a="1"/>
  <c r="P1009" i="4" s="1"/>
  <c r="O1010" i="4"/>
  <c r="P1010" i="4" s="1" a="1"/>
  <c r="P1010" i="4" s="1"/>
  <c r="O1011" i="4"/>
  <c r="P1011" i="4" s="1" a="1"/>
  <c r="P1011" i="4" s="1"/>
  <c r="O1012" i="4"/>
  <c r="P1012" i="4" s="1" a="1"/>
  <c r="P1012" i="4" s="1"/>
  <c r="O1013" i="4"/>
  <c r="P1013" i="4" s="1" a="1"/>
  <c r="P1013" i="4" s="1"/>
  <c r="O1014" i="4"/>
  <c r="P1014" i="4" s="1" a="1"/>
  <c r="P1014" i="4" s="1"/>
  <c r="O1015" i="4"/>
  <c r="P1015" i="4" s="1" a="1"/>
  <c r="P1015" i="4" s="1"/>
  <c r="O1016" i="4"/>
  <c r="P1016" i="4" s="1" a="1"/>
  <c r="P1016" i="4" s="1"/>
  <c r="O1017" i="4"/>
  <c r="P1017" i="4" s="1" a="1"/>
  <c r="P1017" i="4" s="1"/>
  <c r="O1018" i="4"/>
  <c r="P1018" i="4" s="1" a="1"/>
  <c r="P1018" i="4" s="1"/>
  <c r="O1019" i="4"/>
  <c r="P1019" i="4" s="1" a="1"/>
  <c r="P1019" i="4" s="1"/>
  <c r="O1020" i="4"/>
  <c r="P1020" i="4" s="1" a="1"/>
  <c r="P1020" i="4" s="1"/>
  <c r="O1021" i="4"/>
  <c r="P1021" i="4" s="1" a="1"/>
  <c r="P1021" i="4" s="1"/>
  <c r="O1022" i="4"/>
  <c r="P1022" i="4" s="1" a="1"/>
  <c r="P1022" i="4" s="1"/>
  <c r="O1023" i="4"/>
  <c r="P1023" i="4" s="1" a="1"/>
  <c r="P1023" i="4" s="1"/>
  <c r="O1024" i="4"/>
  <c r="P1024" i="4" s="1" a="1"/>
  <c r="P1024" i="4" s="1"/>
  <c r="O1025" i="4"/>
  <c r="P1025" i="4" s="1" a="1"/>
  <c r="P1025" i="4" s="1"/>
  <c r="O1026" i="4"/>
  <c r="P1026" i="4" s="1" a="1"/>
  <c r="P1026" i="4" s="1"/>
  <c r="O1027" i="4"/>
  <c r="P1027" i="4" s="1" a="1"/>
  <c r="P1027" i="4" s="1"/>
  <c r="O1028" i="4"/>
  <c r="P1028" i="4" s="1" a="1"/>
  <c r="P1028" i="4" s="1"/>
  <c r="O1029" i="4"/>
  <c r="P1029" i="4" s="1" a="1"/>
  <c r="P1029" i="4" s="1"/>
  <c r="O1030" i="4"/>
  <c r="P1030" i="4" s="1" a="1"/>
  <c r="P1030" i="4" s="1"/>
  <c r="O1031" i="4"/>
  <c r="P1031" i="4" s="1" a="1"/>
  <c r="P1031" i="4" s="1"/>
  <c r="O1032" i="4"/>
  <c r="P1032" i="4" s="1" a="1"/>
  <c r="P1032" i="4" s="1"/>
  <c r="O1033" i="4"/>
  <c r="P1033" i="4" s="1" a="1"/>
  <c r="P1033" i="4" s="1"/>
  <c r="O1034" i="4"/>
  <c r="P1034" i="4" s="1" a="1"/>
  <c r="P1034" i="4" s="1"/>
  <c r="O1035" i="4"/>
  <c r="P1035" i="4" s="1" a="1"/>
  <c r="P1035" i="4" s="1"/>
  <c r="O1036" i="4"/>
  <c r="P1036" i="4" s="1" a="1"/>
  <c r="P1036" i="4" s="1"/>
  <c r="O1037" i="4"/>
  <c r="P1037" i="4" s="1" a="1"/>
  <c r="P1037" i="4" s="1"/>
  <c r="O1038" i="4"/>
  <c r="P1038" i="4" s="1" a="1"/>
  <c r="P1038" i="4" s="1"/>
  <c r="O1039" i="4"/>
  <c r="P1039" i="4" s="1" a="1"/>
  <c r="P1039" i="4" s="1"/>
  <c r="O1040" i="4"/>
  <c r="P1040" i="4" s="1" a="1"/>
  <c r="P1040" i="4" s="1"/>
  <c r="O1041" i="4"/>
  <c r="P1041" i="4" s="1" a="1"/>
  <c r="P1041" i="4" s="1"/>
  <c r="O1042" i="4"/>
  <c r="P1042" i="4" s="1" a="1"/>
  <c r="P1042" i="4" s="1"/>
  <c r="O1043" i="4"/>
  <c r="P1043" i="4" s="1" a="1"/>
  <c r="P1043" i="4" s="1"/>
  <c r="O1044" i="4"/>
  <c r="P1044" i="4" s="1" a="1"/>
  <c r="P1044" i="4" s="1"/>
  <c r="O1045" i="4"/>
  <c r="P1045" i="4" s="1" a="1"/>
  <c r="P1045" i="4" s="1"/>
  <c r="O1046" i="4"/>
  <c r="P1046" i="4" s="1" a="1"/>
  <c r="P1046" i="4" s="1"/>
  <c r="O1047" i="4"/>
  <c r="P1047" i="4" s="1" a="1"/>
  <c r="P1047" i="4" s="1"/>
  <c r="O1048" i="4"/>
  <c r="P1048" i="4" s="1" a="1"/>
  <c r="P1048" i="4" s="1"/>
  <c r="O1049" i="4"/>
  <c r="P1049" i="4" s="1" a="1"/>
  <c r="P1049" i="4" s="1"/>
  <c r="O1050" i="4"/>
  <c r="P1050" i="4" s="1" a="1"/>
  <c r="P1050" i="4" s="1"/>
  <c r="O1051" i="4"/>
  <c r="P1051" i="4" s="1" a="1"/>
  <c r="P1051" i="4" s="1"/>
  <c r="O1052" i="4"/>
  <c r="P1052" i="4" s="1" a="1"/>
  <c r="P1052" i="4" s="1"/>
  <c r="O1053" i="4"/>
  <c r="P1053" i="4" s="1" a="1"/>
  <c r="P1053" i="4" s="1"/>
  <c r="O1054" i="4"/>
  <c r="P1054" i="4" s="1" a="1"/>
  <c r="P1054" i="4" s="1"/>
  <c r="O1055" i="4"/>
  <c r="P1055" i="4" s="1" a="1"/>
  <c r="P1055" i="4" s="1"/>
  <c r="O1056" i="4"/>
  <c r="P1056" i="4" s="1" a="1"/>
  <c r="P1056" i="4" s="1"/>
  <c r="O1057" i="4"/>
  <c r="P1057" i="4" s="1" a="1"/>
  <c r="P1057" i="4" s="1"/>
  <c r="O1058" i="4"/>
  <c r="P1058" i="4" s="1" a="1"/>
  <c r="P1058" i="4" s="1"/>
  <c r="O1059" i="4"/>
  <c r="P1059" i="4" s="1" a="1"/>
  <c r="P1059" i="4" s="1"/>
  <c r="O1060" i="4"/>
  <c r="P1060" i="4" s="1" a="1"/>
  <c r="P1060" i="4" s="1"/>
  <c r="O1061" i="4"/>
  <c r="P1061" i="4" s="1" a="1"/>
  <c r="P1061" i="4" s="1"/>
  <c r="O1062" i="4"/>
  <c r="P1062" i="4" s="1" a="1"/>
  <c r="P1062" i="4" s="1"/>
  <c r="O1063" i="4"/>
  <c r="P1063" i="4" s="1" a="1"/>
  <c r="P1063" i="4" s="1"/>
  <c r="O1064" i="4"/>
  <c r="P1064" i="4" s="1" a="1"/>
  <c r="P1064" i="4" s="1"/>
  <c r="O1065" i="4"/>
  <c r="P1065" i="4" s="1" a="1"/>
  <c r="P1065" i="4" s="1"/>
  <c r="O1066" i="4"/>
  <c r="P1066" i="4" s="1" a="1"/>
  <c r="P1066" i="4" s="1"/>
  <c r="O1067" i="4"/>
  <c r="P1067" i="4" s="1" a="1"/>
  <c r="P1067" i="4" s="1"/>
  <c r="O1068" i="4"/>
  <c r="P1068" i="4" s="1" a="1"/>
  <c r="P1068" i="4" s="1"/>
  <c r="O1069" i="4"/>
  <c r="P1069" i="4" s="1" a="1"/>
  <c r="P1069" i="4" s="1"/>
  <c r="O1070" i="4"/>
  <c r="P1070" i="4" s="1" a="1"/>
  <c r="P1070" i="4" s="1"/>
  <c r="O1071" i="4"/>
  <c r="P1071" i="4" s="1" a="1"/>
  <c r="P1071" i="4" s="1"/>
  <c r="O1072" i="4"/>
  <c r="P1072" i="4" s="1" a="1"/>
  <c r="P1072" i="4" s="1"/>
  <c r="O1073" i="4"/>
  <c r="P1073" i="4" s="1" a="1"/>
  <c r="P1073" i="4" s="1"/>
  <c r="O1074" i="4"/>
  <c r="P1074" i="4" s="1" a="1"/>
  <c r="P1074" i="4" s="1"/>
  <c r="O1075" i="4"/>
  <c r="P1075" i="4" s="1" a="1"/>
  <c r="P1075" i="4" s="1"/>
  <c r="O1076" i="4"/>
  <c r="P1076" i="4" s="1" a="1"/>
  <c r="P1076" i="4" s="1"/>
  <c r="O1077" i="4"/>
  <c r="P1077" i="4" s="1" a="1"/>
  <c r="P1077" i="4" s="1"/>
  <c r="O1078" i="4"/>
  <c r="P1078" i="4" s="1" a="1"/>
  <c r="P1078" i="4" s="1"/>
  <c r="O1079" i="4"/>
  <c r="P1079" i="4" s="1" a="1"/>
  <c r="P1079" i="4" s="1"/>
  <c r="O1080" i="4"/>
  <c r="P1080" i="4" s="1" a="1"/>
  <c r="P1080" i="4" s="1"/>
  <c r="O1081" i="4"/>
  <c r="P1081" i="4" s="1" a="1"/>
  <c r="P1081" i="4" s="1"/>
  <c r="O1082" i="4"/>
  <c r="P1082" i="4" s="1" a="1"/>
  <c r="P1082" i="4" s="1"/>
  <c r="O1083" i="4"/>
  <c r="P1083" i="4" s="1" a="1"/>
  <c r="P1083" i="4" s="1"/>
  <c r="O1084" i="4"/>
  <c r="P1084" i="4" s="1" a="1"/>
  <c r="P1084" i="4" s="1"/>
  <c r="O1085" i="4"/>
  <c r="P1085" i="4" s="1" a="1"/>
  <c r="P1085" i="4" s="1"/>
  <c r="O1086" i="4"/>
  <c r="P1086" i="4" s="1" a="1"/>
  <c r="P1086" i="4" s="1"/>
  <c r="O1087" i="4"/>
  <c r="P1087" i="4" s="1" a="1"/>
  <c r="P1087" i="4" s="1"/>
  <c r="O1088" i="4"/>
  <c r="P1088" i="4" s="1" a="1"/>
  <c r="P1088" i="4" s="1"/>
  <c r="O1089" i="4"/>
  <c r="P1089" i="4" s="1" a="1"/>
  <c r="P1089" i="4" s="1"/>
  <c r="O1090" i="4"/>
  <c r="P1090" i="4" s="1" a="1"/>
  <c r="P1090" i="4" s="1"/>
  <c r="O1091" i="4"/>
  <c r="P1091" i="4" s="1" a="1"/>
  <c r="P1091" i="4" s="1"/>
  <c r="O1092" i="4"/>
  <c r="P1092" i="4" s="1" a="1"/>
  <c r="P1092" i="4" s="1"/>
  <c r="O1093" i="4"/>
  <c r="P1093" i="4" s="1" a="1"/>
  <c r="P1093" i="4" s="1"/>
  <c r="O1094" i="4"/>
  <c r="P1094" i="4" s="1" a="1"/>
  <c r="P1094" i="4" s="1"/>
  <c r="O1095" i="4"/>
  <c r="P1095" i="4" s="1" a="1"/>
  <c r="P1095" i="4" s="1"/>
  <c r="O1096" i="4"/>
  <c r="P1096" i="4" s="1" a="1"/>
  <c r="P1096" i="4" s="1"/>
  <c r="O1097" i="4"/>
  <c r="P1097" i="4" s="1" a="1"/>
  <c r="P1097" i="4" s="1"/>
  <c r="O1098" i="4"/>
  <c r="P1098" i="4" s="1" a="1"/>
  <c r="P1098" i="4" s="1"/>
  <c r="O1099" i="4"/>
  <c r="P1099" i="4" s="1" a="1"/>
  <c r="P1099" i="4" s="1"/>
  <c r="O1100" i="4"/>
  <c r="P1100" i="4" s="1" a="1"/>
  <c r="P1100" i="4" s="1"/>
  <c r="O1101" i="4"/>
  <c r="P1101" i="4" s="1" a="1"/>
  <c r="P1101" i="4" s="1"/>
  <c r="O1102" i="4"/>
  <c r="P1102" i="4" s="1" a="1"/>
  <c r="P1102" i="4" s="1"/>
  <c r="O1103" i="4"/>
  <c r="P1103" i="4" s="1" a="1"/>
  <c r="P1103" i="4" s="1"/>
  <c r="O1104" i="4"/>
  <c r="P1104" i="4" s="1" a="1"/>
  <c r="P1104" i="4" s="1"/>
  <c r="O1105" i="4"/>
  <c r="P1105" i="4" s="1" a="1"/>
  <c r="P1105" i="4" s="1"/>
  <c r="O1106" i="4"/>
  <c r="P1106" i="4" s="1" a="1"/>
  <c r="P1106" i="4" s="1"/>
  <c r="O1107" i="4"/>
  <c r="P1107" i="4" s="1" a="1"/>
  <c r="P1107" i="4" s="1"/>
  <c r="O1108" i="4"/>
  <c r="P1108" i="4" s="1" a="1"/>
  <c r="P1108" i="4" s="1"/>
  <c r="O1109" i="4"/>
  <c r="P1109" i="4" s="1" a="1"/>
  <c r="P1109" i="4" s="1"/>
  <c r="O1110" i="4"/>
  <c r="P1110" i="4" s="1" a="1"/>
  <c r="P1110" i="4" s="1"/>
  <c r="O1111" i="4"/>
  <c r="P1111" i="4" s="1" a="1"/>
  <c r="P1111" i="4" s="1"/>
  <c r="O1112" i="4"/>
  <c r="P1112" i="4" s="1" a="1"/>
  <c r="P1112" i="4" s="1"/>
  <c r="O1113" i="4"/>
  <c r="P1113" i="4" s="1" a="1"/>
  <c r="P1113" i="4" s="1"/>
  <c r="O1114" i="4"/>
  <c r="P1114" i="4" s="1" a="1"/>
  <c r="P1114" i="4" s="1"/>
  <c r="O1115" i="4"/>
  <c r="P1115" i="4" s="1" a="1"/>
  <c r="P1115" i="4" s="1"/>
  <c r="O1116" i="4"/>
  <c r="P1116" i="4" s="1" a="1"/>
  <c r="P1116" i="4" s="1"/>
  <c r="O1117" i="4"/>
  <c r="P1117" i="4" s="1" a="1"/>
  <c r="P1117" i="4" s="1"/>
  <c r="O1118" i="4"/>
  <c r="P1118" i="4" s="1" a="1"/>
  <c r="P1118" i="4" s="1"/>
  <c r="O1119" i="4"/>
  <c r="P1119" i="4" s="1" a="1"/>
  <c r="P1119" i="4" s="1"/>
  <c r="O1120" i="4"/>
  <c r="P1120" i="4" s="1" a="1"/>
  <c r="P1120" i="4" s="1"/>
  <c r="O1121" i="4"/>
  <c r="P1121" i="4" s="1" a="1"/>
  <c r="P1121" i="4" s="1"/>
  <c r="O1122" i="4"/>
  <c r="P1122" i="4" s="1" a="1"/>
  <c r="P1122" i="4" s="1"/>
  <c r="O1123" i="4"/>
  <c r="P1123" i="4" s="1" a="1"/>
  <c r="P1123" i="4" s="1"/>
  <c r="O1124" i="4"/>
  <c r="P1124" i="4" s="1" a="1"/>
  <c r="P1124" i="4" s="1"/>
  <c r="O1125" i="4"/>
  <c r="P1125" i="4" s="1" a="1"/>
  <c r="P1125" i="4" s="1"/>
  <c r="O1126" i="4"/>
  <c r="P1126" i="4" s="1" a="1"/>
  <c r="P1126" i="4" s="1"/>
  <c r="O1127" i="4"/>
  <c r="P1127" i="4" s="1" a="1"/>
  <c r="P1127" i="4" s="1"/>
  <c r="O1128" i="4"/>
  <c r="P1128" i="4" s="1" a="1"/>
  <c r="P1128" i="4" s="1"/>
  <c r="O1129" i="4"/>
  <c r="P1129" i="4" s="1" a="1"/>
  <c r="P1129" i="4" s="1"/>
  <c r="O1130" i="4"/>
  <c r="P1130" i="4" s="1" a="1"/>
  <c r="P1130" i="4" s="1"/>
  <c r="O1131" i="4"/>
  <c r="P1131" i="4" s="1" a="1"/>
  <c r="P1131" i="4" s="1"/>
  <c r="O1132" i="4"/>
  <c r="P1132" i="4" s="1" a="1"/>
  <c r="P1132" i="4" s="1"/>
  <c r="O1133" i="4"/>
  <c r="P1133" i="4" s="1" a="1"/>
  <c r="P1133" i="4" s="1"/>
  <c r="O1134" i="4"/>
  <c r="P1134" i="4" s="1" a="1"/>
  <c r="P1134" i="4" s="1"/>
  <c r="O1135" i="4"/>
  <c r="P1135" i="4" s="1" a="1"/>
  <c r="P1135" i="4" s="1"/>
  <c r="O1136" i="4"/>
  <c r="P1136" i="4" s="1" a="1"/>
  <c r="P1136" i="4" s="1"/>
  <c r="O1137" i="4"/>
  <c r="P1137" i="4" s="1" a="1"/>
  <c r="P1137" i="4" s="1"/>
  <c r="O1138" i="4"/>
  <c r="P1138" i="4" s="1" a="1"/>
  <c r="P1138" i="4" s="1"/>
  <c r="O1139" i="4"/>
  <c r="P1139" i="4" s="1" a="1"/>
  <c r="P1139" i="4" s="1"/>
  <c r="O1140" i="4"/>
  <c r="P1140" i="4" s="1" a="1"/>
  <c r="P1140" i="4" s="1"/>
  <c r="O1141" i="4"/>
  <c r="P1141" i="4" s="1" a="1"/>
  <c r="P1141" i="4" s="1"/>
  <c r="O1142" i="4"/>
  <c r="P1142" i="4" s="1" a="1"/>
  <c r="P1142" i="4" s="1"/>
  <c r="O1143" i="4"/>
  <c r="P1143" i="4" s="1" a="1"/>
  <c r="P1143" i="4" s="1"/>
  <c r="O1144" i="4"/>
  <c r="P1144" i="4" s="1" a="1"/>
  <c r="P1144" i="4" s="1"/>
  <c r="O1145" i="4"/>
  <c r="P1145" i="4" s="1" a="1"/>
  <c r="P1145" i="4" s="1"/>
  <c r="O1146" i="4"/>
  <c r="P1146" i="4" s="1" a="1"/>
  <c r="P1146" i="4" s="1"/>
  <c r="O1147" i="4"/>
  <c r="P1147" i="4" s="1" a="1"/>
  <c r="P1147" i="4" s="1"/>
  <c r="O1148" i="4"/>
  <c r="P1148" i="4" s="1" a="1"/>
  <c r="P1148" i="4" s="1"/>
  <c r="O1149" i="4"/>
  <c r="P1149" i="4" s="1" a="1"/>
  <c r="P1149" i="4" s="1"/>
  <c r="O1150" i="4"/>
  <c r="P1150" i="4" s="1" a="1"/>
  <c r="P1150" i="4" s="1"/>
  <c r="O1151" i="4"/>
  <c r="P1151" i="4" s="1" a="1"/>
  <c r="P1151" i="4" s="1"/>
  <c r="O1152" i="4"/>
  <c r="P1152" i="4" s="1" a="1"/>
  <c r="P1152" i="4" s="1"/>
  <c r="O1153" i="4"/>
  <c r="P1153" i="4" s="1" a="1"/>
  <c r="P1153" i="4" s="1"/>
  <c r="O1154" i="4"/>
  <c r="P1154" i="4" s="1" a="1"/>
  <c r="P1154" i="4" s="1"/>
  <c r="O1155" i="4"/>
  <c r="P1155" i="4" s="1" a="1"/>
  <c r="P1155" i="4" s="1"/>
  <c r="O1156" i="4"/>
  <c r="P1156" i="4" s="1" a="1"/>
  <c r="P1156" i="4" s="1"/>
  <c r="O1157" i="4"/>
  <c r="P1157" i="4" s="1" a="1"/>
  <c r="P1157" i="4" s="1"/>
  <c r="O1158" i="4"/>
  <c r="P1158" i="4" s="1" a="1"/>
  <c r="P1158" i="4" s="1"/>
  <c r="O1159" i="4"/>
  <c r="P1159" i="4" s="1" a="1"/>
  <c r="P1159" i="4" s="1"/>
  <c r="O1160" i="4"/>
  <c r="P1160" i="4" s="1" a="1"/>
  <c r="P1160" i="4" s="1"/>
  <c r="O1161" i="4"/>
  <c r="P1161" i="4" s="1" a="1"/>
  <c r="P1161" i="4" s="1"/>
  <c r="O1162" i="4"/>
  <c r="P1162" i="4" s="1" a="1"/>
  <c r="P1162" i="4" s="1"/>
  <c r="O1163" i="4"/>
  <c r="P1163" i="4" s="1" a="1"/>
  <c r="P1163" i="4" s="1"/>
  <c r="O1164" i="4"/>
  <c r="P1164" i="4" s="1" a="1"/>
  <c r="P1164" i="4" s="1"/>
  <c r="O1165" i="4"/>
  <c r="P1165" i="4" s="1" a="1"/>
  <c r="P1165" i="4" s="1"/>
  <c r="O1166" i="4"/>
  <c r="P1166" i="4" s="1" a="1"/>
  <c r="P1166" i="4" s="1"/>
  <c r="O1167" i="4"/>
  <c r="P1167" i="4" s="1" a="1"/>
  <c r="P1167" i="4" s="1"/>
  <c r="O1168" i="4"/>
  <c r="P1168" i="4" s="1" a="1"/>
  <c r="P1168" i="4" s="1"/>
  <c r="O1169" i="4"/>
  <c r="P1169" i="4" s="1" a="1"/>
  <c r="P1169" i="4" s="1"/>
  <c r="O1170" i="4"/>
  <c r="P1170" i="4" s="1" a="1"/>
  <c r="P1170" i="4" s="1"/>
  <c r="O1171" i="4"/>
  <c r="P1171" i="4" s="1" a="1"/>
  <c r="P1171" i="4" s="1"/>
  <c r="O1172" i="4"/>
  <c r="P1172" i="4" s="1" a="1"/>
  <c r="P1172" i="4" s="1"/>
  <c r="O1173" i="4"/>
  <c r="P1173" i="4" s="1" a="1"/>
  <c r="P1173" i="4" s="1"/>
  <c r="O1174" i="4"/>
  <c r="P1174" i="4" s="1" a="1"/>
  <c r="P1174" i="4" s="1"/>
  <c r="O1175" i="4"/>
  <c r="P1175" i="4" s="1" a="1"/>
  <c r="P1175" i="4" s="1"/>
  <c r="O1176" i="4"/>
  <c r="P1176" i="4" s="1" a="1"/>
  <c r="P1176" i="4" s="1"/>
  <c r="O1177" i="4"/>
  <c r="P1177" i="4" s="1" a="1"/>
  <c r="P1177" i="4" s="1"/>
  <c r="O1178" i="4"/>
  <c r="P1178" i="4" s="1" a="1"/>
  <c r="P1178" i="4" s="1"/>
  <c r="O1179" i="4"/>
  <c r="P1179" i="4" s="1" a="1"/>
  <c r="P1179" i="4" s="1"/>
  <c r="O1180" i="4"/>
  <c r="P1180" i="4" s="1" a="1"/>
  <c r="P1180" i="4" s="1"/>
  <c r="O1181" i="4"/>
  <c r="P1181" i="4" s="1" a="1"/>
  <c r="P1181" i="4" s="1"/>
  <c r="O1182" i="4"/>
  <c r="P1182" i="4" s="1" a="1"/>
  <c r="P1182" i="4" s="1"/>
  <c r="O1183" i="4"/>
  <c r="P1183" i="4" s="1" a="1"/>
  <c r="P1183" i="4" s="1"/>
  <c r="O1184" i="4"/>
  <c r="P1184" i="4" s="1" a="1"/>
  <c r="P1184" i="4" s="1"/>
  <c r="O1185" i="4"/>
  <c r="P1185" i="4" s="1" a="1"/>
  <c r="P1185" i="4" s="1"/>
  <c r="O1186" i="4"/>
  <c r="P1186" i="4" s="1" a="1"/>
  <c r="P1186" i="4" s="1"/>
  <c r="O1187" i="4"/>
  <c r="P1187" i="4" s="1" a="1"/>
  <c r="P1187" i="4" s="1"/>
  <c r="O1188" i="4"/>
  <c r="P1188" i="4" s="1" a="1"/>
  <c r="P1188" i="4" s="1"/>
  <c r="O1189" i="4"/>
  <c r="P1189" i="4" s="1" a="1"/>
  <c r="P1189" i="4" s="1"/>
  <c r="O1190" i="4"/>
  <c r="P1190" i="4" s="1" a="1"/>
  <c r="P1190" i="4" s="1"/>
  <c r="O1191" i="4"/>
  <c r="P1191" i="4" s="1" a="1"/>
  <c r="P1191" i="4" s="1"/>
  <c r="O1192" i="4"/>
  <c r="P1192" i="4" s="1" a="1"/>
  <c r="P1192" i="4" s="1"/>
  <c r="O1193" i="4"/>
  <c r="P1193" i="4" s="1" a="1"/>
  <c r="P1193" i="4" s="1"/>
  <c r="O1194" i="4"/>
  <c r="P1194" i="4" s="1" a="1"/>
  <c r="P1194" i="4" s="1"/>
  <c r="O1195" i="4"/>
  <c r="P1195" i="4" s="1" a="1"/>
  <c r="P1195" i="4" s="1"/>
  <c r="O1196" i="4"/>
  <c r="P1196" i="4" s="1" a="1"/>
  <c r="P1196" i="4" s="1"/>
  <c r="O1197" i="4"/>
  <c r="P1197" i="4" s="1" a="1"/>
  <c r="P1197" i="4" s="1"/>
  <c r="O1198" i="4"/>
  <c r="P1198" i="4" s="1" a="1"/>
  <c r="P1198" i="4" s="1"/>
  <c r="O1199" i="4"/>
  <c r="P1199" i="4" s="1" a="1"/>
  <c r="P1199" i="4" s="1"/>
  <c r="O1200" i="4"/>
  <c r="P1200" i="4" s="1" a="1"/>
  <c r="P1200" i="4" s="1"/>
  <c r="O1201" i="4"/>
  <c r="P1201" i="4" s="1" a="1"/>
  <c r="P1201" i="4" s="1"/>
  <c r="O1202" i="4"/>
  <c r="P1202" i="4" s="1" a="1"/>
  <c r="P1202" i="4" s="1"/>
  <c r="O1203" i="4"/>
  <c r="P1203" i="4" s="1" a="1"/>
  <c r="P1203" i="4" s="1"/>
  <c r="O1204" i="4"/>
  <c r="P1204" i="4" s="1" a="1"/>
  <c r="P1204" i="4" s="1"/>
  <c r="O1205" i="4"/>
  <c r="P1205" i="4" s="1" a="1"/>
  <c r="P1205" i="4" s="1"/>
  <c r="O1206" i="4"/>
  <c r="P1206" i="4" s="1" a="1"/>
  <c r="P1206" i="4" s="1"/>
  <c r="O1207" i="4"/>
  <c r="P1207" i="4" s="1" a="1"/>
  <c r="P1207" i="4" s="1"/>
  <c r="O1208" i="4"/>
  <c r="P1208" i="4" s="1" a="1"/>
  <c r="P1208" i="4" s="1"/>
  <c r="O1209" i="4"/>
  <c r="P1209" i="4" s="1" a="1"/>
  <c r="P1209" i="4" s="1"/>
  <c r="O1210" i="4"/>
  <c r="P1210" i="4" s="1" a="1"/>
  <c r="P1210" i="4" s="1"/>
  <c r="O1211" i="4"/>
  <c r="P1211" i="4" s="1" a="1"/>
  <c r="P1211" i="4" s="1"/>
  <c r="O1212" i="4"/>
  <c r="P1212" i="4" s="1" a="1"/>
  <c r="P1212" i="4" s="1"/>
  <c r="O1213" i="4"/>
  <c r="P1213" i="4" s="1" a="1"/>
  <c r="P1213" i="4" s="1"/>
  <c r="O1214" i="4"/>
  <c r="P1214" i="4" s="1" a="1"/>
  <c r="P1214" i="4" s="1"/>
  <c r="O1215" i="4"/>
  <c r="P1215" i="4" s="1" a="1"/>
  <c r="P1215" i="4" s="1"/>
  <c r="O1216" i="4"/>
  <c r="P1216" i="4" s="1" a="1"/>
  <c r="P1216" i="4" s="1"/>
  <c r="O1217" i="4"/>
  <c r="P1217" i="4" s="1" a="1"/>
  <c r="P1217" i="4" s="1"/>
  <c r="O1218" i="4"/>
  <c r="P1218" i="4" s="1" a="1"/>
  <c r="P1218" i="4" s="1"/>
  <c r="O1219" i="4"/>
  <c r="P1219" i="4" s="1" a="1"/>
  <c r="P1219" i="4" s="1"/>
  <c r="O1220" i="4"/>
  <c r="P1220" i="4" s="1" a="1"/>
  <c r="P1220" i="4" s="1"/>
  <c r="O1221" i="4"/>
  <c r="P1221" i="4" s="1" a="1"/>
  <c r="P1221" i="4" s="1"/>
  <c r="O1222" i="4"/>
  <c r="P1222" i="4" s="1" a="1"/>
  <c r="P1222" i="4" s="1"/>
  <c r="O1223" i="4"/>
  <c r="P1223" i="4" s="1" a="1"/>
  <c r="P1223" i="4" s="1"/>
  <c r="O1224" i="4"/>
  <c r="P1224" i="4" s="1" a="1"/>
  <c r="P1224" i="4" s="1"/>
  <c r="O1225" i="4"/>
  <c r="P1225" i="4" s="1" a="1"/>
  <c r="P1225" i="4" s="1"/>
  <c r="O1226" i="4"/>
  <c r="P1226" i="4" s="1" a="1"/>
  <c r="P1226" i="4" s="1"/>
  <c r="O1227" i="4"/>
  <c r="P1227" i="4" s="1" a="1"/>
  <c r="P1227" i="4" s="1"/>
  <c r="O1228" i="4"/>
  <c r="P1228" i="4" s="1" a="1"/>
  <c r="P1228" i="4" s="1"/>
  <c r="O1229" i="4"/>
  <c r="P1229" i="4" s="1" a="1"/>
  <c r="P1229" i="4" s="1"/>
  <c r="O1230" i="4"/>
  <c r="P1230" i="4" s="1" a="1"/>
  <c r="P1230" i="4" s="1"/>
  <c r="O1231" i="4"/>
  <c r="P1231" i="4" s="1" a="1"/>
  <c r="P1231" i="4" s="1"/>
  <c r="O1232" i="4"/>
  <c r="P1232" i="4" s="1" a="1"/>
  <c r="P1232" i="4" s="1"/>
  <c r="O1233" i="4"/>
  <c r="P1233" i="4" s="1" a="1"/>
  <c r="P1233" i="4" s="1"/>
  <c r="O1234" i="4"/>
  <c r="P1234" i="4" s="1" a="1"/>
  <c r="P1234" i="4" s="1"/>
  <c r="O1235" i="4"/>
  <c r="P1235" i="4" s="1" a="1"/>
  <c r="P1235" i="4" s="1"/>
  <c r="O1236" i="4"/>
  <c r="P1236" i="4" s="1" a="1"/>
  <c r="P1236" i="4" s="1"/>
  <c r="O1237" i="4"/>
  <c r="P1237" i="4" s="1" a="1"/>
  <c r="P1237" i="4" s="1"/>
  <c r="O1238" i="4"/>
  <c r="P1238" i="4" s="1" a="1"/>
  <c r="P1238" i="4" s="1"/>
  <c r="O1239" i="4"/>
  <c r="P1239" i="4" s="1" a="1"/>
  <c r="P1239" i="4" s="1"/>
  <c r="O1240" i="4"/>
  <c r="P1240" i="4" s="1" a="1"/>
  <c r="P1240" i="4" s="1"/>
  <c r="O1241" i="4"/>
  <c r="P1241" i="4" s="1" a="1"/>
  <c r="P1241" i="4" s="1"/>
  <c r="O1242" i="4"/>
  <c r="P1242" i="4" s="1" a="1"/>
  <c r="P1242" i="4" s="1"/>
  <c r="O1243" i="4"/>
  <c r="P1243" i="4" s="1" a="1"/>
  <c r="P1243" i="4" s="1"/>
  <c r="O1244" i="4"/>
  <c r="P1244" i="4" s="1" a="1"/>
  <c r="P1244" i="4" s="1"/>
  <c r="O1245" i="4"/>
  <c r="P1245" i="4" s="1" a="1"/>
  <c r="P1245" i="4" s="1"/>
  <c r="O1246" i="4"/>
  <c r="P1246" i="4" s="1" a="1"/>
  <c r="P1246" i="4" s="1"/>
  <c r="O1247" i="4"/>
  <c r="P1247" i="4" s="1" a="1"/>
  <c r="P1247" i="4" s="1"/>
  <c r="O1248" i="4"/>
  <c r="P1248" i="4" s="1" a="1"/>
  <c r="P1248" i="4" s="1"/>
  <c r="O1249" i="4"/>
  <c r="P1249" i="4" s="1" a="1"/>
  <c r="P1249" i="4" s="1"/>
  <c r="O1250" i="4"/>
  <c r="P1250" i="4" s="1" a="1"/>
  <c r="P1250" i="4" s="1"/>
  <c r="O1251" i="4"/>
  <c r="P1251" i="4" s="1" a="1"/>
  <c r="P1251" i="4" s="1"/>
  <c r="O1252" i="4"/>
  <c r="P1252" i="4" s="1" a="1"/>
  <c r="P1252" i="4" s="1"/>
  <c r="O1253" i="4"/>
  <c r="P1253" i="4" s="1" a="1"/>
  <c r="P1253" i="4" s="1"/>
  <c r="O1254" i="4"/>
  <c r="P1254" i="4" s="1" a="1"/>
  <c r="P1254" i="4" s="1"/>
  <c r="O1255" i="4"/>
  <c r="P1255" i="4" s="1" a="1"/>
  <c r="P1255" i="4" s="1"/>
  <c r="O1256" i="4"/>
  <c r="P1256" i="4" s="1" a="1"/>
  <c r="P1256" i="4" s="1"/>
  <c r="O1257" i="4"/>
  <c r="P1257" i="4" s="1" a="1"/>
  <c r="P1257" i="4" s="1"/>
  <c r="O1258" i="4"/>
  <c r="P1258" i="4" s="1" a="1"/>
  <c r="P1258" i="4" s="1"/>
  <c r="O1259" i="4"/>
  <c r="P1259" i="4" s="1" a="1"/>
  <c r="P1259" i="4" s="1"/>
  <c r="O1260" i="4"/>
  <c r="P1260" i="4" s="1" a="1"/>
  <c r="P1260" i="4" s="1"/>
  <c r="O1261" i="4"/>
  <c r="P1261" i="4" s="1" a="1"/>
  <c r="P1261" i="4" s="1"/>
  <c r="O1262" i="4"/>
  <c r="P1262" i="4" s="1" a="1"/>
  <c r="P1262" i="4" s="1"/>
  <c r="O1263" i="4"/>
  <c r="P1263" i="4" s="1" a="1"/>
  <c r="P1263" i="4" s="1"/>
  <c r="O1264" i="4"/>
  <c r="P1264" i="4" s="1" a="1"/>
  <c r="P1264" i="4" s="1"/>
  <c r="O1265" i="4"/>
  <c r="P1265" i="4" s="1" a="1"/>
  <c r="P1265" i="4" s="1"/>
  <c r="O1266" i="4"/>
  <c r="P1266" i="4" s="1" a="1"/>
  <c r="P1266" i="4" s="1"/>
  <c r="O1267" i="4"/>
  <c r="P1267" i="4" s="1" a="1"/>
  <c r="P1267" i="4" s="1"/>
  <c r="O1268" i="4"/>
  <c r="P1268" i="4" s="1" a="1"/>
  <c r="P1268" i="4" s="1"/>
  <c r="O1269" i="4"/>
  <c r="P1269" i="4" s="1" a="1"/>
  <c r="P1269" i="4" s="1"/>
  <c r="O1270" i="4"/>
  <c r="P1270" i="4" s="1" a="1"/>
  <c r="P1270" i="4" s="1"/>
  <c r="O1271" i="4"/>
  <c r="P1271" i="4" s="1" a="1"/>
  <c r="P1271" i="4" s="1"/>
  <c r="O1272" i="4"/>
  <c r="P1272" i="4" s="1" a="1"/>
  <c r="P1272" i="4" s="1"/>
  <c r="O1273" i="4"/>
  <c r="P1273" i="4" s="1" a="1"/>
  <c r="P1273" i="4" s="1"/>
  <c r="O1274" i="4"/>
  <c r="P1274" i="4" s="1" a="1"/>
  <c r="P1274" i="4" s="1"/>
  <c r="O1275" i="4"/>
  <c r="P1275" i="4" s="1" a="1"/>
  <c r="P1275" i="4" s="1"/>
  <c r="O1276" i="4"/>
  <c r="P1276" i="4" s="1" a="1"/>
  <c r="P1276" i="4" s="1"/>
  <c r="O1277" i="4"/>
  <c r="P1277" i="4" s="1" a="1"/>
  <c r="P1277" i="4" s="1"/>
  <c r="O1278" i="4"/>
  <c r="P1278" i="4" s="1" a="1"/>
  <c r="P1278" i="4" s="1"/>
  <c r="O1279" i="4"/>
  <c r="P1279" i="4" s="1" a="1"/>
  <c r="P1279" i="4" s="1"/>
  <c r="O1280" i="4"/>
  <c r="P1280" i="4" s="1" a="1"/>
  <c r="P1280" i="4" s="1"/>
  <c r="O1281" i="4"/>
  <c r="P1281" i="4" s="1" a="1"/>
  <c r="P1281" i="4" s="1"/>
  <c r="O1282" i="4"/>
  <c r="P1282" i="4" s="1" a="1"/>
  <c r="P1282" i="4" s="1"/>
  <c r="O1283" i="4"/>
  <c r="P1283" i="4" s="1" a="1"/>
  <c r="P1283" i="4" s="1"/>
  <c r="O1284" i="4"/>
  <c r="P1284" i="4" s="1" a="1"/>
  <c r="P1284" i="4" s="1"/>
  <c r="O1285" i="4"/>
  <c r="P1285" i="4" s="1" a="1"/>
  <c r="P1285" i="4" s="1"/>
  <c r="O1286" i="4"/>
  <c r="P1286" i="4" s="1" a="1"/>
  <c r="P1286" i="4" s="1"/>
  <c r="O1287" i="4"/>
  <c r="P1287" i="4" s="1" a="1"/>
  <c r="P1287" i="4" s="1"/>
  <c r="O1288" i="4"/>
  <c r="P1288" i="4" s="1" a="1"/>
  <c r="P1288" i="4" s="1"/>
  <c r="O1289" i="4"/>
  <c r="P1289" i="4" s="1" a="1"/>
  <c r="P1289" i="4" s="1"/>
  <c r="O1290" i="4"/>
  <c r="P1290" i="4" s="1" a="1"/>
  <c r="P1290" i="4" s="1"/>
  <c r="O1291" i="4"/>
  <c r="P1291" i="4" s="1" a="1"/>
  <c r="P1291" i="4" s="1"/>
  <c r="O1292" i="4"/>
  <c r="P1292" i="4" s="1" a="1"/>
  <c r="P1292" i="4" s="1"/>
  <c r="O1293" i="4"/>
  <c r="P1293" i="4" s="1" a="1"/>
  <c r="P1293" i="4" s="1"/>
  <c r="O1294" i="4"/>
  <c r="P1294" i="4" s="1" a="1"/>
  <c r="P1294" i="4" s="1"/>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N6" i="7"/>
  <c r="N4" i="7"/>
  <c r="N3" i="7"/>
  <c r="N2" i="7"/>
  <c r="N5"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<sst xmlns="http://schemas.openxmlformats.org/spreadsheetml/2006/main" count="23362" uniqueCount="2755">
  <si>
    <t>DealID</t>
  </si>
  <si>
    <t>ApplicationDate</t>
  </si>
  <si>
    <t>CustomerID</t>
  </si>
  <si>
    <t>Branch</t>
  </si>
  <si>
    <t>Product</t>
  </si>
  <si>
    <t>Channel</t>
  </si>
  <si>
    <t>Amount</t>
  </si>
  <si>
    <t>ProfitRate</t>
  </si>
  <si>
    <t>TenorMonths</t>
  </si>
  <si>
    <t>Officer</t>
  </si>
  <si>
    <t>Status</t>
  </si>
  <si>
    <t>DecisionDate</t>
  </si>
  <si>
    <t>FN-00005</t>
  </si>
  <si>
    <t>C0473</t>
  </si>
  <si>
    <t>Kuwait City</t>
  </si>
  <si>
    <t>Personal Tawarruq</t>
  </si>
  <si>
    <t>OFF-KUW-1</t>
  </si>
  <si>
    <t>Approved</t>
  </si>
  <si>
    <t>FN-00013</t>
  </si>
  <si>
    <t>C0939</t>
  </si>
  <si>
    <t>Hawally</t>
  </si>
  <si>
    <t>Home Ijara</t>
  </si>
  <si>
    <t>OFF-HAW-3</t>
  </si>
  <si>
    <t>FN-00017</t>
  </si>
  <si>
    <t>C0035</t>
  </si>
  <si>
    <t>Salmiya</t>
  </si>
  <si>
    <t>OFF-SAL-1</t>
  </si>
  <si>
    <t>FN-00019</t>
  </si>
  <si>
    <t>C0228</t>
  </si>
  <si>
    <t>Farwaniya</t>
  </si>
  <si>
    <t>Auto Murabaha</t>
  </si>
  <si>
    <t>Mobile App</t>
  </si>
  <si>
    <t>OFF-FAR-2</t>
  </si>
  <si>
    <t>FN-00048</t>
  </si>
  <si>
    <t>C0904</t>
  </si>
  <si>
    <t>FN-00077</t>
  </si>
  <si>
    <t>C0890</t>
  </si>
  <si>
    <t>OFF-HAW-1</t>
  </si>
  <si>
    <t>FN-00012</t>
  </si>
  <si>
    <t>C0294</t>
  </si>
  <si>
    <t>OFF-KUW-2</t>
  </si>
  <si>
    <t>FN-00021</t>
  </si>
  <si>
    <t>C0103</t>
  </si>
  <si>
    <t>SME Murabaha</t>
  </si>
  <si>
    <t>OFF-HAW-2</t>
  </si>
  <si>
    <t>Rejected</t>
  </si>
  <si>
    <t>FN-00080</t>
  </si>
  <si>
    <t>C0911</t>
  </si>
  <si>
    <t>OFF-KUW-3</t>
  </si>
  <si>
    <t>FN-00094</t>
  </si>
  <si>
    <t>C0641</t>
  </si>
  <si>
    <t xml:space="preserve"> Auto Murabaha</t>
  </si>
  <si>
    <t>FN-00032</t>
  </si>
  <si>
    <t>C0405</t>
  </si>
  <si>
    <t>Ahmadi</t>
  </si>
  <si>
    <t>Online</t>
  </si>
  <si>
    <t>OFF-AHM-1</t>
  </si>
  <si>
    <t>FN-00063</t>
  </si>
  <si>
    <t>C0884</t>
  </si>
  <si>
    <t>FN-00107</t>
  </si>
  <si>
    <t>C0332</t>
  </si>
  <si>
    <t>OFF-FAR-1</t>
  </si>
  <si>
    <t>FN-00043</t>
  </si>
  <si>
    <t>C0874</t>
  </si>
  <si>
    <t>FN-00047</t>
  </si>
  <si>
    <t>C0780</t>
  </si>
  <si>
    <t>OFF-SAL-3</t>
  </si>
  <si>
    <t>FN-00086</t>
  </si>
  <si>
    <t>C0438</t>
  </si>
  <si>
    <t>FN-00099</t>
  </si>
  <si>
    <t>C0599</t>
  </si>
  <si>
    <t>Jahra</t>
  </si>
  <si>
    <t>OFF-JAH-1</t>
  </si>
  <si>
    <t>FN-00120</t>
  </si>
  <si>
    <t>C0564</t>
  </si>
  <si>
    <t>FN-00051</t>
  </si>
  <si>
    <t>C0798</t>
  </si>
  <si>
    <t>FN-00073</t>
  </si>
  <si>
    <t>C0840</t>
  </si>
  <si>
    <t>FN-00083</t>
  </si>
  <si>
    <t>C0311</t>
  </si>
  <si>
    <t>FN-00105</t>
  </si>
  <si>
    <t>C0664</t>
  </si>
  <si>
    <t>FN-00108</t>
  </si>
  <si>
    <t>C0727</t>
  </si>
  <si>
    <t>FN-00022</t>
  </si>
  <si>
    <t>C0022</t>
  </si>
  <si>
    <t>Personal Tawaruq</t>
  </si>
  <si>
    <t>FN-00057</t>
  </si>
  <si>
    <t>C0881</t>
  </si>
  <si>
    <t>FN-00075</t>
  </si>
  <si>
    <t>C0465</t>
  </si>
  <si>
    <t>FN-00036</t>
  </si>
  <si>
    <t>C0587</t>
  </si>
  <si>
    <t>OFF-JAH-3</t>
  </si>
  <si>
    <t>FN-00116</t>
  </si>
  <si>
    <t>C0898</t>
  </si>
  <si>
    <t>FN-00029</t>
  </si>
  <si>
    <t>C0078</t>
  </si>
  <si>
    <t>FN-00039</t>
  </si>
  <si>
    <t>C0694</t>
  </si>
  <si>
    <t>OFF-JAH-2</t>
  </si>
  <si>
    <t>FN-00010</t>
  </si>
  <si>
    <t>C0648</t>
  </si>
  <si>
    <t>FN-00020</t>
  </si>
  <si>
    <t>C0321</t>
  </si>
  <si>
    <t>FN-00109</t>
  </si>
  <si>
    <t>C0896</t>
  </si>
  <si>
    <t>FN-00115</t>
  </si>
  <si>
    <t>C0701</t>
  </si>
  <si>
    <t>SME  Murabaha</t>
  </si>
  <si>
    <t>FN-00118</t>
  </si>
  <si>
    <t>C0132</t>
  </si>
  <si>
    <t>FN-00030</t>
  </si>
  <si>
    <t>C0819</t>
  </si>
  <si>
    <t>FN-00058</t>
  </si>
  <si>
    <t>C0759</t>
  </si>
  <si>
    <t>FN-00076</t>
  </si>
  <si>
    <t>C0689</t>
  </si>
  <si>
    <t>FN-00091</t>
  </si>
  <si>
    <t>C0784</t>
  </si>
  <si>
    <t>FN-00006</t>
  </si>
  <si>
    <t>C0464</t>
  </si>
  <si>
    <t>OFF-FAR-3</t>
  </si>
  <si>
    <t>FN-00037</t>
  </si>
  <si>
    <t>C0513</t>
  </si>
  <si>
    <t>FN-00044</t>
  </si>
  <si>
    <t>C0393</t>
  </si>
  <si>
    <t>FN-00082</t>
  </si>
  <si>
    <t>C0304</t>
  </si>
  <si>
    <t>FN-00102</t>
  </si>
  <si>
    <t>C0049</t>
  </si>
  <si>
    <t>FN-00003</t>
  </si>
  <si>
    <t>C0492</t>
  </si>
  <si>
    <t>FN-00090</t>
  </si>
  <si>
    <t>C0153</t>
  </si>
  <si>
    <t>FN-00101</t>
  </si>
  <si>
    <t>C0912</t>
  </si>
  <si>
    <t>FN-00110</t>
  </si>
  <si>
    <t>C0723</t>
  </si>
  <si>
    <t>FN-00026</t>
  </si>
  <si>
    <t>C0731</t>
  </si>
  <si>
    <t>FN-00042</t>
  </si>
  <si>
    <t>FN-00045</t>
  </si>
  <si>
    <t>C0510</t>
  </si>
  <si>
    <t>FN-00053</t>
  </si>
  <si>
    <t>C0698</t>
  </si>
  <si>
    <t>branch</t>
  </si>
  <si>
    <t>OFF-AHM-3</t>
  </si>
  <si>
    <t>FN-00059</t>
  </si>
  <si>
    <t>C0166</t>
  </si>
  <si>
    <t>sme murabaha</t>
  </si>
  <si>
    <t>FN-00041</t>
  </si>
  <si>
    <t>C0089</t>
  </si>
  <si>
    <t>MobileApp</t>
  </si>
  <si>
    <t>FN-00062</t>
  </si>
  <si>
    <t>C0290</t>
  </si>
  <si>
    <t>PERSONAL TAWARRUQ</t>
  </si>
  <si>
    <t>FN-00064</t>
  </si>
  <si>
    <t>C0007</t>
  </si>
  <si>
    <t>Auto  Murabaha</t>
  </si>
  <si>
    <t>FN-00069</t>
  </si>
  <si>
    <t>C0111</t>
  </si>
  <si>
    <t>FN-00070</t>
  </si>
  <si>
    <t>C0246</t>
  </si>
  <si>
    <t>FN-00087</t>
  </si>
  <si>
    <t>C0811</t>
  </si>
  <si>
    <t>FN-00097</t>
  </si>
  <si>
    <t>C0278</t>
  </si>
  <si>
    <t>FN-00106</t>
  </si>
  <si>
    <t>C0069</t>
  </si>
  <si>
    <t>FN-00014</t>
  </si>
  <si>
    <t>C0455</t>
  </si>
  <si>
    <t>FN-00034</t>
  </si>
  <si>
    <t>C0060</t>
  </si>
  <si>
    <t>FN-00071</t>
  </si>
  <si>
    <t>C0512</t>
  </si>
  <si>
    <t>FN-00023</t>
  </si>
  <si>
    <t>C0378</t>
  </si>
  <si>
    <t>FN-00031</t>
  </si>
  <si>
    <t>C0105</t>
  </si>
  <si>
    <t>OFF-SAL-2</t>
  </si>
  <si>
    <t>FN-00066</t>
  </si>
  <si>
    <t>C0637</t>
  </si>
  <si>
    <t>FN-00072</t>
  </si>
  <si>
    <t>C0453</t>
  </si>
  <si>
    <t>OFF-AHM-2</t>
  </si>
  <si>
    <t>FN-00074</t>
  </si>
  <si>
    <t>C0882</t>
  </si>
  <si>
    <t>FN-00095</t>
  </si>
  <si>
    <t>C0210</t>
  </si>
  <si>
    <t>FN-00015</t>
  </si>
  <si>
    <t>C0286</t>
  </si>
  <si>
    <t>FN-00114</t>
  </si>
  <si>
    <t>FN-00025</t>
  </si>
  <si>
    <t>C0830</t>
  </si>
  <si>
    <t>9,100 KWD</t>
  </si>
  <si>
    <t>FN-00001</t>
  </si>
  <si>
    <t>C0451</t>
  </si>
  <si>
    <t>FN-00002</t>
  </si>
  <si>
    <t>C0446</t>
  </si>
  <si>
    <t>FN-00028</t>
  </si>
  <si>
    <t>C0406</t>
  </si>
  <si>
    <t>FN-00035</t>
  </si>
  <si>
    <t>C0713</t>
  </si>
  <si>
    <t>FN-00111</t>
  </si>
  <si>
    <t>C0913</t>
  </si>
  <si>
    <t>FN-00024</t>
  </si>
  <si>
    <t>C0914</t>
  </si>
  <si>
    <t>FN-00046</t>
  </si>
  <si>
    <t>C0681</t>
  </si>
  <si>
    <t>20,400 KWD</t>
  </si>
  <si>
    <t>FN-00011</t>
  </si>
  <si>
    <t>C0003</t>
  </si>
  <si>
    <t>FN-00119</t>
  </si>
  <si>
    <t>FN-00060</t>
  </si>
  <si>
    <t>C0420</t>
  </si>
  <si>
    <t>FN-00084</t>
  </si>
  <si>
    <t>C0747</t>
  </si>
  <si>
    <t>FN-00089</t>
  </si>
  <si>
    <t>C0682</t>
  </si>
  <si>
    <t>FN-00049</t>
  </si>
  <si>
    <t>C0683</t>
  </si>
  <si>
    <t>FN-00065</t>
  </si>
  <si>
    <t>C0946</t>
  </si>
  <si>
    <t>FN-00078</t>
  </si>
  <si>
    <t>C0575</t>
  </si>
  <si>
    <t>FN-00085</t>
  </si>
  <si>
    <t>C0317</t>
  </si>
  <si>
    <t>FN-00113</t>
  </si>
  <si>
    <t>C0745</t>
  </si>
  <si>
    <t>FN-00016</t>
  </si>
  <si>
    <t>C0371</t>
  </si>
  <si>
    <t>FN-00081</t>
  </si>
  <si>
    <t>C0751</t>
  </si>
  <si>
    <t>FN-00093</t>
  </si>
  <si>
    <t>C0154</t>
  </si>
  <si>
    <t>FN-00100</t>
  </si>
  <si>
    <t>C0822</t>
  </si>
  <si>
    <t>FN-00103</t>
  </si>
  <si>
    <t>C0212</t>
  </si>
  <si>
    <t>FN-00117</t>
  </si>
  <si>
    <t>C0050</t>
  </si>
  <si>
    <t>FN-00040</t>
  </si>
  <si>
    <t>C0858</t>
  </si>
  <si>
    <t>FN-00050</t>
  </si>
  <si>
    <t>FN-00061</t>
  </si>
  <si>
    <t>FN-00068</t>
  </si>
  <si>
    <t>C0095</t>
  </si>
  <si>
    <t>FN-00004</t>
  </si>
  <si>
    <t>C0920</t>
  </si>
  <si>
    <t>FN-00008</t>
  </si>
  <si>
    <t>C0282</t>
  </si>
  <si>
    <t>FN-00052</t>
  </si>
  <si>
    <t>C0793</t>
  </si>
  <si>
    <t>FN-00067</t>
  </si>
  <si>
    <t>C0509</t>
  </si>
  <si>
    <t>FN-00096</t>
  </si>
  <si>
    <t>C0621</t>
  </si>
  <si>
    <t>FN-00027</t>
  </si>
  <si>
    <t>C0402</t>
  </si>
  <si>
    <t>FN-00054</t>
  </si>
  <si>
    <t>C0821</t>
  </si>
  <si>
    <t>FN-00055</t>
  </si>
  <si>
    <t>C0889</t>
  </si>
  <si>
    <t>FN-00079</t>
  </si>
  <si>
    <t>C0604</t>
  </si>
  <si>
    <t>FN-00092</t>
  </si>
  <si>
    <t>C0204</t>
  </si>
  <si>
    <t>FN-00098</t>
  </si>
  <si>
    <t>C0691</t>
  </si>
  <si>
    <t>FN-00104</t>
  </si>
  <si>
    <t>C0216</t>
  </si>
  <si>
    <t>FN-00007</t>
  </si>
  <si>
    <t>C0230</t>
  </si>
  <si>
    <t>FN-00018</t>
  </si>
  <si>
    <t>C0415</t>
  </si>
  <si>
    <t>FN-00038</t>
  </si>
  <si>
    <t>C0537</t>
  </si>
  <si>
    <t>FN-00056</t>
  </si>
  <si>
    <t>C0724</t>
  </si>
  <si>
    <t>FN-00088</t>
  </si>
  <si>
    <t>C0253</t>
  </si>
  <si>
    <t>FN-00112</t>
  </si>
  <si>
    <t>C0125</t>
  </si>
  <si>
    <t>FN-00009</t>
  </si>
  <si>
    <t>C0251</t>
  </si>
  <si>
    <t>FN-00033</t>
  </si>
  <si>
    <t>C0413</t>
  </si>
  <si>
    <t>FN-00126</t>
  </si>
  <si>
    <t>C0527</t>
  </si>
  <si>
    <t>FN-00222</t>
  </si>
  <si>
    <t>C0488</t>
  </si>
  <si>
    <t>FN-00234</t>
  </si>
  <si>
    <t>FN-00167</t>
  </si>
  <si>
    <t>C0015</t>
  </si>
  <si>
    <t>FN-00235</t>
  </si>
  <si>
    <t>C0703</t>
  </si>
  <si>
    <t>FN-00136</t>
  </si>
  <si>
    <t>C0256</t>
  </si>
  <si>
    <t>FN-00143</t>
  </si>
  <si>
    <t>C0522</t>
  </si>
  <si>
    <t>FN-00160</t>
  </si>
  <si>
    <t>C0100</t>
  </si>
  <si>
    <t>FN-00183</t>
  </si>
  <si>
    <t>C0189</t>
  </si>
  <si>
    <t>FN-00202</t>
  </si>
  <si>
    <t>C0740</t>
  </si>
  <si>
    <t>FN-00206</t>
  </si>
  <si>
    <t>FN-00207</t>
  </si>
  <si>
    <t>C0086</t>
  </si>
  <si>
    <t>FN-00209</t>
  </si>
  <si>
    <t>C0765</t>
  </si>
  <si>
    <t>FN-00226</t>
  </si>
  <si>
    <t>C0336</t>
  </si>
  <si>
    <t>FN-00230</t>
  </si>
  <si>
    <t>C0891</t>
  </si>
  <si>
    <t>FN-00181</t>
  </si>
  <si>
    <t>C0369</t>
  </si>
  <si>
    <t>FN-00201</t>
  </si>
  <si>
    <t>C0168</t>
  </si>
  <si>
    <t>FN-00204</t>
  </si>
  <si>
    <t>C0806</t>
  </si>
  <si>
    <t>FN-00218</t>
  </si>
  <si>
    <t>C0924</t>
  </si>
  <si>
    <t>FN-00228</t>
  </si>
  <si>
    <t>C0335</t>
  </si>
  <si>
    <t>FN-00244</t>
  </si>
  <si>
    <t>C0088</t>
  </si>
  <si>
    <t>BRANCH</t>
  </si>
  <si>
    <t>FN-00173</t>
  </si>
  <si>
    <t>C0232</t>
  </si>
  <si>
    <t>ONLINE</t>
  </si>
  <si>
    <t>FN-00180</t>
  </si>
  <si>
    <t>FN-00229</t>
  </si>
  <si>
    <t>C0496</t>
  </si>
  <si>
    <t>FN-00135</t>
  </si>
  <si>
    <t>C0441</t>
  </si>
  <si>
    <t>FN-00166</t>
  </si>
  <si>
    <t>C0635</t>
  </si>
  <si>
    <t>personal tawarruq</t>
  </si>
  <si>
    <t>FN-00184</t>
  </si>
  <si>
    <t>C0886</t>
  </si>
  <si>
    <t>FN-00220</t>
  </si>
  <si>
    <t>C0879</t>
  </si>
  <si>
    <t>FN-00122</t>
  </si>
  <si>
    <t>C0558</t>
  </si>
  <si>
    <t>FN-00125</t>
  </si>
  <si>
    <t>C0887</t>
  </si>
  <si>
    <t>FN-00137</t>
  </si>
  <si>
    <t>C0243</t>
  </si>
  <si>
    <t>FN-00144</t>
  </si>
  <si>
    <t>C0411</t>
  </si>
  <si>
    <t>FN-00182</t>
  </si>
  <si>
    <t>C0484</t>
  </si>
  <si>
    <t>FN-00210</t>
  </si>
  <si>
    <t>C0652</t>
  </si>
  <si>
    <t>FN-00124</t>
  </si>
  <si>
    <t>FN-00131</t>
  </si>
  <si>
    <t>C0156</t>
  </si>
  <si>
    <t>17,100 KWD</t>
  </si>
  <si>
    <t>FN-00147</t>
  </si>
  <si>
    <t>C0626</t>
  </si>
  <si>
    <t>FN-00150</t>
  </si>
  <si>
    <t>C0077</t>
  </si>
  <si>
    <t>FN-00151</t>
  </si>
  <si>
    <t>C0776</t>
  </si>
  <si>
    <t>FN-00171</t>
  </si>
  <si>
    <t>C0096</t>
  </si>
  <si>
    <t>FN-00203</t>
  </si>
  <si>
    <t>C0169</t>
  </si>
  <si>
    <t>FN-00212</t>
  </si>
  <si>
    <t>C0215</t>
  </si>
  <si>
    <t>FN-00214</t>
  </si>
  <si>
    <t>C0816</t>
  </si>
  <si>
    <t>FN-00217</t>
  </si>
  <si>
    <t>C0134</t>
  </si>
  <si>
    <t>FN-00238</t>
  </si>
  <si>
    <t>C0540</t>
  </si>
  <si>
    <t>FN-00132</t>
  </si>
  <si>
    <t>C0767</t>
  </si>
  <si>
    <t>FN-00148</t>
  </si>
  <si>
    <t>C0338</t>
  </si>
  <si>
    <t>FN-00154</t>
  </si>
  <si>
    <t>C0748</t>
  </si>
  <si>
    <t>FN-00159</t>
  </si>
  <si>
    <t>C0487</t>
  </si>
  <si>
    <t>FN-00172</t>
  </si>
  <si>
    <t>C0705</t>
  </si>
  <si>
    <t>FN-00197</t>
  </si>
  <si>
    <t>C0738</t>
  </si>
  <si>
    <t>FN-00225</t>
  </si>
  <si>
    <t>C0187</t>
  </si>
  <si>
    <t>FN-00139</t>
  </si>
  <si>
    <t>C0130</t>
  </si>
  <si>
    <t>FN-00188</t>
  </si>
  <si>
    <t>C0327</t>
  </si>
  <si>
    <t>98,900 KWD</t>
  </si>
  <si>
    <t>FN-00195</t>
  </si>
  <si>
    <t>C0361</t>
  </si>
  <si>
    <t>FN-00196</t>
  </si>
  <si>
    <t>C0339</t>
  </si>
  <si>
    <t>FN-00129</t>
  </si>
  <si>
    <t>FN-00138</t>
  </si>
  <si>
    <t>C0829</t>
  </si>
  <si>
    <t>FN-00165</t>
  </si>
  <si>
    <t>C0038</t>
  </si>
  <si>
    <t>AUTO MURABAHA</t>
  </si>
  <si>
    <t>FN-00186</t>
  </si>
  <si>
    <t>C0435</t>
  </si>
  <si>
    <t>FN-00190</t>
  </si>
  <si>
    <t>C0574</t>
  </si>
  <si>
    <t>FN-00205</t>
  </si>
  <si>
    <t>C0160</t>
  </si>
  <si>
    <t>FN-00232</t>
  </si>
  <si>
    <t>C0672</t>
  </si>
  <si>
    <t>FN-00192</t>
  </si>
  <si>
    <t>C0743</t>
  </si>
  <si>
    <t>FN-00146</t>
  </si>
  <si>
    <t>C0331</t>
  </si>
  <si>
    <t>FN-00168</t>
  </si>
  <si>
    <t>C0859</t>
  </si>
  <si>
    <t>FN-00194</t>
  </si>
  <si>
    <t>C0357</t>
  </si>
  <si>
    <t>FN-00241</t>
  </si>
  <si>
    <t>C0826</t>
  </si>
  <si>
    <t>FN-00141</t>
  </si>
  <si>
    <t>C0127</t>
  </si>
  <si>
    <t>FN-00176</t>
  </si>
  <si>
    <t>C0735</t>
  </si>
  <si>
    <t>FN-00193</t>
  </si>
  <si>
    <t>C0027</t>
  </si>
  <si>
    <t>FN-00198</t>
  </si>
  <si>
    <t>C0941</t>
  </si>
  <si>
    <t>FN-00211</t>
  </si>
  <si>
    <t>C0222</t>
  </si>
  <si>
    <t>FN-00216</t>
  </si>
  <si>
    <t>FN-00233</t>
  </si>
  <si>
    <t>FN-00239</t>
  </si>
  <si>
    <t>C0921</t>
  </si>
  <si>
    <t>FN-00242</t>
  </si>
  <si>
    <t>C0061</t>
  </si>
  <si>
    <t>FN-00128</t>
  </si>
  <si>
    <t>C0814</t>
  </si>
  <si>
    <t>FN-00178</t>
  </si>
  <si>
    <t>C0877</t>
  </si>
  <si>
    <t>FN-00221</t>
  </si>
  <si>
    <t>C0033</t>
  </si>
  <si>
    <t>FN-00149</t>
  </si>
  <si>
    <t>C0322</t>
  </si>
  <si>
    <t>FN-00152</t>
  </si>
  <si>
    <t>C0669</t>
  </si>
  <si>
    <t>FN-00162</t>
  </si>
  <si>
    <t>C0615</t>
  </si>
  <si>
    <t>FN-00199</t>
  </si>
  <si>
    <t>FN-00240</t>
  </si>
  <si>
    <t>C0531</t>
  </si>
  <si>
    <t>FN-00243</t>
  </si>
  <si>
    <t>C0910</t>
  </si>
  <si>
    <t>FN-00245</t>
  </si>
  <si>
    <t>C0267</t>
  </si>
  <si>
    <t>FN-00158</t>
  </si>
  <si>
    <t>C0462</t>
  </si>
  <si>
    <t>FN-00189</t>
  </si>
  <si>
    <t>C0773</t>
  </si>
  <si>
    <t>FN-00231</t>
  </si>
  <si>
    <t>FN-00130</t>
  </si>
  <si>
    <t>FN-00161</t>
  </si>
  <si>
    <t>C0423</t>
  </si>
  <si>
    <t>FN-00177</t>
  </si>
  <si>
    <t>FN-00213</t>
  </si>
  <si>
    <t>C0432</t>
  </si>
  <si>
    <t>FN-00219</t>
  </si>
  <si>
    <t>C0700</t>
  </si>
  <si>
    <t>FN-00236</t>
  </si>
  <si>
    <t>C0348</t>
  </si>
  <si>
    <t>FN-00123</t>
  </si>
  <si>
    <t>C0802</t>
  </si>
  <si>
    <t>FN-00208</t>
  </si>
  <si>
    <t>C0398</t>
  </si>
  <si>
    <t>FN-00223</t>
  </si>
  <si>
    <t>C0045</t>
  </si>
  <si>
    <t>21,200 KWD</t>
  </si>
  <si>
    <t>FN-00140</t>
  </si>
  <si>
    <t>C0566</t>
  </si>
  <si>
    <t>home ijara</t>
  </si>
  <si>
    <t>FN-00157</t>
  </si>
  <si>
    <t>C0006</t>
  </si>
  <si>
    <t>FN-00163</t>
  </si>
  <si>
    <t>FN-00169</t>
  </si>
  <si>
    <t>FN-00174</t>
  </si>
  <si>
    <t>C0008</t>
  </si>
  <si>
    <t>FN-00121</t>
  </si>
  <si>
    <t>C0670</t>
  </si>
  <si>
    <t>FN-00145</t>
  </si>
  <si>
    <t>C0753</t>
  </si>
  <si>
    <t>FN-00153</t>
  </si>
  <si>
    <t>FN-00170</t>
  </si>
  <si>
    <t>C0925</t>
  </si>
  <si>
    <t>FN-00187</t>
  </si>
  <si>
    <t>C0771</t>
  </si>
  <si>
    <t>FN-00191</t>
  </si>
  <si>
    <t>FN-00200</t>
  </si>
  <si>
    <t>C0366</t>
  </si>
  <si>
    <t>FN-00224</t>
  </si>
  <si>
    <t>FN-00227</t>
  </si>
  <si>
    <t>FN-00237</t>
  </si>
  <si>
    <t>C0283</t>
  </si>
  <si>
    <t>FN-00133</t>
  </si>
  <si>
    <t>C0312</t>
  </si>
  <si>
    <t>FN-00179</t>
  </si>
  <si>
    <t>C0376</t>
  </si>
  <si>
    <t>FN-00127</t>
  </si>
  <si>
    <t>C0666</t>
  </si>
  <si>
    <t>FN-00142</t>
  </si>
  <si>
    <t>C0456</t>
  </si>
  <si>
    <t>FN-00164</t>
  </si>
  <si>
    <t>C0067</t>
  </si>
  <si>
    <t>FN-00134</t>
  </si>
  <si>
    <t>C0568</t>
  </si>
  <si>
    <t>FN-00155</t>
  </si>
  <si>
    <t>C0556</t>
  </si>
  <si>
    <t>FN-00156</t>
  </si>
  <si>
    <t>C0440</t>
  </si>
  <si>
    <t>FN-00175</t>
  </si>
  <si>
    <t>FN-00185</t>
  </si>
  <si>
    <t>C0853</t>
  </si>
  <si>
    <t>FN-00215</t>
  </si>
  <si>
    <t>C0695</t>
  </si>
  <si>
    <t>FN-00265</t>
  </si>
  <si>
    <t>C0620</t>
  </si>
  <si>
    <t>FN-00321</t>
  </si>
  <si>
    <t>FN-00336</t>
  </si>
  <si>
    <t>C0320</t>
  </si>
  <si>
    <t>FN-00315</t>
  </si>
  <si>
    <t>FN-00317</t>
  </si>
  <si>
    <t>FN-00355</t>
  </si>
  <si>
    <t>C0572</t>
  </si>
  <si>
    <t>FN-00359</t>
  </si>
  <si>
    <t>FN-00398</t>
  </si>
  <si>
    <t>FN-00277</t>
  </si>
  <si>
    <t>C0781</t>
  </si>
  <si>
    <t>FN-00314</t>
  </si>
  <si>
    <t>C0144</t>
  </si>
  <si>
    <t>FN-00328</t>
  </si>
  <si>
    <t>C0565</t>
  </si>
  <si>
    <t>9,600 KWD</t>
  </si>
  <si>
    <t>FN-00302</t>
  </si>
  <si>
    <t>FN-00316</t>
  </si>
  <si>
    <t>C0744</t>
  </si>
  <si>
    <t>FN-00391</t>
  </si>
  <si>
    <t>FN-00399</t>
  </si>
  <si>
    <t>C0482</t>
  </si>
  <si>
    <t>FN-00333</t>
  </si>
  <si>
    <t>C0013</t>
  </si>
  <si>
    <t>FN-00375</t>
  </si>
  <si>
    <t>FN-00249</t>
  </si>
  <si>
    <t>C0908</t>
  </si>
  <si>
    <t>FN-00274</t>
  </si>
  <si>
    <t>FN-00346</t>
  </si>
  <si>
    <t>C0249</t>
  </si>
  <si>
    <t>FN-00256</t>
  </si>
  <si>
    <t>C0525</t>
  </si>
  <si>
    <t>FN-00269</t>
  </si>
  <si>
    <t>FN-00286</t>
  </si>
  <si>
    <t>FN-00325</t>
  </si>
  <si>
    <t>C0182</t>
  </si>
  <si>
    <t>FN-00397</t>
  </si>
  <si>
    <t>FN-00410</t>
  </si>
  <si>
    <t>C0408</t>
  </si>
  <si>
    <t>FN-00248</t>
  </si>
  <si>
    <t>C0571</t>
  </si>
  <si>
    <t>FN-00270</t>
  </si>
  <si>
    <t>FN-00281</t>
  </si>
  <si>
    <t>FN-00311</t>
  </si>
  <si>
    <t>C0150</t>
  </si>
  <si>
    <t>FN-00313</t>
  </si>
  <si>
    <t>C0870</t>
  </si>
  <si>
    <t>FN-00327</t>
  </si>
  <si>
    <t>C0114</t>
  </si>
  <si>
    <t>FN-00331</t>
  </si>
  <si>
    <t>C0198</t>
  </si>
  <si>
    <t>FN-00367</t>
  </si>
  <si>
    <t>C0516</t>
  </si>
  <si>
    <t>FN-00255</t>
  </si>
  <si>
    <t>FN-00272</t>
  </si>
  <si>
    <t>FN-00289</t>
  </si>
  <si>
    <t>FN-00349</t>
  </si>
  <si>
    <t>C0594</t>
  </si>
  <si>
    <t>FN-00366</t>
  </si>
  <si>
    <t>C0636</t>
  </si>
  <si>
    <t>FN-00408</t>
  </si>
  <si>
    <t>C0645</t>
  </si>
  <si>
    <t>FN-00271</t>
  </si>
  <si>
    <t>FN-00285</t>
  </si>
  <si>
    <t>FN-00362</t>
  </si>
  <si>
    <t>C0602</t>
  </si>
  <si>
    <t>FN-00390</t>
  </si>
  <si>
    <t>FN-00300</t>
  </si>
  <si>
    <t>C0141</t>
  </si>
  <si>
    <t>FN-00319</t>
  </si>
  <si>
    <t>C0031</t>
  </si>
  <si>
    <t>FN-00348</t>
  </si>
  <si>
    <t>C0005</t>
  </si>
  <si>
    <t>FN-00389</t>
  </si>
  <si>
    <t>C0704</t>
  </si>
  <si>
    <t>FN-00393</t>
  </si>
  <si>
    <t>C0412</t>
  </si>
  <si>
    <t>FN-00402</t>
  </si>
  <si>
    <t>FN-00403</t>
  </si>
  <si>
    <t>FN-00409</t>
  </si>
  <si>
    <t>C0109</t>
  </si>
  <si>
    <t>FN-00252</t>
  </si>
  <si>
    <t>C0259</t>
  </si>
  <si>
    <t>28,400 KWD</t>
  </si>
  <si>
    <t>FN-00257</t>
  </si>
  <si>
    <t>C0485</t>
  </si>
  <si>
    <t>FN-00344</t>
  </si>
  <si>
    <t>C0142</t>
  </si>
  <si>
    <t>FN-00371</t>
  </si>
  <si>
    <t>FN-00378</t>
  </si>
  <si>
    <t>C0737</t>
  </si>
  <si>
    <t>FN-00407</t>
  </si>
  <si>
    <t>C0236</t>
  </si>
  <si>
    <t>FN-00262</t>
  </si>
  <si>
    <t>C0633</t>
  </si>
  <si>
    <t>FN-00330</t>
  </si>
  <si>
    <t>C0590</t>
  </si>
  <si>
    <t>FN-00382</t>
  </si>
  <si>
    <t>FN-00318</t>
  </si>
  <si>
    <t>FN-00368</t>
  </si>
  <si>
    <t>C0138</t>
  </si>
  <si>
    <t>FN-00283</t>
  </si>
  <si>
    <t>C0373</t>
  </si>
  <si>
    <t>FN-00290</t>
  </si>
  <si>
    <t>FN-00297</t>
  </si>
  <si>
    <t>C0832</t>
  </si>
  <si>
    <t>FN-00347</t>
  </si>
  <si>
    <t>C0261</t>
  </si>
  <si>
    <t>FN-00396</t>
  </si>
  <si>
    <t>C0502</t>
  </si>
  <si>
    <t>FN-00401</t>
  </si>
  <si>
    <t>C0093</t>
  </si>
  <si>
    <t>FN-00404</t>
  </si>
  <si>
    <t>C0119</t>
  </si>
  <si>
    <t>FN-00264</t>
  </si>
  <si>
    <t>FN-00278</t>
  </si>
  <si>
    <t>FN-00282</t>
  </si>
  <si>
    <t>FN-00287</t>
  </si>
  <si>
    <t>C0552</t>
  </si>
  <si>
    <t>24,600 KWD</t>
  </si>
  <si>
    <t>FN-00343</t>
  </si>
  <si>
    <t>C0714</t>
  </si>
  <si>
    <t>FN-00363</t>
  </si>
  <si>
    <t>FN-00372</t>
  </si>
  <si>
    <t>FN-00379</t>
  </si>
  <si>
    <t>mobile app</t>
  </si>
  <si>
    <t>FN-00268</t>
  </si>
  <si>
    <t>C0902</t>
  </si>
  <si>
    <t>FN-00284</t>
  </si>
  <si>
    <t>FN-00305</t>
  </si>
  <si>
    <t>C0598</t>
  </si>
  <si>
    <t>FN-00320</t>
  </si>
  <si>
    <t>C0101</t>
  </si>
  <si>
    <t>FN-00341</t>
  </si>
  <si>
    <t>FN-00387</t>
  </si>
  <si>
    <t>C0632</t>
  </si>
  <si>
    <t>FN-00392</t>
  </si>
  <si>
    <t>FN-00406</t>
  </si>
  <si>
    <t>C0136</t>
  </si>
  <si>
    <t>FN-00259</t>
  </si>
  <si>
    <t>C0554</t>
  </si>
  <si>
    <t>FN-00350</t>
  </si>
  <si>
    <t>C0062</t>
  </si>
  <si>
    <t>FN-00356</t>
  </si>
  <si>
    <t>C0174</t>
  </si>
  <si>
    <t>FN-00395</t>
  </si>
  <si>
    <t>C0337</t>
  </si>
  <si>
    <t>FN-00254</t>
  </si>
  <si>
    <t>C0562</t>
  </si>
  <si>
    <t>FN-00292</t>
  </si>
  <si>
    <t>9,500 KWD</t>
  </si>
  <si>
    <t>FN-00294</t>
  </si>
  <si>
    <t>FN-00322</t>
  </si>
  <si>
    <t>FN-00351</t>
  </si>
  <si>
    <t>C0463</t>
  </si>
  <si>
    <t>FN-00388</t>
  </si>
  <si>
    <t>C0865</t>
  </si>
  <si>
    <t>FN-00394</t>
  </si>
  <si>
    <t>C0250</t>
  </si>
  <si>
    <t>FN-00296</t>
  </si>
  <si>
    <t>FN-00329</t>
  </si>
  <si>
    <t>FN-00260</t>
  </si>
  <si>
    <t>C0116</t>
  </si>
  <si>
    <t>FN-00288</t>
  </si>
  <si>
    <t>FN-00295</t>
  </si>
  <si>
    <t>C0778</t>
  </si>
  <si>
    <t>FN-00301</t>
  </si>
  <si>
    <t>C0113</t>
  </si>
  <si>
    <t>FN-00303</t>
  </si>
  <si>
    <t>FN-00323</t>
  </si>
  <si>
    <t>C0092</t>
  </si>
  <si>
    <t>FN-00340</t>
  </si>
  <si>
    <t>FN-00357</t>
  </si>
  <si>
    <t>C0343</t>
  </si>
  <si>
    <t>FN-00361</t>
  </si>
  <si>
    <t>C0352</t>
  </si>
  <si>
    <t>FN-00369</t>
  </si>
  <si>
    <t>FN-00381</t>
  </si>
  <si>
    <t>C0108</t>
  </si>
  <si>
    <t>FN-00386</t>
  </si>
  <si>
    <t>FN-00273</t>
  </si>
  <si>
    <t>FN-00279</t>
  </si>
  <si>
    <t>C0175</t>
  </si>
  <si>
    <t>FN-00324</t>
  </si>
  <si>
    <t>C0838</t>
  </si>
  <si>
    <t>FN-00326</t>
  </si>
  <si>
    <t>C0081</t>
  </si>
  <si>
    <t>FN-00345</t>
  </si>
  <si>
    <t>FN-00353</t>
  </si>
  <si>
    <t>C0009</t>
  </si>
  <si>
    <t>FN-00250</t>
  </si>
  <si>
    <t>C0593</t>
  </si>
  <si>
    <t>FN-00267</t>
  </si>
  <si>
    <t>C0799</t>
  </si>
  <si>
    <t>FN-00310</t>
  </si>
  <si>
    <t>C0421</t>
  </si>
  <si>
    <t>3,300 KWD</t>
  </si>
  <si>
    <t>FN-00360</t>
  </si>
  <si>
    <t>C0379</t>
  </si>
  <si>
    <t>FN-00364</t>
  </si>
  <si>
    <t>FN-00373</t>
  </si>
  <si>
    <t>C0145</t>
  </si>
  <si>
    <t>FN-00251</t>
  </si>
  <si>
    <t>C0374</t>
  </si>
  <si>
    <t>FN-00307</t>
  </si>
  <si>
    <t>C0549</t>
  </si>
  <si>
    <t>FN-00312</t>
  </si>
  <si>
    <t>C0606</t>
  </si>
  <si>
    <t>FN-00352</t>
  </si>
  <si>
    <t>C0563</t>
  </si>
  <si>
    <t>FN-00370</t>
  </si>
  <si>
    <t>C0024</t>
  </si>
  <si>
    <t>FN-00376</t>
  </si>
  <si>
    <t>C0491</t>
  </si>
  <si>
    <t>FN-00263</t>
  </si>
  <si>
    <t>C0245</t>
  </si>
  <si>
    <t>FN-00304</t>
  </si>
  <si>
    <t>C0272</t>
  </si>
  <si>
    <t>FN-00309</t>
  </si>
  <si>
    <t>FN-00338</t>
  </si>
  <si>
    <t>C0424</t>
  </si>
  <si>
    <t>FN-00374</t>
  </si>
  <si>
    <t>C0039</t>
  </si>
  <si>
    <t>FN-00380</t>
  </si>
  <si>
    <t>C0631</t>
  </si>
  <si>
    <t>FN-00385</t>
  </si>
  <si>
    <t>FN-00306</t>
  </si>
  <si>
    <t>C0439</t>
  </si>
  <si>
    <t>FN-00308</t>
  </si>
  <si>
    <t>C0712</t>
  </si>
  <si>
    <t>FN-00335</t>
  </si>
  <si>
    <t>C0922</t>
  </si>
  <si>
    <t>FN-00253</t>
  </si>
  <si>
    <t>FN-00261</t>
  </si>
  <si>
    <t>C0085</t>
  </si>
  <si>
    <t>FN-00276</t>
  </si>
  <si>
    <t>C0012</t>
  </si>
  <si>
    <t>FN-00334</t>
  </si>
  <si>
    <t>C0772</t>
  </si>
  <si>
    <t>FN-00342</t>
  </si>
  <si>
    <t>C0429</t>
  </si>
  <si>
    <t>FN-00358</t>
  </si>
  <si>
    <t>C0275</t>
  </si>
  <si>
    <t>FN-00365</t>
  </si>
  <si>
    <t>FN-00405</t>
  </si>
  <si>
    <t>C0495</t>
  </si>
  <si>
    <t>FN-00299</t>
  </si>
  <si>
    <t>C0515</t>
  </si>
  <si>
    <t>FN-00337</t>
  </si>
  <si>
    <t>FN-00354</t>
  </si>
  <si>
    <t>64,000 KWD</t>
  </si>
  <si>
    <t>FN-00383</t>
  </si>
  <si>
    <t>C0188</t>
  </si>
  <si>
    <t>FN-00400</t>
  </si>
  <si>
    <t>FN-00258</t>
  </si>
  <si>
    <t>FN-00275</t>
  </si>
  <si>
    <t>FN-00384</t>
  </si>
  <si>
    <t>C0225</t>
  </si>
  <si>
    <t>FN-00247</t>
  </si>
  <si>
    <t>FN-00266</t>
  </si>
  <si>
    <t>C0611</t>
  </si>
  <si>
    <t>FN-00280</t>
  </si>
  <si>
    <t>C0090</t>
  </si>
  <si>
    <t>FN-00293</t>
  </si>
  <si>
    <t>FN-00298</t>
  </si>
  <si>
    <t>C0722</t>
  </si>
  <si>
    <t>FN-00339</t>
  </si>
  <si>
    <t>C0390</t>
  </si>
  <si>
    <t>FN-00246</t>
  </si>
  <si>
    <t>C0721</t>
  </si>
  <si>
    <t>FN-00291</t>
  </si>
  <si>
    <t>FN-00332</t>
  </si>
  <si>
    <t>C0861</t>
  </si>
  <si>
    <t>FN-00377</t>
  </si>
  <si>
    <t>C0444</t>
  </si>
  <si>
    <t>FN-00434</t>
  </si>
  <si>
    <t>C0391</t>
  </si>
  <si>
    <t>FN-00436</t>
  </si>
  <si>
    <t>C0220</t>
  </si>
  <si>
    <t>FN-00454</t>
  </si>
  <si>
    <t>C0688</t>
  </si>
  <si>
    <t>FN-00475</t>
  </si>
  <si>
    <t>C0129</t>
  </si>
  <si>
    <t>FN-00479</t>
  </si>
  <si>
    <t>FN-00490</t>
  </si>
  <si>
    <t>C0733</t>
  </si>
  <si>
    <t>FN-00498</t>
  </si>
  <si>
    <t>FN-00507</t>
  </si>
  <si>
    <t>C0614</t>
  </si>
  <si>
    <t>FN-00438</t>
  </si>
  <si>
    <t>C0397</t>
  </si>
  <si>
    <t>FN-00488</t>
  </si>
  <si>
    <t>C0143</t>
  </si>
  <si>
    <t>FN-00504</t>
  </si>
  <si>
    <t>FN-00526</t>
  </si>
  <si>
    <t>C0483</t>
  </si>
  <si>
    <t>FN-00531</t>
  </si>
  <si>
    <t>C0241</t>
  </si>
  <si>
    <t>FN-00539</t>
  </si>
  <si>
    <t>C0792</t>
  </si>
  <si>
    <t>FN-00448</t>
  </si>
  <si>
    <t>8,300 KWD</t>
  </si>
  <si>
    <t>FN-00517</t>
  </si>
  <si>
    <t>C0118</t>
  </si>
  <si>
    <t>FN-00528</t>
  </si>
  <si>
    <t>FN-00419</t>
  </si>
  <si>
    <t>C0041</t>
  </si>
  <si>
    <t>FN-00432</t>
  </si>
  <si>
    <t>C0387</t>
  </si>
  <si>
    <t>FN-00447</t>
  </si>
  <si>
    <t>FN-00449</t>
  </si>
  <si>
    <t>C0685</t>
  </si>
  <si>
    <t>FN-00456</t>
  </si>
  <si>
    <t>FN-00534</t>
  </si>
  <si>
    <t>C0817</t>
  </si>
  <si>
    <t>FN-00535</t>
  </si>
  <si>
    <t>C0301</t>
  </si>
  <si>
    <t>FN-00415</t>
  </si>
  <si>
    <t>C0356</t>
  </si>
  <si>
    <t>FN-00461</t>
  </si>
  <si>
    <t>FN-00467</t>
  </si>
  <si>
    <t>FN-00472</t>
  </si>
  <si>
    <t>FN-00505</t>
  </si>
  <si>
    <t>C0940</t>
  </si>
  <si>
    <t>FN-00525</t>
  </si>
  <si>
    <t>C0263</t>
  </si>
  <si>
    <t>FN-00452</t>
  </si>
  <si>
    <t>C0841</t>
  </si>
  <si>
    <t>FN-00514</t>
  </si>
  <si>
    <t>C0734</t>
  </si>
  <si>
    <t>FN-00533</t>
  </si>
  <si>
    <t>C0360</t>
  </si>
  <si>
    <t>FN-00450</t>
  </si>
  <si>
    <t>C0710</t>
  </si>
  <si>
    <t>FN-00465</t>
  </si>
  <si>
    <t>C0597</t>
  </si>
  <si>
    <t>FN-00466</t>
  </si>
  <si>
    <t>C0063</t>
  </si>
  <si>
    <t>FN-00480</t>
  </si>
  <si>
    <t>C0358</t>
  </si>
  <si>
    <t>FN-00481</t>
  </si>
  <si>
    <t>3,500 KWD</t>
  </si>
  <si>
    <t>FN-00482</t>
  </si>
  <si>
    <t>C0630</t>
  </si>
  <si>
    <t>FN-00520</t>
  </si>
  <si>
    <t>FN-00506</t>
  </si>
  <si>
    <t>C0281</t>
  </si>
  <si>
    <t>FN-00444</t>
  </si>
  <si>
    <t>C0827</t>
  </si>
  <si>
    <t>FN-00462</t>
  </si>
  <si>
    <t>C0115</t>
  </si>
  <si>
    <t>FN-00491</t>
  </si>
  <si>
    <t>FN-00497</t>
  </si>
  <si>
    <t>C0165</t>
  </si>
  <si>
    <t>FN-00501</t>
  </si>
  <si>
    <t>C0603</t>
  </si>
  <si>
    <t>FN-00515</t>
  </si>
  <si>
    <t>C0546</t>
  </si>
  <si>
    <t>FN-00522</t>
  </si>
  <si>
    <t>FN-00425</t>
  </si>
  <si>
    <t>C0428</t>
  </si>
  <si>
    <t>FN-00435</t>
  </si>
  <si>
    <t>C0199</t>
  </si>
  <si>
    <t>FN-00443</t>
  </si>
  <si>
    <t>FN-00464</t>
  </si>
  <si>
    <t>C0227</t>
  </si>
  <si>
    <t>FN-00499</t>
  </si>
  <si>
    <t>C0534</t>
  </si>
  <si>
    <t>FN-00503</t>
  </si>
  <si>
    <t>FN-00512</t>
  </si>
  <si>
    <t>12,500 KWD</t>
  </si>
  <si>
    <t>FN-00426</t>
  </si>
  <si>
    <t>C0942</t>
  </si>
  <si>
    <t>164,800 KWD</t>
  </si>
  <si>
    <t>FN-00469</t>
  </si>
  <si>
    <t>FN-00511</t>
  </si>
  <si>
    <t>FN-00420</t>
  </si>
  <si>
    <t>C0190</t>
  </si>
  <si>
    <t>FN-00424</t>
  </si>
  <si>
    <t>C0056</t>
  </si>
  <si>
    <t>FN-00441</t>
  </si>
  <si>
    <t>C0708</t>
  </si>
  <si>
    <t>FN-00500</t>
  </si>
  <si>
    <t>FN-00509</t>
  </si>
  <si>
    <t>C0221</t>
  </si>
  <si>
    <t>FN-00521</t>
  </si>
  <si>
    <t>C0170</t>
  </si>
  <si>
    <t>FN-00529</t>
  </si>
  <si>
    <t>FN-00530</t>
  </si>
  <si>
    <t>FN-00418</t>
  </si>
  <si>
    <t>FN-00427</t>
  </si>
  <si>
    <t>C0774</t>
  </si>
  <si>
    <t>25,000 KWD</t>
  </si>
  <si>
    <t>FN-00430</t>
  </si>
  <si>
    <t>C0149</t>
  </si>
  <si>
    <t>FN-00453</t>
  </si>
  <si>
    <t>FN-00476</t>
  </si>
  <si>
    <t>C0445</t>
  </si>
  <si>
    <t>FN-00493</t>
  </si>
  <si>
    <t>C0501</t>
  </si>
  <si>
    <t>FN-00510</t>
  </si>
  <si>
    <t>C0481</t>
  </si>
  <si>
    <t>FN-00523</t>
  </si>
  <si>
    <t>FN-00414</t>
  </si>
  <si>
    <t>C0306</t>
  </si>
  <si>
    <t>FN-00421</t>
  </si>
  <si>
    <t>FN-00422</t>
  </si>
  <si>
    <t>C0084</t>
  </si>
  <si>
    <t>FN-00433</t>
  </si>
  <si>
    <t>C0285</t>
  </si>
  <si>
    <t>153,000 KWD</t>
  </si>
  <si>
    <t>FN-00457</t>
  </si>
  <si>
    <t>FN-00460</t>
  </si>
  <si>
    <t>C0612</t>
  </si>
  <si>
    <t>Home Ijarah</t>
  </si>
  <si>
    <t>FN-00423</t>
  </si>
  <si>
    <t>FN-00492</t>
  </si>
  <si>
    <t>C0547</t>
  </si>
  <si>
    <t>FN-00516</t>
  </si>
  <si>
    <t>FN-00536</t>
  </si>
  <si>
    <t>C0248</t>
  </si>
  <si>
    <t>FN-00473</t>
  </si>
  <si>
    <t>FN-00487</t>
  </si>
  <si>
    <t>FN-00478</t>
  </si>
  <si>
    <t>FN-00527</t>
  </si>
  <si>
    <t>Mobile app</t>
  </si>
  <si>
    <t>FN-00495</t>
  </si>
  <si>
    <t>FN-00513</t>
  </si>
  <si>
    <t>FN-00412</t>
  </si>
  <si>
    <t>FN-00437</t>
  </si>
  <si>
    <t>FN-00494</t>
  </si>
  <si>
    <t>FN-00416</t>
  </si>
  <si>
    <t>C0623</t>
  </si>
  <si>
    <t>FN-00417</t>
  </si>
  <si>
    <t>FN-00451</t>
  </si>
  <si>
    <t>FN-00459</t>
  </si>
  <si>
    <t>C0872</t>
  </si>
  <si>
    <t>13,900 KWD</t>
  </si>
  <si>
    <t>FN-00508</t>
  </si>
  <si>
    <t>FN-00519</t>
  </si>
  <si>
    <t>C0053</t>
  </si>
  <si>
    <t>FN-00442</t>
  </si>
  <si>
    <t>C0505</t>
  </si>
  <si>
    <t>FN-00463</t>
  </si>
  <si>
    <t>C0234</t>
  </si>
  <si>
    <t>FN-00484</t>
  </si>
  <si>
    <t>C0627</t>
  </si>
  <si>
    <t>FN-00532</t>
  </si>
  <si>
    <t>C0148</t>
  </si>
  <si>
    <t>FN-00428</t>
  </si>
  <si>
    <t>C0052</t>
  </si>
  <si>
    <t>FN-00429</t>
  </si>
  <si>
    <t>C0801</t>
  </si>
  <si>
    <t>FN-00458</t>
  </si>
  <si>
    <t>C0297</t>
  </si>
  <si>
    <t>FN-00470</t>
  </si>
  <si>
    <t>online</t>
  </si>
  <si>
    <t>FN-00477</t>
  </si>
  <si>
    <t>C0595</t>
  </si>
  <si>
    <t>FN-00471</t>
  </si>
  <si>
    <t>C0948</t>
  </si>
  <si>
    <t>FN-00489</t>
  </si>
  <si>
    <t>C0662</t>
  </si>
  <si>
    <t>FN-00431</t>
  </si>
  <si>
    <t>FN-00439</t>
  </si>
  <si>
    <t>C0559</t>
  </si>
  <si>
    <t>FN-00455</t>
  </si>
  <si>
    <t>FN-00468</t>
  </si>
  <si>
    <t>FN-00540</t>
  </si>
  <si>
    <t>C0797</t>
  </si>
  <si>
    <t>FN-00446</t>
  </si>
  <si>
    <t>C0083</t>
  </si>
  <si>
    <t>FN-00413</t>
  </si>
  <si>
    <t>C0314</t>
  </si>
  <si>
    <t>FN-00445</t>
  </si>
  <si>
    <t>C0107</t>
  </si>
  <si>
    <t>FN-00474</t>
  </si>
  <si>
    <t>C0152</t>
  </si>
  <si>
    <t>FN-00485</t>
  </si>
  <si>
    <t>FN-00440</t>
  </si>
  <si>
    <t>C0674</t>
  </si>
  <si>
    <t>FN-00496</t>
  </si>
  <si>
    <t>FN-00518</t>
  </si>
  <si>
    <t>FN-00524</t>
  </si>
  <si>
    <t>C0507</t>
  </si>
  <si>
    <t>FN-00538</t>
  </si>
  <si>
    <t>FN-00411</t>
  </si>
  <si>
    <t>C0622</t>
  </si>
  <si>
    <t>FN-00483</t>
  </si>
  <si>
    <t>C0536</t>
  </si>
  <si>
    <t>FN-00486</t>
  </si>
  <si>
    <t>FN-00502</t>
  </si>
  <si>
    <t>FN-00537</t>
  </si>
  <si>
    <t>C0532</t>
  </si>
  <si>
    <t>FN-00562</t>
  </si>
  <si>
    <t>C0240</t>
  </si>
  <si>
    <t>FN-00595</t>
  </si>
  <si>
    <t>C0930</t>
  </si>
  <si>
    <t>FN-00660</t>
  </si>
  <si>
    <t>C0783</t>
  </si>
  <si>
    <t>FN-00671</t>
  </si>
  <si>
    <t>C0194</t>
  </si>
  <si>
    <t>FN-00677</t>
  </si>
  <si>
    <t>C0094</t>
  </si>
  <si>
    <t>FN-00564</t>
  </si>
  <si>
    <t>FN-00569</t>
  </si>
  <si>
    <t>FN-00615</t>
  </si>
  <si>
    <t>C0384</t>
  </si>
  <si>
    <t>FN-00655</t>
  </si>
  <si>
    <t>C0514</t>
  </si>
  <si>
    <t>FN-00674</t>
  </si>
  <si>
    <t>FN-00561</t>
  </si>
  <si>
    <t>C0452</t>
  </si>
  <si>
    <t>FN-00574</t>
  </si>
  <si>
    <t>FN-00592</t>
  </si>
  <si>
    <t>C0868</t>
  </si>
  <si>
    <t>FN-00641</t>
  </si>
  <si>
    <t>C0218</t>
  </si>
  <si>
    <t>FN-00684</t>
  </si>
  <si>
    <t>FN-00542</t>
  </si>
  <si>
    <t>FN-00550</t>
  </si>
  <si>
    <t>C0617</t>
  </si>
  <si>
    <t>FN-00556</t>
  </si>
  <si>
    <t>FN-00617</t>
  </si>
  <si>
    <t>C0186</t>
  </si>
  <si>
    <t>FN-00628</t>
  </si>
  <si>
    <t>FN-00638</t>
  </si>
  <si>
    <t>C0812</t>
  </si>
  <si>
    <t>FN-00654</t>
  </si>
  <si>
    <t>C0016</t>
  </si>
  <si>
    <t>FN-00656</t>
  </si>
  <si>
    <t>FN-00589</t>
  </si>
  <si>
    <t>C0687</t>
  </si>
  <si>
    <t>FN-00665</t>
  </si>
  <si>
    <t>C0340</t>
  </si>
  <si>
    <t>FN-00559</t>
  </si>
  <si>
    <t>FN-00576</t>
  </si>
  <si>
    <t>C0381</t>
  </si>
  <si>
    <t>FN-00624</t>
  </si>
  <si>
    <t>C0718</t>
  </si>
  <si>
    <t>FN-00644</t>
  </si>
  <si>
    <t>C0377</t>
  </si>
  <si>
    <t>FN-00661</t>
  </si>
  <si>
    <t>FN-00662</t>
  </si>
  <si>
    <t>C0211</t>
  </si>
  <si>
    <t>FN-00663</t>
  </si>
  <si>
    <t>C0867</t>
  </si>
  <si>
    <t>FN-00679</t>
  </si>
  <si>
    <t>C0475</t>
  </si>
  <si>
    <t>FN-00546</t>
  </si>
  <si>
    <t>C0640</t>
  </si>
  <si>
    <t>FN-00548</t>
  </si>
  <si>
    <t>C0184</t>
  </si>
  <si>
    <t>FN-00551</t>
  </si>
  <si>
    <t>C0351</t>
  </si>
  <si>
    <t>FN-00565</t>
  </si>
  <si>
    <t>C0112</t>
  </si>
  <si>
    <t>FN-00580</t>
  </si>
  <si>
    <t>FN-00593</t>
  </si>
  <si>
    <t>C0454</t>
  </si>
  <si>
    <t>FN-00599</t>
  </si>
  <si>
    <t>FN-00639</t>
  </si>
  <si>
    <t>FN-00643</t>
  </si>
  <si>
    <t>C0493</t>
  </si>
  <si>
    <t>FN-00649</t>
  </si>
  <si>
    <t>C0224</t>
  </si>
  <si>
    <t>FN-00668</t>
  </si>
  <si>
    <t>C0880</t>
  </si>
  <si>
    <t>FN-00616</t>
  </si>
  <si>
    <t>C0040</t>
  </si>
  <si>
    <t>FN-00622</t>
  </si>
  <si>
    <t>FN-00632</t>
  </si>
  <si>
    <t>C0860</t>
  </si>
  <si>
    <t>FN-00645</t>
  </si>
  <si>
    <t>FN-00652</t>
  </si>
  <si>
    <t>C0600</t>
  </si>
  <si>
    <t>FN-00685</t>
  </si>
  <si>
    <t>FN-00584</t>
  </si>
  <si>
    <t>C0364</t>
  </si>
  <si>
    <t>FN-00602</t>
  </si>
  <si>
    <t>C0177</t>
  </si>
  <si>
    <t>FN-00672</t>
  </si>
  <si>
    <t>C0043</t>
  </si>
  <si>
    <t>FN-00570</t>
  </si>
  <si>
    <t>FN-00625</t>
  </si>
  <si>
    <t>FN-00690</t>
  </si>
  <si>
    <t>C0206</t>
  </si>
  <si>
    <t>FN-00552</t>
  </si>
  <si>
    <t>FN-00578</t>
  </si>
  <si>
    <t>FN-00680</t>
  </si>
  <si>
    <t>C0901</t>
  </si>
  <si>
    <t>FN-00541</t>
  </si>
  <si>
    <t>FN-00555</t>
  </si>
  <si>
    <t>C0471</t>
  </si>
  <si>
    <t>FN-00594</t>
  </si>
  <si>
    <t>FN-00642</t>
  </si>
  <si>
    <t>FN-00670</t>
  </si>
  <si>
    <t>FN-00566</t>
  </si>
  <si>
    <t>C0945</t>
  </si>
  <si>
    <t>FN-00588</t>
  </si>
  <si>
    <t>C0287</t>
  </si>
  <si>
    <t>FN-00601</t>
  </si>
  <si>
    <t>FN-00614</t>
  </si>
  <si>
    <t>C0226</t>
  </si>
  <si>
    <t>FN-00620</t>
  </si>
  <si>
    <t>C0178</t>
  </si>
  <si>
    <t>FN-00637</t>
  </si>
  <si>
    <t>FN-00651</t>
  </si>
  <si>
    <t>2,500 KWD</t>
  </si>
  <si>
    <t>FN-00682</t>
  </si>
  <si>
    <t>FN-00686</t>
  </si>
  <si>
    <t>FN-00585</t>
  </si>
  <si>
    <t>C0146</t>
  </si>
  <si>
    <t>FN-00673</t>
  </si>
  <si>
    <t>C0550</t>
  </si>
  <si>
    <t>FN-00676</t>
  </si>
  <si>
    <t>C0828</t>
  </si>
  <si>
    <t>FN-00678</t>
  </si>
  <si>
    <t>FN-00553</t>
  </si>
  <si>
    <t>20,000 KWD</t>
  </si>
  <si>
    <t>FN-00557</t>
  </si>
  <si>
    <t>C0762</t>
  </si>
  <si>
    <t>FN-00567</t>
  </si>
  <si>
    <t>C0521</t>
  </si>
  <si>
    <t>FN-00579</t>
  </si>
  <si>
    <t>C0300</t>
  </si>
  <si>
    <t>FN-00590</t>
  </si>
  <si>
    <t>FN-00623</t>
  </si>
  <si>
    <t>FN-00627</t>
  </si>
  <si>
    <t>FN-00650</t>
  </si>
  <si>
    <t>FN-00664</t>
  </si>
  <si>
    <t>FN-00667</t>
  </si>
  <si>
    <t>C0661</t>
  </si>
  <si>
    <t>FN-00604</t>
  </si>
  <si>
    <t>C0538</t>
  </si>
  <si>
    <t>FN-00607</t>
  </si>
  <si>
    <t>FN-00653</t>
  </si>
  <si>
    <t>C0235</t>
  </si>
  <si>
    <t>FN-00575</t>
  </si>
  <si>
    <t>FN-00613</t>
  </si>
  <si>
    <t>C0577</t>
  </si>
  <si>
    <t>FN-00657</t>
  </si>
  <si>
    <t>C0692</t>
  </si>
  <si>
    <t>FN-00583</t>
  </si>
  <si>
    <t>FN-00603</t>
  </si>
  <si>
    <t>FN-00634</t>
  </si>
  <si>
    <t>FN-00683</t>
  </si>
  <si>
    <t>FN-00560</t>
  </si>
  <si>
    <t>FN-00581</t>
  </si>
  <si>
    <t>FN-00681</t>
  </si>
  <si>
    <t>C0820</t>
  </si>
  <si>
    <t>FN-00549</t>
  </si>
  <si>
    <t>C0739</t>
  </si>
  <si>
    <t>FN-00563</t>
  </si>
  <si>
    <t>C0678</t>
  </si>
  <si>
    <t>FN-00586</t>
  </si>
  <si>
    <t>C0935</t>
  </si>
  <si>
    <t>FN-00587</t>
  </si>
  <si>
    <t>FN-00597</t>
  </si>
  <si>
    <t>C0147</t>
  </si>
  <si>
    <t>FN-00611</t>
  </si>
  <si>
    <t>FN-00647</t>
  </si>
  <si>
    <t>FN-00658</t>
  </si>
  <si>
    <t>C0179</t>
  </si>
  <si>
    <t>FN-00687</t>
  </si>
  <si>
    <t>FN-00609</t>
  </si>
  <si>
    <t>FN-00626</t>
  </si>
  <si>
    <t>FN-00629</t>
  </si>
  <si>
    <t>C0279</t>
  </si>
  <si>
    <t>FN-00631</t>
  </si>
  <si>
    <t>FN-00543</t>
  </si>
  <si>
    <t>FN-00544</t>
  </si>
  <si>
    <t>C0646</t>
  </si>
  <si>
    <t>FN-00554</t>
  </si>
  <si>
    <t>FN-00568</t>
  </si>
  <si>
    <t>C0318</t>
  </si>
  <si>
    <t>FN-00577</t>
  </si>
  <si>
    <t>FN-00610</t>
  </si>
  <si>
    <t>C0616</t>
  </si>
  <si>
    <t>FN-00558</t>
  </si>
  <si>
    <t>C0310</t>
  </si>
  <si>
    <t>FN-00598</t>
  </si>
  <si>
    <t>C0266</t>
  </si>
  <si>
    <t>FN-00605</t>
  </si>
  <si>
    <t>C0504</t>
  </si>
  <si>
    <t>FN-00612</t>
  </si>
  <si>
    <t>C0608</t>
  </si>
  <si>
    <t>FN-00547</t>
  </si>
  <si>
    <t>C0650</t>
  </si>
  <si>
    <t>FN-00618</t>
  </si>
  <si>
    <t>FN-00635</t>
  </si>
  <si>
    <t>FN-00669</t>
  </si>
  <si>
    <t>FN-00621</t>
  </si>
  <si>
    <t>C0846</t>
  </si>
  <si>
    <t>FN-00633</t>
  </si>
  <si>
    <t>FN-00648</t>
  </si>
  <si>
    <t>FN-00666</t>
  </si>
  <si>
    <t>FN-00675</t>
  </si>
  <si>
    <t>C0653</t>
  </si>
  <si>
    <t>FN-00572</t>
  </si>
  <si>
    <t>C0388</t>
  </si>
  <si>
    <t>FN-00630</t>
  </si>
  <si>
    <t>FN-00646</t>
  </si>
  <si>
    <t>C0671</t>
  </si>
  <si>
    <t>FN-00582</t>
  </si>
  <si>
    <t>C0433</t>
  </si>
  <si>
    <t>FN-00591</t>
  </si>
  <si>
    <t>C0019</t>
  </si>
  <si>
    <t>FN-00596</t>
  </si>
  <si>
    <t>FN-00608</t>
  </si>
  <si>
    <t>C0345</t>
  </si>
  <si>
    <t>FN-00619</t>
  </si>
  <si>
    <t>C0469</t>
  </si>
  <si>
    <t>FN-00636</t>
  </si>
  <si>
    <t>FN-00640</t>
  </si>
  <si>
    <t>C0244</t>
  </si>
  <si>
    <t>FN-00688</t>
  </si>
  <si>
    <t>C0468</t>
  </si>
  <si>
    <t>FN-00689</t>
  </si>
  <si>
    <t>C0157</t>
  </si>
  <si>
    <t>FN-00545</t>
  </si>
  <si>
    <t>C0284</t>
  </si>
  <si>
    <t>FN-00571</t>
  </si>
  <si>
    <t>C0274</t>
  </si>
  <si>
    <t>FN-00573</t>
  </si>
  <si>
    <t>C0813</t>
  </si>
  <si>
    <t>FN-00600</t>
  </si>
  <si>
    <t>FN-00606</t>
  </si>
  <si>
    <t>C0029</t>
  </si>
  <si>
    <t>FN-00659</t>
  </si>
  <si>
    <t>C0025</t>
  </si>
  <si>
    <t>FN-00705</t>
  </si>
  <si>
    <t>C0011</t>
  </si>
  <si>
    <t>FN-00719</t>
  </si>
  <si>
    <t>C0098</t>
  </si>
  <si>
    <t>FN-00770</t>
  </si>
  <si>
    <t>FN-00804</t>
  </si>
  <si>
    <t>FN-00726</t>
  </si>
  <si>
    <t>FN-00734</t>
  </si>
  <si>
    <t>C0123</t>
  </si>
  <si>
    <t>FN-00739</t>
  </si>
  <si>
    <t>C0172</t>
  </si>
  <si>
    <t>FN-00763</t>
  </si>
  <si>
    <t>FN-00813</t>
  </si>
  <si>
    <t>C0855</t>
  </si>
  <si>
    <t>FN-00744</t>
  </si>
  <si>
    <t>C0367</t>
  </si>
  <si>
    <t>FN-00803</t>
  </si>
  <si>
    <t>FN-00711</t>
  </si>
  <si>
    <t>FN-00724</t>
  </si>
  <si>
    <t>FN-00773</t>
  </si>
  <si>
    <t>FN-00793</t>
  </si>
  <si>
    <t>C0807</t>
  </si>
  <si>
    <t>FN-00812</t>
  </si>
  <si>
    <t>C0541</t>
  </si>
  <si>
    <t>FN-00699</t>
  </si>
  <si>
    <t>C0324</t>
  </si>
  <si>
    <t>FN-00714</t>
  </si>
  <si>
    <t>C0457</t>
  </si>
  <si>
    <t>FN-00733</t>
  </si>
  <si>
    <t>FN-00817</t>
  </si>
  <si>
    <t>C0307</t>
  </si>
  <si>
    <t>FN-00707</t>
  </si>
  <si>
    <t>C0732</t>
  </si>
  <si>
    <t>FN-00745</t>
  </si>
  <si>
    <t>FN-00755</t>
  </si>
  <si>
    <t>C0128</t>
  </si>
  <si>
    <t>FN-00768</t>
  </si>
  <si>
    <t>FN-00769</t>
  </si>
  <si>
    <t>C0613</t>
  </si>
  <si>
    <t>FN-00775</t>
  </si>
  <si>
    <t>C0422</t>
  </si>
  <si>
    <t>FN-00782</t>
  </si>
  <si>
    <t>FN-00801</t>
  </si>
  <si>
    <t>C0591</t>
  </si>
  <si>
    <t>FN-00821</t>
  </si>
  <si>
    <t>FN-00698</t>
  </si>
  <si>
    <t>C0380</t>
  </si>
  <si>
    <t>FN-00723</t>
  </si>
  <si>
    <t>C0729</t>
  </si>
  <si>
    <t>FN-00772</t>
  </si>
  <si>
    <t>FN-00781</t>
  </si>
  <si>
    <t>FN-00816</t>
  </si>
  <si>
    <t>C0461</t>
  </si>
  <si>
    <t>FN-00823</t>
  </si>
  <si>
    <t>FN-00691</t>
  </si>
  <si>
    <t>FN-00700</t>
  </si>
  <si>
    <t>FN-00716</t>
  </si>
  <si>
    <t>C0359</t>
  </si>
  <si>
    <t>FN-00757</t>
  </si>
  <si>
    <t>C0883</t>
  </si>
  <si>
    <t>FN-00800</t>
  </si>
  <si>
    <t>C0018</t>
  </si>
  <si>
    <t>FN-00693</t>
  </si>
  <si>
    <t>FN-00706</t>
  </si>
  <si>
    <t>C0919</t>
  </si>
  <si>
    <t>FN-00825</t>
  </si>
  <si>
    <t>FN-00732</t>
  </si>
  <si>
    <t>FN-00785</t>
  </si>
  <si>
    <t>FN-00692</t>
  </si>
  <si>
    <t>FN-00721</t>
  </si>
  <si>
    <t>FN-00743</t>
  </si>
  <si>
    <t>C0906</t>
  </si>
  <si>
    <t>FN-00760</t>
  </si>
  <si>
    <t>C0068</t>
  </si>
  <si>
    <t>FN-00764</t>
  </si>
  <si>
    <t>FN-00794</t>
  </si>
  <si>
    <t>FN-00814</t>
  </si>
  <si>
    <t>C0805</t>
  </si>
  <si>
    <t>FN-00824</t>
  </si>
  <si>
    <t>FN-00715</t>
  </si>
  <si>
    <t>FN-00738</t>
  </si>
  <si>
    <t>C0892</t>
  </si>
  <si>
    <t>FN-00777</t>
  </si>
  <si>
    <t>C0133</t>
  </si>
  <si>
    <t>FN-00786</t>
  </si>
  <si>
    <t>FN-00708</t>
  </si>
  <si>
    <t>FN-00754</t>
  </si>
  <si>
    <t>FN-00766</t>
  </si>
  <si>
    <t>C0065</t>
  </si>
  <si>
    <t>FN-00819</t>
  </si>
  <si>
    <t>FN-00702</t>
  </si>
  <si>
    <t>FN-00740</t>
  </si>
  <si>
    <t>FN-00776</t>
  </si>
  <si>
    <t>FN-00696</t>
  </si>
  <si>
    <t>FN-00802</t>
  </si>
  <si>
    <t>C0316</t>
  </si>
  <si>
    <t>FN-00810</t>
  </si>
  <si>
    <t>C0894</t>
  </si>
  <si>
    <t>auto murabaha</t>
  </si>
  <si>
    <t>FN-00811</t>
  </si>
  <si>
    <t>FN-00718</t>
  </si>
  <si>
    <t>C0231</t>
  </si>
  <si>
    <t>FN-00787</t>
  </si>
  <si>
    <t>FN-00806</t>
  </si>
  <si>
    <t>FN-00695</t>
  </si>
  <si>
    <t>FN-00703</t>
  </si>
  <si>
    <t>FN-00717</t>
  </si>
  <si>
    <t>C0124</t>
  </si>
  <si>
    <t>FN-00747</t>
  </si>
  <si>
    <t>C0437</t>
  </si>
  <si>
    <t>FN-00750</t>
  </si>
  <si>
    <t>FN-00780</t>
  </si>
  <si>
    <t>C0117</t>
  </si>
  <si>
    <t>FN-00808</t>
  </si>
  <si>
    <t>C0657</t>
  </si>
  <si>
    <t>FN-00731</t>
  </si>
  <si>
    <t>FN-00737</t>
  </si>
  <si>
    <t>FN-00746</t>
  </si>
  <si>
    <t>C0173</t>
  </si>
  <si>
    <t>FN-00749</t>
  </si>
  <si>
    <t>C0203</t>
  </si>
  <si>
    <t>FN-00765</t>
  </si>
  <si>
    <t>FN-00815</t>
  </si>
  <si>
    <t>C0208</t>
  </si>
  <si>
    <t>FN-00752</t>
  </si>
  <si>
    <t>FN-00792</t>
  </si>
  <si>
    <t>FN-00797</t>
  </si>
  <si>
    <t>C0164</t>
  </si>
  <si>
    <t>FN-00818</t>
  </si>
  <si>
    <t>FN-00822</t>
  </si>
  <si>
    <t>FN-00709</t>
  </si>
  <si>
    <t>FN-00767</t>
  </si>
  <si>
    <t>FN-00784</t>
  </si>
  <si>
    <t>FN-00725</t>
  </si>
  <si>
    <t>C0323</t>
  </si>
  <si>
    <t>FN-00791</t>
  </si>
  <si>
    <t>FN-00753</t>
  </si>
  <si>
    <t>FN-00694</t>
  </si>
  <si>
    <t>C0459</t>
  </si>
  <si>
    <t>FN-00697</t>
  </si>
  <si>
    <t>FN-00701</t>
  </si>
  <si>
    <t>FN-00748</t>
  </si>
  <si>
    <t>FN-00789</t>
  </si>
  <si>
    <t>C0651</t>
  </si>
  <si>
    <t>FN-00820</t>
  </si>
  <si>
    <t>C0779</t>
  </si>
  <si>
    <t>FN-00713</t>
  </si>
  <si>
    <t>FN-00720</t>
  </si>
  <si>
    <t>C0903</t>
  </si>
  <si>
    <t>FN-00736</t>
  </si>
  <si>
    <t>FN-00751</t>
  </si>
  <si>
    <t>C0183</t>
  </si>
  <si>
    <t>FN-00759</t>
  </si>
  <si>
    <t>C0796</t>
  </si>
  <si>
    <t>FN-00761</t>
  </si>
  <si>
    <t>FN-00783</t>
  </si>
  <si>
    <t>FN-00790</t>
  </si>
  <si>
    <t>C0014</t>
  </si>
  <si>
    <t>FN-00735</t>
  </si>
  <si>
    <t>C0596</t>
  </si>
  <si>
    <t>FN-00796</t>
  </si>
  <si>
    <t>FN-00805</t>
  </si>
  <si>
    <t>C0649</t>
  </si>
  <si>
    <t>FN-00807</t>
  </si>
  <si>
    <t>FN-00710</t>
  </si>
  <si>
    <t>FN-00722</t>
  </si>
  <si>
    <t>C0711</t>
  </si>
  <si>
    <t>FN-00728</t>
  </si>
  <si>
    <t>FN-00758</t>
  </si>
  <si>
    <t>FN-00774</t>
  </si>
  <si>
    <t>C0309</t>
  </si>
  <si>
    <t>FN-00712</t>
  </si>
  <si>
    <t>FN-00727</t>
  </si>
  <si>
    <t>C0079</t>
  </si>
  <si>
    <t>FN-00742</t>
  </si>
  <si>
    <t>FN-00779</t>
  </si>
  <si>
    <t>C0665</t>
  </si>
  <si>
    <t>FN-00730</t>
  </si>
  <si>
    <t>C0756</t>
  </si>
  <si>
    <t>FN-00771</t>
  </si>
  <si>
    <t>C0937</t>
  </si>
  <si>
    <t>FN-00788</t>
  </si>
  <si>
    <t>FN-00795</t>
  </si>
  <si>
    <t>FN-00798</t>
  </si>
  <si>
    <t>FN-00799</t>
  </si>
  <si>
    <t>C0058</t>
  </si>
  <si>
    <t>FN-00809</t>
  </si>
  <si>
    <t>C0470</t>
  </si>
  <si>
    <t>FN-00704</t>
  </si>
  <si>
    <t>C0709</t>
  </si>
  <si>
    <t>FN-00729</t>
  </si>
  <si>
    <t>FN-00741</t>
  </si>
  <si>
    <t>FN-00756</t>
  </si>
  <si>
    <t>FN-00762</t>
  </si>
  <si>
    <t>C0675</t>
  </si>
  <si>
    <t>FN-00778</t>
  </si>
  <si>
    <t>FN-00857</t>
  </si>
  <si>
    <t>FN-00869</t>
  </si>
  <si>
    <t>13,800 KWD</t>
  </si>
  <si>
    <t>FN-00887</t>
  </si>
  <si>
    <t>FN-00910</t>
  </si>
  <si>
    <t>FN-00978</t>
  </si>
  <si>
    <t>C0932</t>
  </si>
  <si>
    <t>FN-00833</t>
  </si>
  <si>
    <t>FN-00946</t>
  </si>
  <si>
    <t>FN-00947</t>
  </si>
  <si>
    <t>C0325</t>
  </si>
  <si>
    <t>FN-00966</t>
  </si>
  <si>
    <t>C0809</t>
  </si>
  <si>
    <t>FN-00969</t>
  </si>
  <si>
    <t>FN-00836</t>
  </si>
  <si>
    <t>C0808</t>
  </si>
  <si>
    <t>FN-00841</t>
  </si>
  <si>
    <t>FN-00845</t>
  </si>
  <si>
    <t>FN-00894</t>
  </si>
  <si>
    <t>C0392</t>
  </si>
  <si>
    <t>FN-00923</t>
  </si>
  <si>
    <t>C0654</t>
  </si>
  <si>
    <t>FN-00926</t>
  </si>
  <si>
    <t>FN-00964</t>
  </si>
  <si>
    <t>C0573</t>
  </si>
  <si>
    <t>FN-00848</t>
  </si>
  <si>
    <t>C0004</t>
  </si>
  <si>
    <t>FN-00881</t>
  </si>
  <si>
    <t>C0553</t>
  </si>
  <si>
    <t>FN-00914</t>
  </si>
  <si>
    <t>C0545</t>
  </si>
  <si>
    <t>FN-00917</t>
  </si>
  <si>
    <t>FN-00979</t>
  </si>
  <si>
    <t>C0845</t>
  </si>
  <si>
    <t>FN-00829</t>
  </si>
  <si>
    <t>C0477</t>
  </si>
  <si>
    <t>FN-00838</t>
  </si>
  <si>
    <t>FN-00859</t>
  </si>
  <si>
    <t>C0834</t>
  </si>
  <si>
    <t>FN-00904</t>
  </si>
  <si>
    <t>FN-00930</t>
  </si>
  <si>
    <t>C0815</t>
  </si>
  <si>
    <t>FN-00933</t>
  </si>
  <si>
    <t>FN-00934</t>
  </si>
  <si>
    <t>FN-00952</t>
  </si>
  <si>
    <t>FN-00982</t>
  </si>
  <si>
    <t>FN-00834</t>
  </si>
  <si>
    <t>C0936</t>
  </si>
  <si>
    <t>FN-00837</t>
  </si>
  <si>
    <t>FN-00885</t>
  </si>
  <si>
    <t>FN-00889</t>
  </si>
  <si>
    <t>FN-00827</t>
  </si>
  <si>
    <t>C0588</t>
  </si>
  <si>
    <t>FN-00865</t>
  </si>
  <si>
    <t>FN-00924</t>
  </si>
  <si>
    <t>C0219</t>
  </si>
  <si>
    <t>FN-00962</t>
  </si>
  <si>
    <t>FN-00835</t>
  </si>
  <si>
    <t>C0915</t>
  </si>
  <si>
    <t>FN-00884</t>
  </si>
  <si>
    <t>FN-00963</t>
  </si>
  <si>
    <t>FN-00967</t>
  </si>
  <si>
    <t>C0754</t>
  </si>
  <si>
    <t>17,200 KWD</t>
  </si>
  <si>
    <t>FN-00868</t>
  </si>
  <si>
    <t>C0385</t>
  </si>
  <si>
    <t>FN-00883</t>
  </si>
  <si>
    <t>C0193</t>
  </si>
  <si>
    <t>FN-00903</t>
  </si>
  <si>
    <t>FN-00909</t>
  </si>
  <si>
    <t>FN-00856</t>
  </si>
  <si>
    <t>FN-00898</t>
  </si>
  <si>
    <t>FN-00905</t>
  </si>
  <si>
    <t>C0576</t>
  </si>
  <si>
    <t>FN-00936</t>
  </si>
  <si>
    <t>C0353</t>
  </si>
  <si>
    <t>FN-00956</t>
  </si>
  <si>
    <t>FN-00958</t>
  </si>
  <si>
    <t>FN-00965</t>
  </si>
  <si>
    <t>C0706</t>
  </si>
  <si>
    <t>FN-00975</t>
  </si>
  <si>
    <t>FN-00902</t>
  </si>
  <si>
    <t>FN-00940</t>
  </si>
  <si>
    <t>FN-00949</t>
  </si>
  <si>
    <t>FN-00879</t>
  </si>
  <si>
    <t>C0629</t>
  </si>
  <si>
    <t>FN-00935</t>
  </si>
  <si>
    <t>FN-00957</t>
  </si>
  <si>
    <t>FN-00974</t>
  </si>
  <si>
    <t>C0268</t>
  </si>
  <si>
    <t>FN-00863</t>
  </si>
  <si>
    <t>FN-00867</t>
  </si>
  <si>
    <t>C0102</t>
  </si>
  <si>
    <t>FN-00872</t>
  </si>
  <si>
    <t>FN-00895</t>
  </si>
  <si>
    <t>FN-00927</t>
  </si>
  <si>
    <t>FN-00929</t>
  </si>
  <si>
    <t>FN-00840</t>
  </si>
  <si>
    <t>FN-00846</t>
  </si>
  <si>
    <t>FN-00850</t>
  </si>
  <si>
    <t>C0418</t>
  </si>
  <si>
    <t>FN-00877</t>
  </si>
  <si>
    <t>FN-00892</t>
  </si>
  <si>
    <t>FN-00913</t>
  </si>
  <si>
    <t>C0500</t>
  </si>
  <si>
    <t>FN-00970</t>
  </si>
  <si>
    <t>C0869</t>
  </si>
  <si>
    <t>FN-00951</t>
  </si>
  <si>
    <t>FN-00960</t>
  </si>
  <si>
    <t>C0557</t>
  </si>
  <si>
    <t>FN-00900</t>
  </si>
  <si>
    <t>FN-00912</t>
  </si>
  <si>
    <t>FN-00972</t>
  </si>
  <si>
    <t>C0950</t>
  </si>
  <si>
    <t>FN-00973</t>
  </si>
  <si>
    <t>C0176</t>
  </si>
  <si>
    <t>FN-00908</t>
  </si>
  <si>
    <t>C0110</t>
  </si>
  <si>
    <t>FN-00925</t>
  </si>
  <si>
    <t>FN-00937</t>
  </si>
  <si>
    <t>C0419</t>
  </si>
  <si>
    <t>FN-00886</t>
  </si>
  <si>
    <t>FN-00943</t>
  </si>
  <si>
    <t>C0535</t>
  </si>
  <si>
    <t>FN-00953</t>
  </si>
  <si>
    <t>FN-00976</t>
  </si>
  <si>
    <t>C0104</t>
  </si>
  <si>
    <t>FN-00826</t>
  </si>
  <si>
    <t>FN-00832</t>
  </si>
  <si>
    <t>C0383</t>
  </si>
  <si>
    <t>FN-00843</t>
  </si>
  <si>
    <t>FN-00906</t>
  </si>
  <si>
    <t>C0394</t>
  </si>
  <si>
    <t>FN-00830</t>
  </si>
  <si>
    <t>FN-00842</t>
  </si>
  <si>
    <t>C0947</t>
  </si>
  <si>
    <t>FN-00878</t>
  </si>
  <si>
    <t>FN-00888</t>
  </si>
  <si>
    <t>C0354</t>
  </si>
  <si>
    <t>7,500 KWD</t>
  </si>
  <si>
    <t>FN-00948</t>
  </si>
  <si>
    <t>FN-00954</t>
  </si>
  <si>
    <t>FN-00844</t>
  </si>
  <si>
    <t>C0400</t>
  </si>
  <si>
    <t>FN-00890</t>
  </si>
  <si>
    <t>FN-00901</t>
  </si>
  <si>
    <t>C0458</t>
  </si>
  <si>
    <t>FN-00968</t>
  </si>
  <si>
    <t>C0625</t>
  </si>
  <si>
    <t>FN-00971</t>
  </si>
  <si>
    <t>FN-00871</t>
  </si>
  <si>
    <t>FN-00874</t>
  </si>
  <si>
    <t>FN-00915</t>
  </si>
  <si>
    <t>FN-00980</t>
  </si>
  <si>
    <t>C0269</t>
  </si>
  <si>
    <t>FN-00828</t>
  </si>
  <si>
    <t>FN-00849</t>
  </si>
  <si>
    <t>FN-00861</t>
  </si>
  <si>
    <t>FN-00862</t>
  </si>
  <si>
    <t>FN-00945</t>
  </si>
  <si>
    <t>FN-00981</t>
  </si>
  <si>
    <t>FN-00839</t>
  </si>
  <si>
    <t>C0372</t>
  </si>
  <si>
    <t>FN-00855</t>
  </si>
  <si>
    <t>C0242</t>
  </si>
  <si>
    <t>FN-00866</t>
  </si>
  <si>
    <t>FN-00873</t>
  </si>
  <si>
    <t>FN-00944</t>
  </si>
  <si>
    <t>FN-00959</t>
  </si>
  <si>
    <t>C0076</t>
  </si>
  <si>
    <t>FN-00853</t>
  </si>
  <si>
    <t>FN-00864</t>
  </si>
  <si>
    <t>FN-00875</t>
  </si>
  <si>
    <t>FN-00891</t>
  </si>
  <si>
    <t>FN-00896</t>
  </si>
  <si>
    <t>FN-00911</t>
  </si>
  <si>
    <t>FN-00922</t>
  </si>
  <si>
    <t>FN-00931</t>
  </si>
  <si>
    <t>C0330</t>
  </si>
  <si>
    <t>FN-00941</t>
  </si>
  <si>
    <t>FN-00919</t>
  </si>
  <si>
    <t>FN-00920</t>
  </si>
  <si>
    <t>FN-00921</t>
  </si>
  <si>
    <t>C0191</t>
  </si>
  <si>
    <t>FN-00932</t>
  </si>
  <si>
    <t>C0363</t>
  </si>
  <si>
    <t>FN-00876</t>
  </si>
  <si>
    <t>C0399</t>
  </si>
  <si>
    <t>FN-00882</t>
  </si>
  <si>
    <t>C0757</t>
  </si>
  <si>
    <t>FN-00897</t>
  </si>
  <si>
    <t>FN-00928</t>
  </si>
  <si>
    <t>FN-00939</t>
  </si>
  <si>
    <t>C0663</t>
  </si>
  <si>
    <t>FN-00961</t>
  </si>
  <si>
    <t>FN-00983</t>
  </si>
  <si>
    <t>FN-00984</t>
  </si>
  <si>
    <t>C0878</t>
  </si>
  <si>
    <t>FN-00858</t>
  </si>
  <si>
    <t>FN-00880</t>
  </si>
  <si>
    <t>FN-00899</t>
  </si>
  <si>
    <t>C0618</t>
  </si>
  <si>
    <t>FN-00938</t>
  </si>
  <si>
    <t>FN-00942</t>
  </si>
  <si>
    <t>FN-00950</t>
  </si>
  <si>
    <t>FN-00977</t>
  </si>
  <si>
    <t>FN-00851</t>
  </si>
  <si>
    <t>FN-00860</t>
  </si>
  <si>
    <t>C0494</t>
  </si>
  <si>
    <t>11,000 KWD</t>
  </si>
  <si>
    <t>FN-00893</t>
  </si>
  <si>
    <t>C0347</t>
  </si>
  <si>
    <t>FN-00918</t>
  </si>
  <si>
    <t>C0291</t>
  </si>
  <si>
    <t>16,000 KWD</t>
  </si>
  <si>
    <t>FN-00985</t>
  </si>
  <si>
    <t>FN-00831</t>
  </si>
  <si>
    <t>C0315</t>
  </si>
  <si>
    <t>FN-00847</t>
  </si>
  <si>
    <t>C0749</t>
  </si>
  <si>
    <t>FN-00852</t>
  </si>
  <si>
    <t>C0686</t>
  </si>
  <si>
    <t>FN-00854</t>
  </si>
  <si>
    <t>FN-00870</t>
  </si>
  <si>
    <t>FN-00907</t>
  </si>
  <si>
    <t>C0760</t>
  </si>
  <si>
    <t>FN-00916</t>
  </si>
  <si>
    <t>FN-00955</t>
  </si>
  <si>
    <t>C0401</t>
  </si>
  <si>
    <t>FN-01079</t>
  </si>
  <si>
    <t>FN-00995</t>
  </si>
  <si>
    <t>FN-01052</t>
  </si>
  <si>
    <t>FN-01086</t>
  </si>
  <si>
    <t>FN-01099</t>
  </si>
  <si>
    <t>C0447</t>
  </si>
  <si>
    <t>FN-01126</t>
  </si>
  <si>
    <t>FN-01144</t>
  </si>
  <si>
    <t>FN-01149</t>
  </si>
  <si>
    <t>C0229</t>
  </si>
  <si>
    <t>FN-01155</t>
  </si>
  <si>
    <t>FN-01010</t>
  </si>
  <si>
    <t>FN-01050</t>
  </si>
  <si>
    <t>FN-01051</t>
  </si>
  <si>
    <t>FN-01056</t>
  </si>
  <si>
    <t>FN-01070</t>
  </si>
  <si>
    <t>FN-01017</t>
  </si>
  <si>
    <t>FN-01000</t>
  </si>
  <si>
    <t>FN-01016</t>
  </si>
  <si>
    <t>C0480</t>
  </si>
  <si>
    <t>FN-01106</t>
  </si>
  <si>
    <t>C0736</t>
  </si>
  <si>
    <t>FN-01139</t>
  </si>
  <si>
    <t>FN-01140</t>
  </si>
  <si>
    <t>FN-01154</t>
  </si>
  <si>
    <t>FN-01023</t>
  </si>
  <si>
    <t>C0082</t>
  </si>
  <si>
    <t>FN-01030</t>
  </si>
  <si>
    <t>C0048</t>
  </si>
  <si>
    <t>FN-01046</t>
  </si>
  <si>
    <t>FN-01059</t>
  </si>
  <si>
    <t>FN-01064</t>
  </si>
  <si>
    <t>FN-01105</t>
  </si>
  <si>
    <t>FN-01110</t>
  </si>
  <si>
    <t>FN-01112</t>
  </si>
  <si>
    <t>C0766</t>
  </si>
  <si>
    <t>FN-01129</t>
  </si>
  <si>
    <t>FN-01145</t>
  </si>
  <si>
    <t>FN-01093</t>
  </si>
  <si>
    <t>C0863</t>
  </si>
  <si>
    <t>FN-01100</t>
  </si>
  <si>
    <t>FN-01142</t>
  </si>
  <si>
    <t>FN-01039</t>
  </si>
  <si>
    <t>FN-01049</t>
  </si>
  <si>
    <t>C0319</t>
  </si>
  <si>
    <t>FN-01065</t>
  </si>
  <si>
    <t>C0719</t>
  </si>
  <si>
    <t>FN-01078</t>
  </si>
  <si>
    <t>FN-01080</t>
  </si>
  <si>
    <t>FN-01091</t>
  </si>
  <si>
    <t>FN-01120</t>
  </si>
  <si>
    <t>C0888</t>
  </si>
  <si>
    <t>11,300 KWD</t>
  </si>
  <si>
    <t>FN-00988</t>
  </si>
  <si>
    <t>C0434</t>
  </si>
  <si>
    <t>FN-00994</t>
  </si>
  <si>
    <t>FN-01085</t>
  </si>
  <si>
    <t>C0530</t>
  </si>
  <si>
    <t>4,100 KWD</t>
  </si>
  <si>
    <t>FN-01103</t>
  </si>
  <si>
    <t>FN-01119</t>
  </si>
  <si>
    <t>C0295</t>
  </si>
  <si>
    <t>15,400 KWD</t>
  </si>
  <si>
    <t>FN-01132</t>
  </si>
  <si>
    <t>FN-01095</t>
  </si>
  <si>
    <t>FN-01128</t>
  </si>
  <si>
    <t>C0699</t>
  </si>
  <si>
    <t>FN-01135</t>
  </si>
  <si>
    <t>FN-01026</t>
  </si>
  <si>
    <t>FN-01029</t>
  </si>
  <si>
    <t>FN-01058</t>
  </si>
  <si>
    <t>FN-01071</t>
  </si>
  <si>
    <t>C0238</t>
  </si>
  <si>
    <t>FN-01098</t>
  </si>
  <si>
    <t>C0036</t>
  </si>
  <si>
    <t>FN-01148</t>
  </si>
  <si>
    <t>FN-01153</t>
  </si>
  <si>
    <t>FN-00993</t>
  </si>
  <si>
    <t>C0047</t>
  </si>
  <si>
    <t>FN-01004</t>
  </si>
  <si>
    <t>FN-01012</t>
  </si>
  <si>
    <t>FN-01047</t>
  </si>
  <si>
    <t>FN-01094</t>
  </si>
  <si>
    <t>FN-01104</t>
  </si>
  <si>
    <t>C0362</t>
  </si>
  <si>
    <t>FN-01107</t>
  </si>
  <si>
    <t>C0080</t>
  </si>
  <si>
    <t>FN-01141</t>
  </si>
  <si>
    <t>C0410</t>
  </si>
  <si>
    <t>FN-01089</t>
  </si>
  <si>
    <t>FN-01118</t>
  </si>
  <si>
    <t>C0151</t>
  </si>
  <si>
    <t>4,200 KWD</t>
  </si>
  <si>
    <t>FN-01009</t>
  </si>
  <si>
    <t>FN-01069</t>
  </si>
  <si>
    <t>FN-01123</t>
  </si>
  <si>
    <t>C0849</t>
  </si>
  <si>
    <t>FN-01147</t>
  </si>
  <si>
    <t>FN-01001</t>
  </si>
  <si>
    <t>FN-01068</t>
  </si>
  <si>
    <t>FN-01111</t>
  </si>
  <si>
    <t>C0917</t>
  </si>
  <si>
    <t>FN-01116</t>
  </si>
  <si>
    <t>FN-01121</t>
  </si>
  <si>
    <t>C0533</t>
  </si>
  <si>
    <t>286,800 KWD</t>
  </si>
  <si>
    <t>FN-00987</t>
  </si>
  <si>
    <t>FN-01002</t>
  </si>
  <si>
    <t>FN-01044</t>
  </si>
  <si>
    <t>C0673</t>
  </si>
  <si>
    <t>FN-01074</t>
  </si>
  <si>
    <t>FN-01075</t>
  </si>
  <si>
    <t>C0586</t>
  </si>
  <si>
    <t>FN-01076</t>
  </si>
  <si>
    <t>C0159</t>
  </si>
  <si>
    <t>FN-01109</t>
  </si>
  <si>
    <t>FN-01151</t>
  </si>
  <si>
    <t>FN-00997</t>
  </si>
  <si>
    <t>FN-01027</t>
  </si>
  <si>
    <t>C0697</t>
  </si>
  <si>
    <t>FN-01031</t>
  </si>
  <si>
    <t>C0427</t>
  </si>
  <si>
    <t>FN-01033</t>
  </si>
  <si>
    <t>C0395</t>
  </si>
  <si>
    <t>FN-01036</t>
  </si>
  <si>
    <t>FN-01057</t>
  </si>
  <si>
    <t>FN-01088</t>
  </si>
  <si>
    <t>FN-01117</t>
  </si>
  <si>
    <t>C0769</t>
  </si>
  <si>
    <t>FN-01146</t>
  </si>
  <si>
    <t>FN-00998</t>
  </si>
  <si>
    <t>FN-01014</t>
  </si>
  <si>
    <t>FN-01061</t>
  </si>
  <si>
    <t>FN-01077</t>
  </si>
  <si>
    <t>FN-01130</t>
  </si>
  <si>
    <t>FN-01150</t>
  </si>
  <si>
    <t>FN-01021</t>
  </si>
  <si>
    <t>FN-01041</t>
  </si>
  <si>
    <t>FN-01055</t>
  </si>
  <si>
    <t>FN-01122</t>
  </si>
  <si>
    <t>FN-01138</t>
  </si>
  <si>
    <t>C0592</t>
  </si>
  <si>
    <t>FN-00992</t>
  </si>
  <si>
    <t>C0071</t>
  </si>
  <si>
    <t>FN-01005</t>
  </si>
  <si>
    <t>FN-01020</t>
  </si>
  <si>
    <t>C0139</t>
  </si>
  <si>
    <t>FN-01024</t>
  </si>
  <si>
    <t>C0638</t>
  </si>
  <si>
    <t>FN-01032</t>
  </si>
  <si>
    <t>FN-01034</t>
  </si>
  <si>
    <t>FN-01072</t>
  </si>
  <si>
    <t>FN-01143</t>
  </si>
  <si>
    <t>C0848</t>
  </si>
  <si>
    <t>FN-01060</t>
  </si>
  <si>
    <t>C0137</t>
  </si>
  <si>
    <t>FN-01081</t>
  </si>
  <si>
    <t>FN-01084</t>
  </si>
  <si>
    <t>C0928</t>
  </si>
  <si>
    <t>FN-01087</t>
  </si>
  <si>
    <t>C0122</t>
  </si>
  <si>
    <t>FN-01115</t>
  </si>
  <si>
    <t>FN-01127</t>
  </si>
  <si>
    <t>FN-01134</t>
  </si>
  <si>
    <t>C0467</t>
  </si>
  <si>
    <t>FN-00991</t>
  </si>
  <si>
    <t>FN-00999</t>
  </si>
  <si>
    <t>FN-00989</t>
  </si>
  <si>
    <t>FN-00996</t>
  </si>
  <si>
    <t>FN-01083</t>
  </si>
  <si>
    <t>FN-01131</t>
  </si>
  <si>
    <t>FN-01008</t>
  </si>
  <si>
    <t>FN-01025</t>
  </si>
  <si>
    <t>FN-01043</t>
  </si>
  <si>
    <t>FN-01101</t>
  </si>
  <si>
    <t>FN-01062</t>
  </si>
  <si>
    <t>FN-01082</t>
  </si>
  <si>
    <t>FN-01102</t>
  </si>
  <si>
    <t>C0690</t>
  </si>
  <si>
    <t>42,500 KWD</t>
  </si>
  <si>
    <t>FN-01108</t>
  </si>
  <si>
    <t>FN-01136</t>
  </si>
  <si>
    <t>FN-01028</t>
  </si>
  <si>
    <t>FN-01037</t>
  </si>
  <si>
    <t>C0526</t>
  </si>
  <si>
    <t>12,200 KWD</t>
  </si>
  <si>
    <t>FN-01092</t>
  </si>
  <si>
    <t>FN-01125</t>
  </si>
  <si>
    <t>FN-01133</t>
  </si>
  <si>
    <t>FN-01152</t>
  </si>
  <si>
    <t>C0289</t>
  </si>
  <si>
    <t>FN-01011</t>
  </si>
  <si>
    <t>FN-01018</t>
  </si>
  <si>
    <t>C0728</t>
  </si>
  <si>
    <t>FN-01019</t>
  </si>
  <si>
    <t>FN-01022</t>
  </si>
  <si>
    <t>FN-01035</t>
  </si>
  <si>
    <t>FN-01090</t>
  </si>
  <si>
    <t>FN-01137</t>
  </si>
  <si>
    <t>C0466</t>
  </si>
  <si>
    <t>FN-00990</t>
  </si>
  <si>
    <t>FN-01063</t>
  </si>
  <si>
    <t>FN-00986</t>
  </si>
  <si>
    <t>FN-01003</t>
  </si>
  <si>
    <t>FN-01040</t>
  </si>
  <si>
    <t>FN-01042</t>
  </si>
  <si>
    <t>FN-01045</t>
  </si>
  <si>
    <t>9,000 KWD</t>
  </si>
  <si>
    <t>FN-01048</t>
  </si>
  <si>
    <t>FN-01073</t>
  </si>
  <si>
    <t>C0214</t>
  </si>
  <si>
    <t>FN-01097</t>
  </si>
  <si>
    <t>FN-01124</t>
  </si>
  <si>
    <t>C0548</t>
  </si>
  <si>
    <t>FN-01006</t>
  </si>
  <si>
    <t>C0057</t>
  </si>
  <si>
    <t>FN-01007</t>
  </si>
  <si>
    <t>FN-01013</t>
  </si>
  <si>
    <t>FN-01038</t>
  </si>
  <si>
    <t>FN-01053</t>
  </si>
  <si>
    <t>FN-01113</t>
  </si>
  <si>
    <t>FN-01015</t>
  </si>
  <si>
    <t>FN-01054</t>
  </si>
  <si>
    <t>FN-01066</t>
  </si>
  <si>
    <t>FN-01067</t>
  </si>
  <si>
    <t>FN-01096</t>
  </si>
  <si>
    <t>FN-01114</t>
  </si>
  <si>
    <t>FN-01167</t>
  </si>
  <si>
    <t>FN-01168</t>
  </si>
  <si>
    <t>Pending</t>
  </si>
  <si>
    <t>FN-01192</t>
  </si>
  <si>
    <t>C0854</t>
  </si>
  <si>
    <t>FN-01219</t>
  </si>
  <si>
    <t>FN-01225</t>
  </si>
  <si>
    <t>C0046</t>
  </si>
  <si>
    <t>FN-01239</t>
  </si>
  <si>
    <t>C0023</t>
  </si>
  <si>
    <t>FN-01245</t>
  </si>
  <si>
    <t>C0551</t>
  </si>
  <si>
    <t>FN-01266</t>
  </si>
  <si>
    <t>FN-01196</t>
  </si>
  <si>
    <t>C0680</t>
  </si>
  <si>
    <t>FN-01197</t>
  </si>
  <si>
    <t>FN-01280</t>
  </si>
  <si>
    <t>FN-01207</t>
  </si>
  <si>
    <t>C0707</t>
  </si>
  <si>
    <t>FN-01220</t>
  </si>
  <si>
    <t>FN-01228</t>
  </si>
  <si>
    <t>C0628</t>
  </si>
  <si>
    <t>FN-01287</t>
  </si>
  <si>
    <t>FN-01226</t>
  </si>
  <si>
    <t>FN-01230</t>
  </si>
  <si>
    <t>FN-01275</t>
  </si>
  <si>
    <t>C0026</t>
  </si>
  <si>
    <t>FN-01276</t>
  </si>
  <si>
    <t>FN-01283</t>
  </si>
  <si>
    <t>FN-01210</t>
  </si>
  <si>
    <t>FN-01211</t>
  </si>
  <si>
    <t>C0207</t>
  </si>
  <si>
    <t>FN-01302</t>
  </si>
  <si>
    <t>FN-01161</t>
  </si>
  <si>
    <t>C0271</t>
  </si>
  <si>
    <t>FN-01270</t>
  </si>
  <si>
    <t>FN-01305</t>
  </si>
  <si>
    <t>C0790</t>
  </si>
  <si>
    <t>FN-01165</t>
  </si>
  <si>
    <t>C0490</t>
  </si>
  <si>
    <t>FN-01186</t>
  </si>
  <si>
    <t>FN-01216</t>
  </si>
  <si>
    <t>C0209</t>
  </si>
  <si>
    <t>FN-01232</t>
  </si>
  <si>
    <t>FN-01269</t>
  </si>
  <si>
    <t>C0716</t>
  </si>
  <si>
    <t>FN-01273</t>
  </si>
  <si>
    <t>FN-01293</t>
  </si>
  <si>
    <t>C0442</t>
  </si>
  <si>
    <t>FN-01190</t>
  </si>
  <si>
    <t>C0200</t>
  </si>
  <si>
    <t>FN-01194</t>
  </si>
  <si>
    <t>FN-01223</t>
  </si>
  <si>
    <t>C0217</t>
  </si>
  <si>
    <t>FN-01256</t>
  </si>
  <si>
    <t>FN-01267</t>
  </si>
  <si>
    <t>FN-01282</t>
  </si>
  <si>
    <t>FN-01209</t>
  </si>
  <si>
    <t>FN-01297</t>
  </si>
  <si>
    <t>FN-01158</t>
  </si>
  <si>
    <t>FN-01162</t>
  </si>
  <si>
    <t>FN-01172</t>
  </si>
  <si>
    <t>FN-01215</t>
  </si>
  <si>
    <t>FN-01218</t>
  </si>
  <si>
    <t>FN-01224</t>
  </si>
  <si>
    <t>FN-01229</t>
  </si>
  <si>
    <t>FN-01240</t>
  </si>
  <si>
    <t>FN-01255</t>
  </si>
  <si>
    <t>C0656</t>
  </si>
  <si>
    <t>FN-01182</t>
  </si>
  <si>
    <t>FN-01206</t>
  </si>
  <si>
    <t>FN-01243</t>
  </si>
  <si>
    <t>C0528</t>
  </si>
  <si>
    <t>FN-01285</t>
  </si>
  <si>
    <t>C0030</t>
  </si>
  <si>
    <t>FN-01286</t>
  </si>
  <si>
    <t>FN-01178</t>
  </si>
  <si>
    <t>FN-01204</t>
  </si>
  <si>
    <t>FN-01284</t>
  </si>
  <si>
    <t>FN-01159</t>
  </si>
  <si>
    <t>C0847</t>
  </si>
  <si>
    <t>FN-01173</t>
  </si>
  <si>
    <t>FN-01175</t>
  </si>
  <si>
    <t>C0237</t>
  </si>
  <si>
    <t>FN-01187</t>
  </si>
  <si>
    <t>FN-01221</t>
  </si>
  <si>
    <t>FN-01236</t>
  </si>
  <si>
    <t>FN-01244</t>
  </si>
  <si>
    <t>FN-01264</t>
  </si>
  <si>
    <t>C0693</t>
  </si>
  <si>
    <t>FN-01278</t>
  </si>
  <si>
    <t>FN-01164</t>
  </si>
  <si>
    <t>FN-01169</t>
  </si>
  <si>
    <t>C0655</t>
  </si>
  <si>
    <t>FN-01185</t>
  </si>
  <si>
    <t>FN-01191</t>
  </si>
  <si>
    <t>C0273</t>
  </si>
  <si>
    <t>FN-01212</t>
  </si>
  <si>
    <t>FN-01247</t>
  </si>
  <si>
    <t>C0002</t>
  </si>
  <si>
    <t>FN-01271</t>
  </si>
  <si>
    <t>FN-01157</t>
  </si>
  <si>
    <t>FN-01195</t>
  </si>
  <si>
    <t>FN-01235</t>
  </si>
  <si>
    <t>FN-01288</t>
  </si>
  <si>
    <t>FN-01301</t>
  </si>
  <si>
    <t>FN-01184</t>
  </si>
  <si>
    <t>C0417</t>
  </si>
  <si>
    <t>FN-01202</t>
  </si>
  <si>
    <t>FN-01203</t>
  </si>
  <si>
    <t>52,800 KWD</t>
  </si>
  <si>
    <t>FN-01222</t>
  </si>
  <si>
    <t>FN-01242</t>
  </si>
  <si>
    <t>C0511</t>
  </si>
  <si>
    <t>FN-01241</t>
  </si>
  <si>
    <t>C0824</t>
  </si>
  <si>
    <t>FN-01304</t>
  </si>
  <si>
    <t>FN-01174</t>
  </si>
  <si>
    <t>FN-01257</t>
  </si>
  <si>
    <t>FN-01260</t>
  </si>
  <si>
    <t>C0885</t>
  </si>
  <si>
    <t>FN-01213</t>
  </si>
  <si>
    <t>FN-01249</t>
  </si>
  <si>
    <t>FN-01303</t>
  </si>
  <si>
    <t>FN-01252</t>
  </si>
  <si>
    <t>C0717</t>
  </si>
  <si>
    <t>FN-01294</t>
  </si>
  <si>
    <t>C0430</t>
  </si>
  <si>
    <t>FN-01248</t>
  </si>
  <si>
    <t>C0873</t>
  </si>
  <si>
    <t>FN-01295</t>
  </si>
  <si>
    <t>FN-01177</t>
  </si>
  <si>
    <t>FN-01181</t>
  </si>
  <si>
    <t>FN-01227</t>
  </si>
  <si>
    <t>FN-01237</t>
  </si>
  <si>
    <t>FN-01251</t>
  </si>
  <si>
    <t>FN-01263</t>
  </si>
  <si>
    <t>C0561</t>
  </si>
  <si>
    <t>FN-01281</t>
  </si>
  <si>
    <t>FN-01176</t>
  </si>
  <si>
    <t>C0518</t>
  </si>
  <si>
    <t>FN-01234</t>
  </si>
  <si>
    <t>FN-01238</t>
  </si>
  <si>
    <t>FN-01254</t>
  </si>
  <si>
    <t>FN-01272</t>
  </si>
  <si>
    <t>FN-01292</t>
  </si>
  <si>
    <t>FN-01298</t>
  </si>
  <si>
    <t>FN-01289</t>
  </si>
  <si>
    <t>FN-01183</t>
  </si>
  <si>
    <t>FN-01208</t>
  </si>
  <si>
    <t>C0131</t>
  </si>
  <si>
    <t>FN-01214</t>
  </si>
  <si>
    <t>C0943</t>
  </si>
  <si>
    <t>FN-01217</t>
  </si>
  <si>
    <t>C0931</t>
  </si>
  <si>
    <t>FN-01268</t>
  </si>
  <si>
    <t>FN-01296</t>
  </si>
  <si>
    <t>FN-01300</t>
  </si>
  <si>
    <t>FN-01156</t>
  </si>
  <si>
    <t>FN-01198</t>
  </si>
  <si>
    <t>FN-01200</t>
  </si>
  <si>
    <t>FN-01233</t>
  </si>
  <si>
    <t>FN-01246</t>
  </si>
  <si>
    <t>C0899</t>
  </si>
  <si>
    <t>FN-01171</t>
  </si>
  <si>
    <t>FN-01180</t>
  </si>
  <si>
    <t>FN-01231</t>
  </si>
  <si>
    <t>C0605</t>
  </si>
  <si>
    <t>FN-01258</t>
  </si>
  <si>
    <t>FN-01262</t>
  </si>
  <si>
    <t>FN-01265</t>
  </si>
  <si>
    <t>FN-01274</t>
  </si>
  <si>
    <t>FN-01290</t>
  </si>
  <si>
    <t>C0070</t>
  </si>
  <si>
    <t>FN-01160</t>
  </si>
  <si>
    <t>FN-01166</t>
  </si>
  <si>
    <t>FN-01189</t>
  </si>
  <si>
    <t>C0746</t>
  </si>
  <si>
    <t>FN-01279</t>
  </si>
  <si>
    <t>C0843</t>
  </si>
  <si>
    <t>FN-01299</t>
  </si>
  <si>
    <t>FN-01170</t>
  </si>
  <si>
    <t>FN-01205</t>
  </si>
  <si>
    <t>C0386</t>
  </si>
  <si>
    <t>FN-01250</t>
  </si>
  <si>
    <t>FN-01261</t>
  </si>
  <si>
    <t>FN-01277</t>
  </si>
  <si>
    <t>FN-01163</t>
  </si>
  <si>
    <t>FN-01179</t>
  </si>
  <si>
    <t>FN-01188</t>
  </si>
  <si>
    <t>FN-01193</t>
  </si>
  <si>
    <t>FN-01199</t>
  </si>
  <si>
    <t>FN-01201</t>
  </si>
  <si>
    <t>FN-01253</t>
  </si>
  <si>
    <t>C0260</t>
  </si>
  <si>
    <t>FN-01259</t>
  </si>
  <si>
    <t>FN-01291</t>
  </si>
  <si>
    <t>CustomerName</t>
  </si>
  <si>
    <t>Gender</t>
  </si>
  <si>
    <t>BirthYear</t>
  </si>
  <si>
    <t>Nationality</t>
  </si>
  <si>
    <t>Segment</t>
  </si>
  <si>
    <t>JoinDate</t>
  </si>
  <si>
    <t>C0001</t>
  </si>
  <si>
    <t>Noor Al-Kandari</t>
  </si>
  <si>
    <t>Female</t>
  </si>
  <si>
    <t>Kuwaiti</t>
  </si>
  <si>
    <t>Affluent</t>
  </si>
  <si>
    <t>Omar Al-Ajmi</t>
  </si>
  <si>
    <t>Male</t>
  </si>
  <si>
    <t>Mass</t>
  </si>
  <si>
    <t>Fatima Al-Dosari</t>
  </si>
  <si>
    <t>Ali Al-Sabah</t>
  </si>
  <si>
    <t>Abdullah Al-Sabah</t>
  </si>
  <si>
    <t>Mohammad Al-Fadhli</t>
  </si>
  <si>
    <t>Ali Al-Harbi</t>
  </si>
  <si>
    <t>Reem Al-Fadhli</t>
  </si>
  <si>
    <t>Mohammad Al-Shammari</t>
  </si>
  <si>
    <t>C0010</t>
  </si>
  <si>
    <t>Mohammad Al-Azmi</t>
  </si>
  <si>
    <t>Nasser Al-Kandari</t>
  </si>
  <si>
    <t>Aisha Al-Shammari</t>
  </si>
  <si>
    <t>Non-Kuwaiti</t>
  </si>
  <si>
    <t>Jana Al-Dosari</t>
  </si>
  <si>
    <t>Dana Al-Kandari</t>
  </si>
  <si>
    <t>Ali Al-Fadhli</t>
  </si>
  <si>
    <t>Faisal Al-Azmi</t>
  </si>
  <si>
    <t>C0017</t>
  </si>
  <si>
    <t>Maryam Al-Mutairi</t>
  </si>
  <si>
    <t>Aisha Al-Kandari</t>
  </si>
  <si>
    <t>C0020</t>
  </si>
  <si>
    <t>Noor Al-Fadhli</t>
  </si>
  <si>
    <t>C0021</t>
  </si>
  <si>
    <t>Bader Al-Azmi</t>
  </si>
  <si>
    <t>Lulwa Al-Ajmi</t>
  </si>
  <si>
    <t>Bader Al-Dosari</t>
  </si>
  <si>
    <t>Omar Al-Dosari</t>
  </si>
  <si>
    <t>Noor Al-Ajmi</t>
  </si>
  <si>
    <t>Talal Al-Ajmi</t>
  </si>
  <si>
    <t>Mohammad Al-Enezi</t>
  </si>
  <si>
    <t>C0028</t>
  </si>
  <si>
    <t>Yousef Al-Mutairi</t>
  </si>
  <si>
    <t>Latifa Al-Enezi</t>
  </si>
  <si>
    <t>Maryam Al-Dosari</t>
  </si>
  <si>
    <t>Fahad Al-Otaibi</t>
  </si>
  <si>
    <t>C0032</t>
  </si>
  <si>
    <t>Hessa Al-Shammari</t>
  </si>
  <si>
    <t>Saud Al-Kandari</t>
  </si>
  <si>
    <t>C0034</t>
  </si>
  <si>
    <t>Yousef Al-Dosari</t>
  </si>
  <si>
    <t>Bader Al-Ajmi</t>
  </si>
  <si>
    <t>Jana Al-Kandari</t>
  </si>
  <si>
    <t>C0037</t>
  </si>
  <si>
    <t>Fahad Al-Fadhli</t>
  </si>
  <si>
    <t>Khaled Al-Harbi</t>
  </si>
  <si>
    <t>Ali Al-Enezi</t>
  </si>
  <si>
    <t>Ahmad Al-Fadhli</t>
  </si>
  <si>
    <t>Faisal Al-Shammari</t>
  </si>
  <si>
    <t>C0042</t>
  </si>
  <si>
    <t>Abdullah Al-Azmi</t>
  </si>
  <si>
    <t>Ahmad Al-Sabah</t>
  </si>
  <si>
    <t>C0044</t>
  </si>
  <si>
    <t>Shahad Al-Harbi</t>
  </si>
  <si>
    <t>Ali Al-Dosari</t>
  </si>
  <si>
    <t>Omar Al-Harbi</t>
  </si>
  <si>
    <t>Omar Al-Otaibi</t>
  </si>
  <si>
    <t>Shahad Al-Dosari</t>
  </si>
  <si>
    <t>Saud Al-Rashidi</t>
  </si>
  <si>
    <t>Shahad Al-Ajmi</t>
  </si>
  <si>
    <t>C0051</t>
  </si>
  <si>
    <t>Reem Al-Khaldi</t>
  </si>
  <si>
    <t>Sara Al-Kandari</t>
  </si>
  <si>
    <t>C0054</t>
  </si>
  <si>
    <t>Noor Al-Otaibi</t>
  </si>
  <si>
    <t>C0055</t>
  </si>
  <si>
    <t>Hessa Al-Mutairi</t>
  </si>
  <si>
    <t>Premium</t>
  </si>
  <si>
    <t>C0059</t>
  </si>
  <si>
    <t>Latifa Al-Dosari</t>
  </si>
  <si>
    <t>Jana Al-Azmi</t>
  </si>
  <si>
    <t>Abdullah Al-Dosari</t>
  </si>
  <si>
    <t>Aisha Al-Enezi</t>
  </si>
  <si>
    <t>C0064</t>
  </si>
  <si>
    <t>Fatima Al-Harbi</t>
  </si>
  <si>
    <t>Abdullah Al-Shammari</t>
  </si>
  <si>
    <t>C0066</t>
  </si>
  <si>
    <t>Ahmad Al-Hajri</t>
  </si>
  <si>
    <t>Bader Al-Otaibi</t>
  </si>
  <si>
    <t>Shahad Al-Sabah</t>
  </si>
  <si>
    <t>Faisal Al-Ajmi</t>
  </si>
  <si>
    <t>Lulwa Al-Khaldi</t>
  </si>
  <si>
    <t>C0072</t>
  </si>
  <si>
    <t>Fatima Al-Kandari</t>
  </si>
  <si>
    <t>C0073</t>
  </si>
  <si>
    <t>Ahmad Al-Kandari</t>
  </si>
  <si>
    <t>C0074</t>
  </si>
  <si>
    <t>Sara Al-Harbi</t>
  </si>
  <si>
    <t>C0075</t>
  </si>
  <si>
    <t>Nasser Al-Fadhli</t>
  </si>
  <si>
    <t>Noor Al-Khaldi</t>
  </si>
  <si>
    <t>Talal Al-Khaldi</t>
  </si>
  <si>
    <t>Shahad Al-Hajri</t>
  </si>
  <si>
    <t>Fatima Al-Ajmi</t>
  </si>
  <si>
    <t>Yousef Al-Ajmi</t>
  </si>
  <si>
    <t>Latifa Al-Ajmi</t>
  </si>
  <si>
    <t>C0087</t>
  </si>
  <si>
    <t>Hamad Al-Enezi</t>
  </si>
  <si>
    <t>Bader Al-Rashidi</t>
  </si>
  <si>
    <t>Dana Al-Otaibi</t>
  </si>
  <si>
    <t>Abdullah Al-Ajmi</t>
  </si>
  <si>
    <t>C0091</t>
  </si>
  <si>
    <t>Dana Al-Dosari</t>
  </si>
  <si>
    <t>Khaled Al-Sabah</t>
  </si>
  <si>
    <t>Sara Al-Azmi</t>
  </si>
  <si>
    <t>Khaled Al-Fadhli</t>
  </si>
  <si>
    <t>Faisal Al-Kandari</t>
  </si>
  <si>
    <t>Lulwa Al-Shammari</t>
  </si>
  <si>
    <t>C0097</t>
  </si>
  <si>
    <t>Fatima Al-Enezi</t>
  </si>
  <si>
    <t>C0099</t>
  </si>
  <si>
    <t>Abdullah Al-Mutairi</t>
  </si>
  <si>
    <t>Nasser Al-Enezi</t>
  </si>
  <si>
    <t>Bader Al-Shammari</t>
  </si>
  <si>
    <t>Mohammad Al-Hajri</t>
  </si>
  <si>
    <t>Reem Al-Kandari</t>
  </si>
  <si>
    <t>C0106</t>
  </si>
  <si>
    <t>Hamad Al-Fadhli</t>
  </si>
  <si>
    <t>Lulwa Al-Harbi</t>
  </si>
  <si>
    <t>Fatima Al-Sabah</t>
  </si>
  <si>
    <t>Abdullah Al-Harbi</t>
  </si>
  <si>
    <t>Ahmad Al-Khaldi</t>
  </si>
  <si>
    <t>Bader Al-Fadhli</t>
  </si>
  <si>
    <t>C0120</t>
  </si>
  <si>
    <t>Maryam Al-Fadhli</t>
  </si>
  <si>
    <t>C0121</t>
  </si>
  <si>
    <t>Jana Al-Fadhli</t>
  </si>
  <si>
    <t>Yousef Al-Rashidi</t>
  </si>
  <si>
    <t>Maryam Al-Hajri</t>
  </si>
  <si>
    <t>Yousef Al-Enezi</t>
  </si>
  <si>
    <t>Fatima Al-Fadhli</t>
  </si>
  <si>
    <t>C0126</t>
  </si>
  <si>
    <t>Khaled Al-Ajmi</t>
  </si>
  <si>
    <t>Hamad Al-Mutairi</t>
  </si>
  <si>
    <t>Ahmad Al-Otaibi</t>
  </si>
  <si>
    <t>Jana Al-Harbi</t>
  </si>
  <si>
    <t>Fatima Al-Shammari</t>
  </si>
  <si>
    <t>Saud Al-Dosari</t>
  </si>
  <si>
    <t>C0135</t>
  </si>
  <si>
    <t>Ahmad Al-Harbi</t>
  </si>
  <si>
    <t>Dana Al-Enezi</t>
  </si>
  <si>
    <t>Fahad Al-Dosari</t>
  </si>
  <si>
    <t>Hamad Al-Ajmi</t>
  </si>
  <si>
    <t>C0140</t>
  </si>
  <si>
    <t>Faisal Al-Hajri</t>
  </si>
  <si>
    <t>Noor Al-Dosari</t>
  </si>
  <si>
    <t>Fahad Al-Shammari</t>
  </si>
  <si>
    <t>Hamad Al-Rashidi</t>
  </si>
  <si>
    <t>Nasser Al-Sabah</t>
  </si>
  <si>
    <t>Hessa Al-Dosari</t>
  </si>
  <si>
    <t>Mohammad Al-Harbi</t>
  </si>
  <si>
    <t>Mohammad Al-Kandari</t>
  </si>
  <si>
    <t>Noor Al-Rashidi</t>
  </si>
  <si>
    <t>Latifa Al-Azmi</t>
  </si>
  <si>
    <t>C0155</t>
  </si>
  <si>
    <t>C0158</t>
  </si>
  <si>
    <t>Talal Al-Enezi</t>
  </si>
  <si>
    <t>Ahmad Al-Dosari</t>
  </si>
  <si>
    <t>Jana Al-Enezi</t>
  </si>
  <si>
    <t>C0161</t>
  </si>
  <si>
    <t>C0162</t>
  </si>
  <si>
    <t>Talal Al-Dosari</t>
  </si>
  <si>
    <t>C0163</t>
  </si>
  <si>
    <t>Sara Al-Khaldi</t>
  </si>
  <si>
    <t>Ahmad Al-Enezi</t>
  </si>
  <si>
    <t>Saud Al-Mutairi</t>
  </si>
  <si>
    <t>C0167</t>
  </si>
  <si>
    <t>Noor Al-Hajri</t>
  </si>
  <si>
    <t>Noor Al-Azmi</t>
  </si>
  <si>
    <t>C0171</t>
  </si>
  <si>
    <t>Mohammad Al-Mutairi</t>
  </si>
  <si>
    <t>Latifa Al-Fadhli</t>
  </si>
  <si>
    <t>Yousef Al-Khaldi</t>
  </si>
  <si>
    <t>Mohammad Al-Dosari</t>
  </si>
  <si>
    <t>Reem Al-Dosari</t>
  </si>
  <si>
    <t>Aisha Al-Azmi</t>
  </si>
  <si>
    <t>Nasser Al-Harbi</t>
  </si>
  <si>
    <t>Sara Al-Otaibi</t>
  </si>
  <si>
    <t>C0180</t>
  </si>
  <si>
    <t>C0181</t>
  </si>
  <si>
    <t>Hessa Al-Rashidi</t>
  </si>
  <si>
    <t>Ali Al-Shammari</t>
  </si>
  <si>
    <t>Jana Al-Khaldi</t>
  </si>
  <si>
    <t>Lulwa Al-Dosari</t>
  </si>
  <si>
    <t>C0185</t>
  </si>
  <si>
    <t>Faisal Al-Sabah</t>
  </si>
  <si>
    <t>Fatima Al-Khaldi</t>
  </si>
  <si>
    <t>Aisha Al-Mutairi</t>
  </si>
  <si>
    <t>Omar Al-Mutairi</t>
  </si>
  <si>
    <t>C0192</t>
  </si>
  <si>
    <t>Khaled Al-Khaldi</t>
  </si>
  <si>
    <t>Aisha Al-Fadhli</t>
  </si>
  <si>
    <t>Jana Al-Ajmi</t>
  </si>
  <si>
    <t>C0195</t>
  </si>
  <si>
    <t>C0196</t>
  </si>
  <si>
    <t>Jana Al-Shammari</t>
  </si>
  <si>
    <t>C0197</t>
  </si>
  <si>
    <t>Latifa Al-Rashidi</t>
  </si>
  <si>
    <t>Omar Al-Enezi</t>
  </si>
  <si>
    <t>C0201</t>
  </si>
  <si>
    <t>Ali Al-Ajmi</t>
  </si>
  <si>
    <t>C0202</t>
  </si>
  <si>
    <t>Khaled Al-Kandari</t>
  </si>
  <si>
    <t>Saud Al-Sabah</t>
  </si>
  <si>
    <t>C0205</t>
  </si>
  <si>
    <t>Talal Al-Rashidi</t>
  </si>
  <si>
    <t>Mohammad Al-Ajmi</t>
  </si>
  <si>
    <t>Reem Al-Shammari</t>
  </si>
  <si>
    <t>Fahad Al-Hajri</t>
  </si>
  <si>
    <t>Omar Al-Sabah</t>
  </si>
  <si>
    <t>Noor Al-Mutairi</t>
  </si>
  <si>
    <t>C0213</t>
  </si>
  <si>
    <t>Shahad Al-Fadhli</t>
  </si>
  <si>
    <t>Bader Al-Harbi</t>
  </si>
  <si>
    <t>Nasser Al-Azmi</t>
  </si>
  <si>
    <t>Latifa Al-Harbi</t>
  </si>
  <si>
    <t>Hamad Al-Khaldi</t>
  </si>
  <si>
    <t>Noor Al-Enezi</t>
  </si>
  <si>
    <t>C0223</t>
  </si>
  <si>
    <t>Yousef Al-Azmi</t>
  </si>
  <si>
    <t>Talal Al-Sabah</t>
  </si>
  <si>
    <t>Nasser Al-Dosari</t>
  </si>
  <si>
    <t>Nasser Al-Khaldi</t>
  </si>
  <si>
    <t>C0233</t>
  </si>
  <si>
    <t>Nasser Al-Mutairi</t>
  </si>
  <si>
    <t>Shahad Al-Otaibi</t>
  </si>
  <si>
    <t>Nasser Al-Rashidi</t>
  </si>
  <si>
    <t>C0239</t>
  </si>
  <si>
    <t>Aisha Al-Rashidi</t>
  </si>
  <si>
    <t>Reem Al-Rashidi</t>
  </si>
  <si>
    <t>Latifa Al-Khaldi</t>
  </si>
  <si>
    <t>Abdullah Al-Enezi</t>
  </si>
  <si>
    <t>Reem Al-Enezi</t>
  </si>
  <si>
    <t>Lulwa Al-Otaibi</t>
  </si>
  <si>
    <t>C0247</t>
  </si>
  <si>
    <t>Dana Al-Harbi</t>
  </si>
  <si>
    <t>Hessa Al-Enezi</t>
  </si>
  <si>
    <t>C0252</t>
  </si>
  <si>
    <t>Reem Al-Otaibi</t>
  </si>
  <si>
    <t>C0254</t>
  </si>
  <si>
    <t>Khaled Al-Shammari</t>
  </si>
  <si>
    <t>C0255</t>
  </si>
  <si>
    <t>Hessa Al-Khaldi</t>
  </si>
  <si>
    <t>C0257</t>
  </si>
  <si>
    <t>Omar Al-Fadhli</t>
  </si>
  <si>
    <t>C0258</t>
  </si>
  <si>
    <t>Latifa Al-Hajri</t>
  </si>
  <si>
    <t>C0262</t>
  </si>
  <si>
    <t>Faisal Al-Dosari</t>
  </si>
  <si>
    <t>C0264</t>
  </si>
  <si>
    <t>Fahad Al-Khaldi</t>
  </si>
  <si>
    <t>C0265</t>
  </si>
  <si>
    <t>Talal Al-Mutairi</t>
  </si>
  <si>
    <t>Fatima Al-Hajri</t>
  </si>
  <si>
    <t>Talal Al-Hajri</t>
  </si>
  <si>
    <t>C0270</t>
  </si>
  <si>
    <t>Faisal Al-Rashidi</t>
  </si>
  <si>
    <t>C0276</t>
  </si>
  <si>
    <t>Ahmad Al-Ajmi</t>
  </si>
  <si>
    <t>C0277</t>
  </si>
  <si>
    <t>C0280</t>
  </si>
  <si>
    <t>Talal Al-Azmi</t>
  </si>
  <si>
    <t>Latifa Al-Shammari</t>
  </si>
  <si>
    <t>Hamad Al-Shammari</t>
  </si>
  <si>
    <t>C0288</t>
  </si>
  <si>
    <t>Fahad Al-Harbi</t>
  </si>
  <si>
    <t>Yousef Al-Kandari</t>
  </si>
  <si>
    <t>C0292</t>
  </si>
  <si>
    <t>Bader Al-Enezi</t>
  </si>
  <si>
    <t>C0293</t>
  </si>
  <si>
    <t>Talal Al-Harbi</t>
  </si>
  <si>
    <t>Lulwa Al-Enezi</t>
  </si>
  <si>
    <t>C0296</t>
  </si>
  <si>
    <t>Fatima Al-Mutairi</t>
  </si>
  <si>
    <t>C0298</t>
  </si>
  <si>
    <t>C0299</t>
  </si>
  <si>
    <t>Khaled Al-Mutairi</t>
  </si>
  <si>
    <t>C0302</t>
  </si>
  <si>
    <t>Khaled Al-Dosari</t>
  </si>
  <si>
    <t>C0303</t>
  </si>
  <si>
    <t>Latifa Al-Kandari</t>
  </si>
  <si>
    <t>Lulwa Al-Mutairi</t>
  </si>
  <si>
    <t>C0305</t>
  </si>
  <si>
    <t>Jana Al-Sabah</t>
  </si>
  <si>
    <t>Nasser Al-Hajri</t>
  </si>
  <si>
    <t>C0308</t>
  </si>
  <si>
    <t>Shahad Al-Azmi</t>
  </si>
  <si>
    <t>Sara Al-Mutairi</t>
  </si>
  <si>
    <t>Omar Al-Kandari</t>
  </si>
  <si>
    <t>C0313</t>
  </si>
  <si>
    <t>Dana Al-Azmi</t>
  </si>
  <si>
    <t>Ahmad Al-Mutairi</t>
  </si>
  <si>
    <t>Shahad Al-Shammari</t>
  </si>
  <si>
    <t>Reem Al-Sabah</t>
  </si>
  <si>
    <t>Aisha Al-Hajri</t>
  </si>
  <si>
    <t>C0326</t>
  </si>
  <si>
    <t>Omar Al-Rashidi</t>
  </si>
  <si>
    <t>C0328</t>
  </si>
  <si>
    <t>C0329</t>
  </si>
  <si>
    <t>C0333</t>
  </si>
  <si>
    <t>Aisha Al-Harbi</t>
  </si>
  <si>
    <t>C0334</t>
  </si>
  <si>
    <t>Hessa Al-Harbi</t>
  </si>
  <si>
    <t>Lulwa Al-Kandari</t>
  </si>
  <si>
    <t>Hamad Al-Azmi</t>
  </si>
  <si>
    <t>Reem Al-Mutairi</t>
  </si>
  <si>
    <t>C0341</t>
  </si>
  <si>
    <t>C0342</t>
  </si>
  <si>
    <t>C0344</t>
  </si>
  <si>
    <t>C0346</t>
  </si>
  <si>
    <t>Hamad Al-Hajri</t>
  </si>
  <si>
    <t>C0349</t>
  </si>
  <si>
    <t>C0350</t>
  </si>
  <si>
    <t>Hessa Al-Fadhli</t>
  </si>
  <si>
    <t>Lulwa Al-Sabah</t>
  </si>
  <si>
    <t>C0355</t>
  </si>
  <si>
    <t>Lulwa Al-Azmi</t>
  </si>
  <si>
    <t>Aisha Al-Sabah</t>
  </si>
  <si>
    <t>Abdullah Al-Otaibi</t>
  </si>
  <si>
    <t>Shahad Al-Kandari</t>
  </si>
  <si>
    <t>Ali Al-Otaibi</t>
  </si>
  <si>
    <t>C0365</t>
  </si>
  <si>
    <t>Khaled Al-Otaibi</t>
  </si>
  <si>
    <t>Omar Al-Azmi</t>
  </si>
  <si>
    <t>C0368</t>
  </si>
  <si>
    <t>Saud Al-Otaibi</t>
  </si>
  <si>
    <t>C0370</t>
  </si>
  <si>
    <t>Abdullah Al-Rashidi</t>
  </si>
  <si>
    <t>C0375</t>
  </si>
  <si>
    <t>Hamad Al-Dosari</t>
  </si>
  <si>
    <t>Khaled Al-Azmi</t>
  </si>
  <si>
    <t>C0382</t>
  </si>
  <si>
    <t>Sara Al-Ajmi</t>
  </si>
  <si>
    <t>Yousef Al-Otaibi</t>
  </si>
  <si>
    <t>C0389</t>
  </si>
  <si>
    <t>Talal Al-Fadhli</t>
  </si>
  <si>
    <t>Saud Al-Ajmi</t>
  </si>
  <si>
    <t>C0396</t>
  </si>
  <si>
    <t>Maryam Al-Enezi</t>
  </si>
  <si>
    <t>Fatima Al-Azmi</t>
  </si>
  <si>
    <t>Mohammad Al-Sabah</t>
  </si>
  <si>
    <t>C0403</t>
  </si>
  <si>
    <t>Yousef Al-Fadhli</t>
  </si>
  <si>
    <t>C0404</t>
  </si>
  <si>
    <t>Hamad Al-Otaibi</t>
  </si>
  <si>
    <t>C0407</t>
  </si>
  <si>
    <t>C0409</t>
  </si>
  <si>
    <t>Khaled Al-Enezi</t>
  </si>
  <si>
    <t>C0414</t>
  </si>
  <si>
    <t>C0416</t>
  </si>
  <si>
    <t>Fahad Al-Enezi</t>
  </si>
  <si>
    <t>Ahmad Al-Azmi</t>
  </si>
  <si>
    <t>C0425</t>
  </si>
  <si>
    <t>C0426</t>
  </si>
  <si>
    <t>C0431</t>
  </si>
  <si>
    <t>Faisal Al-Fadhli</t>
  </si>
  <si>
    <t>C0436</t>
  </si>
  <si>
    <t>Shahad Al-Enezi</t>
  </si>
  <si>
    <t>Saud Al-Khaldi</t>
  </si>
  <si>
    <t>C0443</t>
  </si>
  <si>
    <t>Saud Al-Harbi</t>
  </si>
  <si>
    <t>Talal Al-Kandari</t>
  </si>
  <si>
    <t>C0448</t>
  </si>
  <si>
    <t>C0449</t>
  </si>
  <si>
    <t>C0450</t>
  </si>
  <si>
    <t>Yousef Al-Hajri</t>
  </si>
  <si>
    <t>C0460</t>
  </si>
  <si>
    <t>Latifa Al-Sabah</t>
  </si>
  <si>
    <t>Nasser Al-Otaibi</t>
  </si>
  <si>
    <t>Hamad Al-Kandari</t>
  </si>
  <si>
    <t>Sara Al-Shammari</t>
  </si>
  <si>
    <t>C0472</t>
  </si>
  <si>
    <t>C0474</t>
  </si>
  <si>
    <t>C0476</t>
  </si>
  <si>
    <t>C0478</t>
  </si>
  <si>
    <t>C0479</t>
  </si>
  <si>
    <t>Maryam Al-Harbi</t>
  </si>
  <si>
    <t>C0486</t>
  </si>
  <si>
    <t>C0489</t>
  </si>
  <si>
    <t>Ali Al-Khaldi</t>
  </si>
  <si>
    <t>Bader Al-Sabah</t>
  </si>
  <si>
    <t>C0497</t>
  </si>
  <si>
    <t>C0498</t>
  </si>
  <si>
    <t>C0499</t>
  </si>
  <si>
    <t>Omar Al-Khaldi</t>
  </si>
  <si>
    <t>C0503</t>
  </si>
  <si>
    <t>Yousef Al-Shammari</t>
  </si>
  <si>
    <t>C0506</t>
  </si>
  <si>
    <t>C0508</t>
  </si>
  <si>
    <t>Faisal Al-Mutairi</t>
  </si>
  <si>
    <t>Ali Al-Rashidi</t>
  </si>
  <si>
    <t>Latifa Al-Mutairi</t>
  </si>
  <si>
    <t>Aisha Al-Khaldi</t>
  </si>
  <si>
    <t>C0517</t>
  </si>
  <si>
    <t>C0519</t>
  </si>
  <si>
    <t>C0520</t>
  </si>
  <si>
    <t>C0523</t>
  </si>
  <si>
    <t>C0524</t>
  </si>
  <si>
    <t>C0529</t>
  </si>
  <si>
    <t>Reem Al-Ajmi</t>
  </si>
  <si>
    <t>Lulwa Al-Rashidi</t>
  </si>
  <si>
    <t>Faisal Al-Harbi</t>
  </si>
  <si>
    <t>Sara Al-Rashidi</t>
  </si>
  <si>
    <t>C0539</t>
  </si>
  <si>
    <t>C0542</t>
  </si>
  <si>
    <t>C0543</t>
  </si>
  <si>
    <t>C0544</t>
  </si>
  <si>
    <t>Ahmad Al-Rashidi</t>
  </si>
  <si>
    <t>Maryam Al-Otaibi</t>
  </si>
  <si>
    <t>Jana Al-Otaibi</t>
  </si>
  <si>
    <t>C0555</t>
  </si>
  <si>
    <t>Dana Al-Rashidi</t>
  </si>
  <si>
    <t>C0560</t>
  </si>
  <si>
    <t>C0567</t>
  </si>
  <si>
    <t>C0569</t>
  </si>
  <si>
    <t>C0570</t>
  </si>
  <si>
    <t>Yousef Al-Sabah</t>
  </si>
  <si>
    <t>Hamad Al-Harbi</t>
  </si>
  <si>
    <t>C0578</t>
  </si>
  <si>
    <t>C0579</t>
  </si>
  <si>
    <t>C0580</t>
  </si>
  <si>
    <t>C0581</t>
  </si>
  <si>
    <t>C0582</t>
  </si>
  <si>
    <t>C0583</t>
  </si>
  <si>
    <t>C0584</t>
  </si>
  <si>
    <t>C0585</t>
  </si>
  <si>
    <t>Mohammad Al-Rashidi</t>
  </si>
  <si>
    <t>C0589</t>
  </si>
  <si>
    <t>Nasser Al-Shammari</t>
  </si>
  <si>
    <t>C0601</t>
  </si>
  <si>
    <t>Abdullah Al-Khaldi</t>
  </si>
  <si>
    <t>C0607</t>
  </si>
  <si>
    <t>Hessa Al-Kandari</t>
  </si>
  <si>
    <t>C0609</t>
  </si>
  <si>
    <t>C0610</t>
  </si>
  <si>
    <t>Abdullah Al-Hajri</t>
  </si>
  <si>
    <t>Hessa Al-Otaibi</t>
  </si>
  <si>
    <t>C0619</t>
  </si>
  <si>
    <t>C0624</t>
  </si>
  <si>
    <t>Dana Al-Shammari</t>
  </si>
  <si>
    <t>Fahad Al-Rashidi</t>
  </si>
  <si>
    <t>C0634</t>
  </si>
  <si>
    <t>C0639</t>
  </si>
  <si>
    <t>C0642</t>
  </si>
  <si>
    <t>C0643</t>
  </si>
  <si>
    <t>Sara Al-Hajri</t>
  </si>
  <si>
    <t>C0644</t>
  </si>
  <si>
    <t>Hamad Al-Sabah</t>
  </si>
  <si>
    <t>Yousef Al-Harbi</t>
  </si>
  <si>
    <t>C0647</t>
  </si>
  <si>
    <t>Saud Al-Hajri</t>
  </si>
  <si>
    <t>C0658</t>
  </si>
  <si>
    <t>C0659</t>
  </si>
  <si>
    <t>C0660</t>
  </si>
  <si>
    <t>Fatima Al-Otaibi</t>
  </si>
  <si>
    <t>C0667</t>
  </si>
  <si>
    <t>C0668</t>
  </si>
  <si>
    <t>C0676</t>
  </si>
  <si>
    <t>C0677</t>
  </si>
  <si>
    <t>C0679</t>
  </si>
  <si>
    <t>Maryam Al-Khaldi</t>
  </si>
  <si>
    <t>Aisha Al-Ajmi</t>
  </si>
  <si>
    <t>C0684</t>
  </si>
  <si>
    <t>Bader Al-Kandari</t>
  </si>
  <si>
    <t>Fahad Al-Mutairi</t>
  </si>
  <si>
    <t>Noor Al-Shammari</t>
  </si>
  <si>
    <t>Maryam Al-Ajmi</t>
  </si>
  <si>
    <t>Hessa Al-Ajmi</t>
  </si>
  <si>
    <t>C0696</t>
  </si>
  <si>
    <t>C0702</t>
  </si>
  <si>
    <t>C0715</t>
  </si>
  <si>
    <t>C0720</t>
  </si>
  <si>
    <t>Noor Al-Harbi</t>
  </si>
  <si>
    <t>C0725</t>
  </si>
  <si>
    <t>C0726</t>
  </si>
  <si>
    <t>Omar Al-Hajri</t>
  </si>
  <si>
    <t>C0730</t>
  </si>
  <si>
    <t>Fahad Al-Azmi</t>
  </si>
  <si>
    <t>Dana Al-Ajmi</t>
  </si>
  <si>
    <t>Ali Al-Kandari</t>
  </si>
  <si>
    <t>C0741</t>
  </si>
  <si>
    <t>C0742</t>
  </si>
  <si>
    <t>Talal Al-Shammari</t>
  </si>
  <si>
    <t>Shahad Al-Rashidi</t>
  </si>
  <si>
    <t>C0750</t>
  </si>
  <si>
    <t>C0752</t>
  </si>
  <si>
    <t>C0755</t>
  </si>
  <si>
    <t>C0758</t>
  </si>
  <si>
    <t>C0761</t>
  </si>
  <si>
    <t>C0763</t>
  </si>
  <si>
    <t>Reem Al-Azmi</t>
  </si>
  <si>
    <t>C0764</t>
  </si>
  <si>
    <t>C0768</t>
  </si>
  <si>
    <t>C0770</t>
  </si>
  <si>
    <t>Talal Al-Otaibi</t>
  </si>
  <si>
    <t>C0775</t>
  </si>
  <si>
    <t>C0777</t>
  </si>
  <si>
    <t>Ali Al-Hajri</t>
  </si>
  <si>
    <t>C0782</t>
  </si>
  <si>
    <t>C0785</t>
  </si>
  <si>
    <t>C0786</t>
  </si>
  <si>
    <t>C0787</t>
  </si>
  <si>
    <t>C0788</t>
  </si>
  <si>
    <t>C0789</t>
  </si>
  <si>
    <t>C0791</t>
  </si>
  <si>
    <t>C0794</t>
  </si>
  <si>
    <t>C0795</t>
  </si>
  <si>
    <t>Sara Al-Enezi</t>
  </si>
  <si>
    <t>Reem Al-Harbi</t>
  </si>
  <si>
    <t>C0800</t>
  </si>
  <si>
    <t>C0803</t>
  </si>
  <si>
    <t>C0804</t>
  </si>
  <si>
    <t>C0810</t>
  </si>
  <si>
    <t>Fahad Al-Sabah</t>
  </si>
  <si>
    <t>C0818</t>
  </si>
  <si>
    <t>Mohammad Al-Khaldi</t>
  </si>
  <si>
    <t>C0823</t>
  </si>
  <si>
    <t>C0825</t>
  </si>
  <si>
    <t>C0831</t>
  </si>
  <si>
    <t>C0833</t>
  </si>
  <si>
    <t>C0835</t>
  </si>
  <si>
    <t>C0836</t>
  </si>
  <si>
    <t>C0837</t>
  </si>
  <si>
    <t>Lulwa Al-Fadhli</t>
  </si>
  <si>
    <t>C0839</t>
  </si>
  <si>
    <t>C0842</t>
  </si>
  <si>
    <t>C0844</t>
  </si>
  <si>
    <t>C0850</t>
  </si>
  <si>
    <t>C0851</t>
  </si>
  <si>
    <t>C0852</t>
  </si>
  <si>
    <t>C0856</t>
  </si>
  <si>
    <t>C0857</t>
  </si>
  <si>
    <t>C0862</t>
  </si>
  <si>
    <t>C0864</t>
  </si>
  <si>
    <t>C0866</t>
  </si>
  <si>
    <t>Maryam Al-Kandari</t>
  </si>
  <si>
    <t>C0871</t>
  </si>
  <si>
    <t>C0875</t>
  </si>
  <si>
    <t>C0876</t>
  </si>
  <si>
    <t>Hessa Al-Azmi</t>
  </si>
  <si>
    <t>Jana Al-Mutairi</t>
  </si>
  <si>
    <t>Latifa Al-Otaibi</t>
  </si>
  <si>
    <t>Ali Al-Azmi</t>
  </si>
  <si>
    <t>C0893</t>
  </si>
  <si>
    <t>C0895</t>
  </si>
  <si>
    <t>C0897</t>
  </si>
  <si>
    <t>C0900</t>
  </si>
  <si>
    <t>C0905</t>
  </si>
  <si>
    <t>C0907</t>
  </si>
  <si>
    <t>C0909</t>
  </si>
  <si>
    <t>Dana Al-Mutairi</t>
  </si>
  <si>
    <t>C0916</t>
  </si>
  <si>
    <t>C0918</t>
  </si>
  <si>
    <t>C0923</t>
  </si>
  <si>
    <t>C0926</t>
  </si>
  <si>
    <t>C0927</t>
  </si>
  <si>
    <t>Jana Al-Rashidi</t>
  </si>
  <si>
    <t>C0929</t>
  </si>
  <si>
    <t>Khaled Al-Rashidi</t>
  </si>
  <si>
    <t>C0933</t>
  </si>
  <si>
    <t>C0934</t>
  </si>
  <si>
    <t>C0938</t>
  </si>
  <si>
    <t>Faisal Al-Khaldi</t>
  </si>
  <si>
    <t>C0944</t>
  </si>
  <si>
    <t>Saud Al-Azmi</t>
  </si>
  <si>
    <t>C0949</t>
  </si>
  <si>
    <t>Duplicates removed | 24</t>
  </si>
  <si>
    <t>Rejected Data|12</t>
  </si>
  <si>
    <t>AgeGroup</t>
  </si>
  <si>
    <t>Age</t>
  </si>
  <si>
    <t>DaysToDecision</t>
  </si>
  <si>
    <t>IsApproved</t>
  </si>
  <si>
    <t>ApprovedAmount</t>
  </si>
  <si>
    <t>ExpectedAnnualProfit</t>
  </si>
  <si>
    <t>Deals</t>
  </si>
  <si>
    <t>Average Days</t>
  </si>
  <si>
    <t>Approved Amount</t>
  </si>
  <si>
    <t>Grand Total</t>
  </si>
  <si>
    <t>Months (ApplicationDate)</t>
  </si>
  <si>
    <t>Jan</t>
  </si>
  <si>
    <t>Feb</t>
  </si>
  <si>
    <t>Mar</t>
  </si>
  <si>
    <t>Apr</t>
  </si>
  <si>
    <t>May</t>
  </si>
  <si>
    <t>Jun</t>
  </si>
  <si>
    <t>Jul</t>
  </si>
  <si>
    <t>Aug</t>
  </si>
  <si>
    <t>Sep</t>
  </si>
  <si>
    <t>Approval %</t>
  </si>
  <si>
    <t>KPI</t>
  </si>
  <si>
    <t>Value</t>
  </si>
  <si>
    <t>Total Approved Amount</t>
  </si>
  <si>
    <t>Approved Deals</t>
  </si>
  <si>
    <t>Approval Rate</t>
  </si>
  <si>
    <t>Avg Approved Deal Size</t>
  </si>
  <si>
    <t>Avg Days to Decision</t>
  </si>
  <si>
    <t>Jahra approval rate: Jan–May = 72.8% vs Jun–Sep = 43.1% → a drop of ~29.7 percentage points.</t>
  </si>
  <si>
    <t>Before June, Jahra was above the bank average (71.8%); from June it fell far below it.</t>
  </si>
  <si>
    <t>The drop is clear across all channels (Mobile App and Branch fell the most), approved deals fell from 59 to 31, and the average decision time rose from 8.0 to 10.9 days.</t>
  </si>
  <si>
    <t>Possible cause: a change at the branch from June (new credit officer/policy, stricter approval rules, or staff shortage) — needs to be investigated with the branch manager.</t>
  </si>
  <si>
    <t>Question</t>
  </si>
  <si>
    <t>Answer</t>
  </si>
  <si>
    <t>D1</t>
  </si>
  <si>
    <t>D2</t>
  </si>
  <si>
    <t>D3</t>
  </si>
  <si>
    <t>D4</t>
  </si>
  <si>
    <t>For Personal Tawarruq, Mobile App has the lowest approval rate: 66.1% (vs Branch 79.2% and Online 75.4%; product average 75.3%).</t>
  </si>
  <si>
    <t>That is ~13 points below Branch — Mobile App applications for this product are rejected much more often.</t>
  </si>
  <si>
    <t>Possible cause: weaker document/eligibility checks in the app (incomplete salary info, applicants not meeting criteria) before submission.</t>
  </si>
  <si>
    <t>Total approved amount for Premium segment in Q3 (Jul–Sep): 1,578,800 KWD from 32 approved deals.</t>
  </si>
  <si>
    <t>This is ~32% of Premium's total approved amount for Jan–Sep (4,947,600 KWD).</t>
  </si>
  <si>
    <t>Premium has a high average deal size (49,338 KWD vs bank average 39,047 KWD), but approvals dropped sharply in September compared to July and August.</t>
  </si>
  <si>
    <t>Auto Murabaha had its highest approved amount in August: 581,300 KWD (July was almost the same at 578,000 KWD), compared with roughly 200,000–450,000 KWD in other months.</t>
  </si>
  <si>
    <t>Possible reasons: summer is peak car-buying season in Kuwait — new model-year cars are launched mid-year, dealers run summer offers, and families buy cars before the new school year (September).</t>
  </si>
  <si>
    <t>Action: prepare more Auto Murabaha capacity and joint dealer promotions for Jul–Aug.</t>
  </si>
  <si>
    <t>D6</t>
  </si>
  <si>
    <t>Home Ijara takes 20.2 days on average to reach a decision, vs 5.7 days for the other three products — about 3.5x longer (+14.5 days).</t>
  </si>
  <si>
    <t>Home Ijara also has a lower approval rate (63.6% vs 73.0%) and much bigger deals (avg ~156K KWD vs ~25K KWD).</t>
  </si>
  <si>
    <t>Reason: home financing needs property valuation, title/ownership documents and higher approval authority, so it naturally takes longer — but 20 days is a risk of losing customers to faster banks.</t>
  </si>
  <si>
    <t>D5</t>
  </si>
  <si>
    <t>Recommendation 1 – Jahra branch</t>
  </si>
  <si>
    <t>Observation: Jahra's approval rate dropped sharply from June.</t>
  </si>
  <si>
    <t>Number: 72.8% (Jan–May) → 43.1% (Jun–Sep), a drop of ~30 points; approved deals fell from 59 to 31 and decision time rose from 8.0 to 10.9 days.</t>
  </si>
  <si>
    <t>Action: Review what changed at Jahra in June (staff, credit officer, local policy) with the branch manager, audit a sample of rejected applications, and track Jahra's approval rate weekly on this dashboard.</t>
  </si>
  <si>
    <t>Recommendation 2 – Mobile App channel</t>
  </si>
  <si>
    <t>Observation: Mobile App has the lowest approval rate of all channels.</t>
  </si>
  <si>
    <t>Number: 64.5% vs Branch 75.0% and Online 73.1%; for Personal Tawarruq it is 66.1% vs 79.2% at Branch.</t>
  </si>
  <si>
    <t>Action: Add eligibility checks inside the app before submission (minimum salary, required documents, debt ratio) and show customers a pre-approval estimate, to reduce rejected applications and wasted processing time.</t>
  </si>
  <si>
    <t>Recommendation 3 – Home Ijara decision time</t>
  </si>
  <si>
    <t>Observation: Home Ijara decisions are much slower than other products.</t>
  </si>
  <si>
    <t>Number: 20.2 days on average vs 5.7 days for the other products (~3.5x longer), with the largest deal size (~156K KWD).</t>
  </si>
  <si>
    <t>Action: Set a target of ≤ 10 days by creating a dedicated Home Ijara team, pre-approved property valuers, and a document checklist collected at application, so high-value customers are not lost to faster banks.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</si>
</sst>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0.000"/>
    <numFmt numFmtId="166" formatCode="#,##0.0,,&quot; M&quot;"/>
    <numFmt numFmtId="167" formatCode="0.0%"/>
    <numFmt numFmtId="168" formatCode="0.0\ &quot;days&quot;"/>
  </numFmts>
  <fonts count="7">
    <font>
      <sz val="11"/>
      <color theme="1"/>
      <name val="Calibri"/>
      <family val="2"/>
      <scheme val="minor"/>
    </font>
    <font>
      <b/>
      <sz val="11"/>
      <color rgb="FFFFFFFF"/>
      <name val="Arial"/>
      <family val="2"/>
    </font>
    <font>
      <sz val="10"/>
      <name val="Arial"/>
      <family val="2"/>
    </font>
    <font>
      <sz val="8"/>
      <name val="Calibri"/>
      <family val="2"/>
      <scheme val="minor"/>
    </font>
    <font>
      <b/>
      <sz val="11"/>
      <color theme="1"/>
      <name val="Calibri"/>
      <family val="2"/>
      <scheme val="minor"/>
    </font>
    <font>
      <b/>
      <sz val="10"/>
      <color rgb="FF00B050"/>
      <name val="Arial Unicode MS"/>
    </font>
    <font>
      <sz val="11"/>
      <color rgb="FF00B050"/>
      <name val="Calibri"/>
      <family val="2"/>
      <scheme val="minor"/>
    </font>
  </fonts>
  <fills count="7">
    <fill>
      <patternFill patternType="none"/>
    </fill>
    <fill>
      <patternFill patternType="gray125"/>
    </fill>
    <fill>
      <patternFill patternType="solid">
        <fgColor rgb="FF0B5345"/>
      </patternFill>
    </fill>
    <fill>
      <patternFill patternType="solid">
        <fgColor rgb="FF0B5345"/>
        <bgColor indexed="64"/>
      </patternFill>
    </fill>
    <fill>
      <patternFill patternType="solid">
        <fgColor rgb="FF16302A"/>
        <bgColor indexed="64"/>
      </patternFill>
    </fill>
    <fill>
      <patternFill patternType="solid">
        <fgColor rgb="FF003300"/>
        <bgColor indexed="64"/>
      </patternFill>
    </fill>
    <fill>
      <patternFill patternType="solid">
        <fgColor theme="0"/>
        <bgColor indexed="64"/>
      </patternFill>
    </fill>
  </fills>
  <borders count="16">
    <border>
      <left/>
      <right/>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right/>
      <top style="thin">
        <color theme="6"/>
      </top>
      <bottom style="thin">
        <color theme="6"/>
      </bottom>
      <diagonal/>
    </border>
    <border>
      <left style="thin">
        <color theme="6"/>
      </left>
      <right/>
      <top style="thin">
        <color theme="6"/>
      </top>
      <bottom style="thin">
        <color theme="6"/>
      </bottom>
      <diagonal/>
    </border>
    <border>
      <left/>
      <right style="thin">
        <color theme="6"/>
      </right>
      <top style="thin">
        <color theme="6"/>
      </top>
      <bottom style="thin">
        <color theme="6"/>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1">
    <xf numFmtId="0" fontId="0" fillId="0" borderId="0"/>
  </cellStyleXfs>
  <cellXfs count="43">
    <xf numFmtId="0" fontId="0" fillId="0" borderId="0" xfId="0"/>
    <xf numFmtId="0" fontId="1" fillId="2" borderId="0" xfId="0" applyFont="1" applyFill="1" applyAlignment="1">
      <alignment horizontal="center"/>
    </xf>
    <xf numFmtId="0" fontId="2" fillId="0" borderId="0" xfId="0" applyFont="1"/>
    <xf numFmtId="164" fontId="2" fillId="0" borderId="0" xfId="0" applyNumberFormat="1" applyFont="1"/>
    <xf numFmtId="3" fontId="2" fillId="0" borderId="0" xfId="0" applyNumberFormat="1" applyFont="1"/>
    <xf numFmtId="10" fontId="2" fillId="0" borderId="0" xfId="0" applyNumberFormat="1" applyFont="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0" borderId="1" xfId="0" applyFont="1" applyBorder="1"/>
    <xf numFmtId="164" fontId="2" fillId="0" borderId="2" xfId="0" applyNumberFormat="1" applyFont="1" applyBorder="1"/>
    <xf numFmtId="0" fontId="2" fillId="0" borderId="2" xfId="0" applyFont="1" applyBorder="1"/>
    <xf numFmtId="10" fontId="2" fillId="0" borderId="2" xfId="0" applyNumberFormat="1" applyFont="1" applyBorder="1"/>
    <xf numFmtId="164" fontId="2" fillId="0" borderId="3" xfId="0" applyNumberFormat="1" applyFont="1" applyBorder="1"/>
    <xf numFmtId="0" fontId="2" fillId="0" borderId="3" xfId="0" applyFont="1" applyBorder="1"/>
    <xf numFmtId="0" fontId="2" fillId="0" borderId="5" xfId="0" applyFont="1" applyBorder="1"/>
    <xf numFmtId="164" fontId="2" fillId="0" borderId="4" xfId="0" applyNumberFormat="1" applyFont="1" applyBorder="1"/>
    <xf numFmtId="0" fontId="2" fillId="0" borderId="4" xfId="0" applyFont="1" applyBorder="1"/>
    <xf numFmtId="10" fontId="2" fillId="0" borderId="4" xfId="0" applyNumberFormat="1" applyFont="1" applyBorder="1"/>
    <xf numFmtId="164" fontId="2" fillId="0" borderId="6" xfId="0" applyNumberFormat="1" applyFont="1" applyBorder="1"/>
    <xf numFmtId="0" fontId="1" fillId="3" borderId="0" xfId="0" applyFont="1" applyFill="1" applyAlignment="1">
      <alignment horizontal="center"/>
    </xf>
    <xf numFmtId="165" fontId="2" fillId="0" borderId="0" xfId="0" applyNumberFormat="1" applyFont="1"/>
    <xf numFmtId="0" fontId="0" fillId="0" borderId="0" xfId="0" pivotButton="1"/>
    <xf numFmtId="3" fontId="0" fillId="0" borderId="0" xfId="0" applyNumberFormat="1"/>
    <xf numFmtId="2" fontId="0" fillId="0" borderId="0" xfId="0" applyNumberFormat="1"/>
    <xf numFmtId="10" fontId="0" fillId="0" borderId="0" xfId="0" applyNumberFormat="1"/>
    <xf numFmtId="166" fontId="0" fillId="0" borderId="0" xfId="0" applyNumberFormat="1"/>
    <xf numFmtId="167" fontId="0" fillId="0" borderId="0" xfId="0" applyNumberFormat="1"/>
    <xf numFmtId="168" fontId="0" fillId="0" borderId="0" xfId="0" applyNumberFormat="1"/>
    <xf numFmtId="0" fontId="4" fillId="0" borderId="0" xfId="0" applyFont="1"/>
    <xf numFmtId="0" fontId="0" fillId="4" borderId="0" xfId="0" applyFill="1"/>
    <xf numFmtId="0" fontId="5" fillId="5" borderId="12" xfId="0" applyFont="1" applyFill="1" applyBorder="1"/>
    <xf numFmtId="0" fontId="5" fillId="5" borderId="0" xfId="0" applyFont="1" applyFill="1" applyAlignment="1">
      <alignment horizontal="center"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0" fillId="5" borderId="0" xfId="0" applyFill="1"/>
    <xf numFmtId="0" fontId="6" fillId="6" borderId="7" xfId="0" applyFont="1" applyFill="1" applyBorder="1"/>
    <xf numFmtId="0" fontId="6" fillId="6" borderId="8" xfId="0" applyFont="1" applyFill="1" applyBorder="1"/>
    <xf numFmtId="0" fontId="6" fillId="6" borderId="0" xfId="0" applyFont="1" applyFill="1" applyBorder="1"/>
    <xf numFmtId="0" fontId="6" fillId="6" borderId="9" xfId="0" applyFont="1" applyFill="1" applyBorder="1"/>
    <xf numFmtId="0" fontId="6" fillId="6" borderId="10" xfId="0" applyFont="1" applyFill="1" applyBorder="1"/>
    <xf numFmtId="0" fontId="6" fillId="6" borderId="11" xfId="0" applyFont="1" applyFill="1" applyBorder="1"/>
  </cellXfs>
  <cellStyles count="1">
    <cellStyle name="Normal" xfId="0" builtinId="0"/>
  </cellStyles>
  <dxfs count="26">
    <dxf>
      <font>
        <b/>
        <i val="0"/>
        <color rgb="FFB4C4BE"/>
      </font>
    </dxf>
    <dxf>
      <font>
        <b val="0"/>
        <i val="0"/>
        <color rgb="FFFFFFFF"/>
      </font>
      <fill>
        <patternFill>
          <bgColor rgb="FF16302A"/>
        </patternFill>
      </fill>
    </dxf>
    <dxf>
      <font>
        <b/>
        <i val="0"/>
        <color rgb="FFB4C4BE"/>
      </font>
    </dxf>
    <dxf>
      <font>
        <b val="0"/>
        <i val="0"/>
        <sz val="8"/>
        <color rgb="FFFFFFFF"/>
      </font>
      <fill>
        <patternFill>
          <bgColor rgb="FF16302A"/>
        </patternFill>
      </fill>
      <border>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auto="1"/>
        <name val="Arial"/>
        <family val="2"/>
        <scheme val="none"/>
      </font>
      <numFmt numFmtId="165" formatCode="0.000"/>
    </dxf>
    <dxf>
      <font>
        <b val="0"/>
        <i val="0"/>
        <strike val="0"/>
        <condense val="0"/>
        <extend val="0"/>
        <outline val="0"/>
        <shadow val="0"/>
        <u val="none"/>
        <vertAlign val="baseline"/>
        <sz val="10"/>
        <color auto="1"/>
        <name val="Arial"/>
        <family val="2"/>
        <scheme val="none"/>
      </font>
      <numFmt numFmtId="165" formatCode="0.000"/>
    </dxf>
    <dxf>
      <font>
        <b val="0"/>
        <i val="0"/>
        <strike val="0"/>
        <condense val="0"/>
        <extend val="0"/>
        <outline val="0"/>
        <shadow val="0"/>
        <u val="none"/>
        <vertAlign val="baseline"/>
        <sz val="10"/>
        <color auto="1"/>
        <name val="Arial"/>
        <family val="2"/>
        <scheme val="none"/>
      </font>
      <numFmt numFmtId="165" formatCode="0.000"/>
    </dxf>
    <dxf>
      <font>
        <b val="0"/>
        <i val="0"/>
        <strike val="0"/>
        <condense val="0"/>
        <extend val="0"/>
        <outline val="0"/>
        <shadow val="0"/>
        <u val="none"/>
        <vertAlign val="baseline"/>
        <sz val="10"/>
        <color auto="1"/>
        <name val="Arial"/>
        <family val="2"/>
        <scheme val="none"/>
      </font>
      <numFmt numFmtId="165" formatCode="0.000"/>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yyyy\-mm\-dd"/>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indexed="64"/>
          <bgColor rgb="FF0B5345"/>
        </patternFill>
      </fill>
      <alignment horizontal="center" vertical="bottom" textRotation="0" wrapText="0" indent="0" justifyLastLine="0" shrinkToFit="0" readingOrder="0"/>
    </dxf>
  </dxfs>
  <tableStyles count="2" defaultTableStyle="TableStyleMedium9" defaultPivotStyle="PivotStyleLight16">
    <tableStyle name="Dashboard Slicer" pivot="0" table="0" count="10" xr9:uid="{1DAF5B67-9BC8-40A4-9E2D-1E6A5A205718}">
      <tableStyleElement type="wholeTable" dxfId="3"/>
      <tableStyleElement type="headerRow" dxfId="2"/>
    </tableStyle>
    <tableStyle name="Dashboard Timeline" pivot="0" table="0" count="8" xr9:uid="{52D3831F-4112-45D5-A66A-2ED3B666600E}">
      <tableStyleElement type="wholeTable" dxfId="1"/>
      <tableStyleElement type="headerRow" dxfId="0"/>
    </tableStyle>
  </tableStyles>
  <colors>
    <mruColors>
      <color rgb="FF003300"/>
    </mruColors>
  </colors>
  <extLst>
    <ext xmlns:x14="http://schemas.microsoft.com/office/spreadsheetml/2009/9/main" uri="{46F421CA-312F-682f-3DD2-61675219B42D}">
      <x14:dxfs count="8">
        <dxf>
          <font>
            <b val="0"/>
            <i val="0"/>
            <color rgb="FFB4C4BE"/>
          </font>
          <fill>
            <patternFill>
              <bgColor rgb="FF1E2B27"/>
            </patternFill>
          </fill>
          <border>
            <left style="thin">
              <color rgb="FF2F4A42"/>
            </left>
            <right style="thin">
              <color rgb="FF2F4A42"/>
            </right>
            <top style="thin">
              <color rgb="FF2F4A42"/>
            </top>
            <bottom style="thin">
              <color rgb="FF2F4A42"/>
            </bottom>
          </border>
        </dxf>
        <dxf>
          <font>
            <b val="0"/>
            <i val="0"/>
            <color rgb="FFB4C4BE"/>
          </font>
          <fill>
            <patternFill>
              <bgColor rgb="FF1E2B27"/>
            </patternFill>
          </fill>
          <border>
            <left style="thin">
              <color rgb="FF2F4A42"/>
            </left>
            <right style="thin">
              <color rgb="FF2F4A42"/>
            </right>
            <top style="thin">
              <color rgb="FF2F4A42"/>
            </top>
            <bottom style="thin">
              <color rgb="FF2F4A42"/>
            </bottom>
          </border>
        </dxf>
        <dxf>
          <font>
            <b val="0"/>
            <i val="0"/>
            <color rgb="FFFFFFFF"/>
          </font>
          <fill>
            <patternFill>
              <bgColor rgb="FF3D5F55"/>
            </patternFill>
          </fill>
          <border>
            <left style="thin">
              <color rgb="FFFFFFFF"/>
            </left>
            <right style="thin">
              <color rgb="FFFFFFFF"/>
            </right>
            <top style="thin">
              <color rgb="FFFFFFFF"/>
            </top>
            <bottom style="thin">
              <color rgb="FFFFFFFF"/>
            </bottom>
          </border>
        </dxf>
        <dxf>
          <font>
            <b val="0"/>
            <i val="0"/>
            <color rgb="FFFFFFFF"/>
          </font>
          <fill>
            <patternFill>
              <bgColor rgb="FF5DCAA5"/>
            </patternFill>
          </fill>
          <border>
            <left style="thin">
              <color rgb="FFFFFFFF"/>
            </left>
            <right style="thin">
              <color rgb="FFFFFFFF"/>
            </right>
            <top style="thin">
              <color rgb="FFFFFFFF"/>
            </top>
            <bottom style="thin">
              <color rgb="FFFFFFFF"/>
            </bottom>
          </border>
        </dxf>
        <dxf>
          <font>
            <b val="0"/>
            <i val="0"/>
            <color rgb="FF6B7F78"/>
          </font>
          <fill>
            <patternFill>
              <bgColor rgb="FF1E2B27"/>
            </patternFill>
          </fill>
          <border>
            <left style="thin">
              <color rgb="FF2F4A42"/>
            </left>
            <right style="thin">
              <color rgb="FF2F4A42"/>
            </right>
            <top style="thin">
              <color rgb="FF2F4A42"/>
            </top>
            <bottom style="thin">
              <color rgb="FF2F4A42"/>
            </bottom>
          </border>
        </dxf>
        <dxf>
          <font>
            <b val="0"/>
            <i val="0"/>
            <color rgb="FFB4C4BE"/>
          </font>
          <fill>
            <patternFill>
              <bgColor rgb="FF2F4A42"/>
            </patternFill>
          </fill>
          <border>
            <left style="thin">
              <color rgb="FF2F4A42"/>
            </left>
            <right style="thin">
              <color rgb="FF2F4A42"/>
            </right>
            <top style="thin">
              <color rgb="FF2F4A42"/>
            </top>
            <bottom style="thin">
              <color rgb="FF2F4A42"/>
            </bottom>
          </border>
        </dxf>
        <dxf>
          <font>
            <b val="0"/>
            <i val="0"/>
            <color rgb="FF6B7F78"/>
          </font>
          <fill>
            <patternFill>
              <bgColor rgb="FF1E2B27"/>
            </patternFill>
          </fill>
          <border>
            <left style="thin">
              <color rgb="FF2F4A42"/>
            </left>
            <right style="thin">
              <color rgb="FF2F4A42"/>
            </right>
            <top style="thin">
              <color rgb="FF2F4A42"/>
            </top>
            <bottom style="thin">
              <color rgb="FF2F4A42"/>
            </bottom>
          </border>
        </dxf>
        <dxf>
          <font>
            <b val="0"/>
            <i val="0"/>
            <color rgb="FFFFFFFF"/>
          </font>
          <fill>
            <patternFill>
              <bgColor rgb="FF00B050"/>
            </patternFill>
          </fill>
          <border>
            <left style="thin">
              <color rgb="FFFFFFFF"/>
            </left>
            <right style="thin">
              <color rgb="FFFFFFFF"/>
            </right>
            <top style="thin">
              <color rgb="FFFFFFFF"/>
            </top>
            <bottom style="thin">
              <color rgb="FFFFFFFF"/>
            </bottom>
          </border>
        </dxf>
      </x14:dxfs>
    </ext>
    <ext xmlns:x14="http://schemas.microsoft.com/office/spreadsheetml/2009/9/main" uri="{EB79DEF2-80B8-43e5-95BD-54CBDDF9020C}">
      <x14:slicerStyles defaultSlicerStyle="SlicerStyleLight1">
        <x14:slicerStyle name="Dashboard Slicer">
          <x14:slicerStyleElements>
            <x14:slicerStyleElement type="unselectedItemWithData" dxfId="5"/>
            <x14:slicerStyleElement type="unselectedItemWithNoData" dxfId="4"/>
            <x14:slicerStyleElement type="selectedItemWithData" dxfId="7"/>
            <x14:slicerStyleElement type="selectedItemWithNoData" dxfId="6"/>
            <x14:slicerStyleElement type="hoveredUnselectedItemWithData" dxfId="2"/>
            <x14:slicerStyleElement type="hoveredSelectedItemWithData" dxfId="3"/>
            <x14:slicerStyleElement type="hoveredUnselectedItemWithNoData" dxfId="0"/>
            <x14:slicerStyleElement type="hoveredSelectedItemWithNoData" dxfId="1"/>
          </x14:slicerStyleElements>
        </x14:slicerStyle>
      </x14:slicerStyles>
    </ext>
    <ext xmlns:x15="http://schemas.microsoft.com/office/spreadsheetml/2010/11/main" uri="{A0A4C193-F2C1-4fcb-8827-314CF55A85BB}">
      <x15:dxfs count="6">
        <dxf>
          <font>
            <b val="0"/>
            <i val="0"/>
            <color rgb="FFB4C4BE"/>
          </font>
          <fill>
            <patternFill>
              <bgColor rgb="FF2F4A42"/>
            </patternFill>
          </fill>
        </dxf>
        <dxf>
          <font>
            <b val="0"/>
            <i val="0"/>
            <color rgb="FFFFFFFF"/>
          </font>
          <fill>
            <patternFill>
              <bgColor rgb="FF00B050"/>
            </patternFill>
          </fill>
        </dxf>
        <dxf>
          <font>
            <b val="0"/>
            <i val="0"/>
            <color rgb="FFB4C4BE"/>
          </font>
        </dxf>
        <dxf>
          <font>
            <b val="0"/>
            <i val="0"/>
            <color rgb="FFB4C4BE"/>
          </font>
        </dxf>
        <dxf>
          <font>
            <b val="0"/>
            <i val="0"/>
            <color rgb="FFB4C4BE"/>
          </font>
        </dxf>
        <dxf>
          <font>
            <b val="0"/>
            <i val="0"/>
            <color rgb="FFB4C4BE"/>
          </font>
        </dxf>
      </x15:dxfs>
    </ext>
    <ext xmlns:x15="http://schemas.microsoft.com/office/spreadsheetml/2010/11/main" uri="{9260A510-F301-46a8-8635-F512D64BE5F5}">
      <x15:timelineStyles defaultTimelineStyle="TimeSlicerStyleLight1">
        <x15:timelineStyle name="Dashboard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[Bank_Financing_Dashboard_Exam.xlsx]calc!ptProduct</c:name>
    <c:fmtId val="0"/>
  </c:pivotSource>
  <c:chart>
    <c:title>
      <c:tx>
        <c:rich>
          <a:bodyPr rot="0" spcFirstLastPara="1" vertOverflow="ellipsis" vert="horz" wrap="square" anchor="ctr" anchorCtr="1"/>
          <a:lstStyle/>
          <a:p>
            <a:pPr>
              <a:defRPr sz="1400" b="0" i="0" u="none" strike="noStrike" kern="1200" spc="0" baseline="0">
                <a:solidFill>
                  <a:srgbClr val="00B050"/>
                </a:solidFill>
                <a:latin typeface="Calibri"/>
                <a:ea typeface="Calibri"/>
                <a:cs typeface="Calibri"/>
              </a:defRPr>
            </a:pPr>
            <a:r>
              <a:rPr lang="en-GB"/>
              <a:t>Approved Amount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Calibri"/>
              <a:ea typeface="Calibri"/>
              <a:cs typeface="Calibri"/>
            </a:defRPr>
          </a:pPr>
          <a:endParaRPr lang="en-US"/>
        </a:p>
      </c:txPr>
    </c:title>
    <c:autoTitleDeleted val="0"/>
    <c:pivotFmts>
      <c:pivotFmt>
        <c:idx val="0"/>
        <c:spPr>
          <a:solidFill>
            <a:srgbClr val="00B050"/>
          </a:solidFill>
          <a:ln>
            <a:noFill/>
          </a:ln>
          <a:effectLst/>
          <a:extLs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B050"/>
                  </a:solidFill>
                  <a:latin typeface="Calibri"/>
                  <a:ea typeface="Calibri"/>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calc!$G$1</c:f>
              <c:strCache>
                <c:ptCount val="1"/>
                <c:pt idx="0">
                  <c:v>Total</c:v>
                </c:pt>
              </c:strCache>
            </c:strRef>
          </c:tx>
          <c:spPr>
            <a:solidFill>
              <a:srgbClr val="00B050"/>
            </a:solidFill>
            <a:ln>
              <a:noFill/>
            </a:ln>
            <a:effectLst/>
            <a:extLst>
              <a:ext uri="{91240B29-F687-4F45-9708-019B960494DF}">
                <a14:hiddenLine xmlns:a14="http://schemas.microsoft.com/office/drawing/2010/main">
                  <a:noFill/>
                </a14:hiddenLine>
              </a:ext>
            </a:extLst>
          </c:spPr>
          <c:invertIfNegative val="0"/>
          <c:cat>
            <c:strRef>
              <c:f>calc!$F$2:$F$6</c:f>
              <c:strCache>
                <c:ptCount val="4"/>
                <c:pt idx="0">
                  <c:v>Home Ijara</c:v>
                </c:pt>
                <c:pt idx="1">
                  <c:v>SME Murabaha</c:v>
                </c:pt>
                <c:pt idx="2">
                  <c:v>Personal Tawarruq</c:v>
                </c:pt>
                <c:pt idx="3">
                  <c:v>Auto Murabaha</c:v>
                </c:pt>
              </c:strCache>
            </c:strRef>
          </c:cat>
          <c:val>
            <c:numRef>
              <c:f>calc!$G$2:$G$6</c:f>
              <c:numCache>
                <c:formatCode>#,##0</c:formatCode>
                <c:ptCount val="4"/>
                <c:pt idx="0">
                  <c:v>15307100</c:v>
                </c:pt>
                <c:pt idx="1">
                  <c:v>10631400</c:v>
                </c:pt>
                <c:pt idx="2">
                  <c:v>5322100</c:v>
                </c:pt>
                <c:pt idx="3">
                  <c:v>3490800</c:v>
                </c:pt>
              </c:numCache>
            </c:numRef>
          </c:val>
          <c:extLst>
            <c:ext xmlns:c16="http://schemas.microsoft.com/office/drawing/2014/chart" uri="{C3380CC4-5D6E-409C-BE32-E72D297353CC}">
              <c16:uniqueId val="{00000000-772A-45FE-AED1-DDDB74E0F59A}"/>
            </c:ext>
          </c:extLst>
        </c:ser>
        <c:dLbls>
          <c:showLegendKey val="0"/>
          <c:showVal val="0"/>
          <c:showCatName val="0"/>
          <c:showSerName val="0"/>
          <c:showPercent val="0"/>
          <c:showBubbleSize val="0"/>
        </c:dLbls>
        <c:gapWidth val="100"/>
        <c:axId val="1500490320"/>
        <c:axId val="138868896"/>
      </c:barChart>
      <c:catAx>
        <c:axId val="1500490320"/>
        <c:scaling>
          <c:orientation val="minMax"/>
        </c:scaling>
        <c:delete val="0"/>
        <c:axPos val="b"/>
        <c:numFmt formatCode="General" sourceLinked="1"/>
        <c:majorTickMark val="none"/>
        <c:minorTickMark val="none"/>
        <c:tickLblPos val="nextTo"/>
        <c:spPr>
          <a:noFill/>
          <a:ln w="9525" cap="flat" cmpd="sng" algn="ctr">
            <a:solidFill>
              <a:srgbClr val="2F4A42"/>
            </a:solidFill>
            <a:round/>
          </a:ln>
          <a:effectLst/>
        </c:spPr>
        <c:txPr>
          <a:bodyPr rot="-60000000" spcFirstLastPara="1" vertOverflow="ellipsis" vert="horz" wrap="square" anchor="ctr" anchorCtr="1"/>
          <a:lstStyle/>
          <a:p>
            <a:pPr>
              <a:defRPr sz="900" b="0" i="0" u="none" strike="noStrike" kern="1200" baseline="0">
                <a:solidFill>
                  <a:srgbClr val="00B050"/>
                </a:solidFill>
                <a:latin typeface="Calibri"/>
                <a:ea typeface="Calibri"/>
                <a:cs typeface="Calibri"/>
              </a:defRPr>
            </a:pPr>
            <a:endParaRPr lang="en-US"/>
          </a:p>
        </c:txPr>
        <c:crossAx val="138868896"/>
        <c:crosses val="autoZero"/>
        <c:auto val="1"/>
        <c:lblAlgn val="ctr"/>
        <c:lblOffset val="100"/>
        <c:noMultiLvlLbl val="0"/>
      </c:catAx>
      <c:valAx>
        <c:axId val="138868896"/>
        <c:scaling>
          <c:orientation val="minMax"/>
        </c:scaling>
        <c:delete val="0"/>
        <c:axPos val="l"/>
        <c:majorGridlines>
          <c:spPr>
            <a:ln w="9525" cap="flat" cmpd="sng" algn="ctr">
              <a:solidFill>
                <a:srgbClr val="2F4A42"/>
              </a:solidFill>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00B050"/>
                </a:solidFill>
                <a:latin typeface="Calibri"/>
                <a:ea typeface="Calibri"/>
                <a:cs typeface="Calibri"/>
              </a:defRPr>
            </a:pPr>
            <a:endParaRPr lang="en-US"/>
          </a:p>
        </c:txPr>
        <c:crossAx val="1500490320"/>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baseline="0">
                    <a:solidFill>
                      <a:srgbClr val="00B050"/>
                    </a:solidFill>
                    <a:latin typeface="Calibri"/>
                    <a:ea typeface="Calibri"/>
                    <a:cs typeface="Calibri"/>
                  </a:defRPr>
                </a:pPr>
                <a:endParaRPr lang="en-US"/>
              </a:p>
            </c:txPr>
          </c:dispUnitsLbl>
        </c:dispUnits>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900">
          <a:solidFill>
            <a:srgbClr val="00B050"/>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[Bank_Financing_Dashboard_Exam.xlsx]calc!ptChannel</c:name>
    <c:fmtId val="0"/>
  </c:pivotSource>
  <c:chart>
    <c:title>
      <c:tx>
        <c:rich>
          <a:bodyPr rot="0" spcFirstLastPara="1" vertOverflow="ellipsis" vert="horz" wrap="square" anchor="ctr" anchorCtr="1"/>
          <a:lstStyle/>
          <a:p>
            <a:pPr>
              <a:defRPr sz="1400" b="0" i="0" u="none" strike="noStrike" kern="1200" spc="0" baseline="0">
                <a:solidFill>
                  <a:srgbClr val="00B050"/>
                </a:solidFill>
                <a:latin typeface="Calibri"/>
                <a:ea typeface="Calibri"/>
                <a:cs typeface="Calibri"/>
              </a:defRPr>
            </a:pPr>
            <a:r>
              <a:rPr lang="en-GB"/>
              <a:t>Approval Rate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Calibri"/>
              <a:ea typeface="Calibri"/>
              <a:cs typeface="Calibri"/>
            </a:defRPr>
          </a:pPr>
          <a:endParaRPr lang="en-US"/>
        </a:p>
      </c:txPr>
    </c:title>
    <c:autoTitleDeleted val="0"/>
    <c:pivotFmts>
      <c:pivotFmt>
        <c:idx val="0"/>
        <c:spPr>
          <a:solidFill>
            <a:srgbClr val="00B050"/>
          </a:solidFill>
          <a:ln>
            <a:noFill/>
          </a:ln>
          <a:effectLst/>
          <a:extLs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B050"/>
                  </a:solidFill>
                  <a:latin typeface="Calibri"/>
                  <a:ea typeface="Calibri"/>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5A30"/>
          </a:solidFill>
          <a:ln>
            <a:noFill/>
          </a:ln>
          <a:effectLst/>
          <a:extLs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B050"/>
                  </a:solidFill>
                  <a:latin typeface="Calibri"/>
                  <a:ea typeface="Calibri"/>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calc!$H$8:$H$9</c:f>
              <c:strCache>
                <c:ptCount val="1"/>
                <c:pt idx="0">
                  <c:v>Approved</c:v>
                </c:pt>
              </c:strCache>
            </c:strRef>
          </c:tx>
          <c:spPr>
            <a:solidFill>
              <a:srgbClr val="00B050"/>
            </a:solidFill>
            <a:ln>
              <a:noFill/>
            </a:ln>
            <a:effectLst/>
            <a:extLst>
              <a:ext uri="{91240B29-F687-4F45-9708-019B960494DF}">
                <a14:hiddenLine xmlns:a14="http://schemas.microsoft.com/office/drawing/2010/main">
                  <a:noFill/>
                </a14:hiddenLine>
              </a:ext>
            </a:extLst>
          </c:spPr>
          <c:invertIfNegative val="0"/>
          <c:cat>
            <c:strRef>
              <c:f>calc!$G$10:$G$13</c:f>
              <c:strCache>
                <c:ptCount val="3"/>
                <c:pt idx="0">
                  <c:v>Branch</c:v>
                </c:pt>
                <c:pt idx="1">
                  <c:v>Mobile App</c:v>
                </c:pt>
                <c:pt idx="2">
                  <c:v>Online</c:v>
                </c:pt>
              </c:strCache>
            </c:strRef>
          </c:cat>
          <c:val>
            <c:numRef>
              <c:f>calc!$H$10:$H$13</c:f>
              <c:numCache>
                <c:formatCode>0.00%</c:formatCode>
                <c:ptCount val="3"/>
                <c:pt idx="0">
                  <c:v>0.74965229485396379</c:v>
                </c:pt>
                <c:pt idx="1">
                  <c:v>0.6449704142011834</c:v>
                </c:pt>
                <c:pt idx="2">
                  <c:v>0.73076923076923073</c:v>
                </c:pt>
              </c:numCache>
            </c:numRef>
          </c:val>
          <c:extLst>
            <c:ext xmlns:c16="http://schemas.microsoft.com/office/drawing/2014/chart" uri="{C3380CC4-5D6E-409C-BE32-E72D297353CC}">
              <c16:uniqueId val="{00000000-F9F8-44EF-B065-F96CE725B26D}"/>
            </c:ext>
          </c:extLst>
        </c:ser>
        <c:ser>
          <c:idx val="1"/>
          <c:order val="1"/>
          <c:tx>
            <c:strRef>
              <c:f>calc!$I$8:$I$9</c:f>
              <c:strCache>
                <c:ptCount val="1"/>
                <c:pt idx="0">
                  <c:v>Rejected</c:v>
                </c:pt>
              </c:strCache>
            </c:strRef>
          </c:tx>
          <c:spPr>
            <a:solidFill>
              <a:srgbClr val="D85A30"/>
            </a:solidFill>
            <a:ln>
              <a:noFill/>
            </a:ln>
            <a:effectLst/>
            <a:extLst>
              <a:ext uri="{91240B29-F687-4F45-9708-019B960494DF}">
                <a14:hiddenLine xmlns:a14="http://schemas.microsoft.com/office/drawing/2010/main">
                  <a:noFill/>
                </a14:hiddenLine>
              </a:ext>
            </a:extLst>
          </c:spPr>
          <c:invertIfNegative val="0"/>
          <c:cat>
            <c:strRef>
              <c:f>calc!$G$10:$G$13</c:f>
              <c:strCache>
                <c:ptCount val="3"/>
                <c:pt idx="0">
                  <c:v>Branch</c:v>
                </c:pt>
                <c:pt idx="1">
                  <c:v>Mobile App</c:v>
                </c:pt>
                <c:pt idx="2">
                  <c:v>Online</c:v>
                </c:pt>
              </c:strCache>
            </c:strRef>
          </c:cat>
          <c:val>
            <c:numRef>
              <c:f>calc!$I$10:$I$13</c:f>
              <c:numCache>
                <c:formatCode>0.00%</c:formatCode>
                <c:ptCount val="3"/>
                <c:pt idx="0">
                  <c:v>0.25034770514603616</c:v>
                </c:pt>
                <c:pt idx="1">
                  <c:v>0.35502958579881655</c:v>
                </c:pt>
                <c:pt idx="2">
                  <c:v>0.26923076923076922</c:v>
                </c:pt>
              </c:numCache>
            </c:numRef>
          </c:val>
          <c:extLst>
            <c:ext xmlns:c16="http://schemas.microsoft.com/office/drawing/2014/chart" uri="{C3380CC4-5D6E-409C-BE32-E72D297353CC}">
              <c16:uniqueId val="{00000001-F9F8-44EF-B065-F96CE725B26D}"/>
            </c:ext>
          </c:extLst>
        </c:ser>
        <c:dLbls>
          <c:showLegendKey val="0"/>
          <c:showVal val="0"/>
          <c:showCatName val="0"/>
          <c:showSerName val="0"/>
          <c:showPercent val="0"/>
          <c:showBubbleSize val="0"/>
        </c:dLbls>
        <c:gapWidth val="150"/>
        <c:overlap val="100"/>
        <c:axId val="1500490784"/>
        <c:axId val="138911616"/>
      </c:barChart>
      <c:catAx>
        <c:axId val="1500490784"/>
        <c:scaling>
          <c:orientation val="minMax"/>
        </c:scaling>
        <c:delete val="0"/>
        <c:axPos val="l"/>
        <c:numFmt formatCode="General" sourceLinked="1"/>
        <c:majorTickMark val="none"/>
        <c:minorTickMark val="none"/>
        <c:tickLblPos val="nextTo"/>
        <c:spPr>
          <a:noFill/>
          <a:ln w="9525" cap="flat" cmpd="sng" algn="ctr">
            <a:solidFill>
              <a:srgbClr val="2F4A42"/>
            </a:solidFill>
            <a:round/>
          </a:ln>
          <a:effectLst/>
        </c:spPr>
        <c:txPr>
          <a:bodyPr rot="-60000000" spcFirstLastPara="1" vertOverflow="ellipsis" vert="horz" wrap="square" anchor="ctr" anchorCtr="1"/>
          <a:lstStyle/>
          <a:p>
            <a:pPr>
              <a:defRPr sz="900" b="0" i="0" u="none" strike="noStrike" kern="1200" baseline="0">
                <a:solidFill>
                  <a:srgbClr val="00B050"/>
                </a:solidFill>
                <a:latin typeface="Calibri"/>
                <a:ea typeface="Calibri"/>
                <a:cs typeface="Calibri"/>
              </a:defRPr>
            </a:pPr>
            <a:endParaRPr lang="en-US"/>
          </a:p>
        </c:txPr>
        <c:crossAx val="138911616"/>
        <c:crosses val="autoZero"/>
        <c:auto val="1"/>
        <c:lblAlgn val="ctr"/>
        <c:lblOffset val="100"/>
        <c:noMultiLvlLbl val="0"/>
      </c:catAx>
      <c:valAx>
        <c:axId val="138911616"/>
        <c:scaling>
          <c:orientation val="minMax"/>
        </c:scaling>
        <c:delete val="0"/>
        <c:axPos val="b"/>
        <c:majorGridlines>
          <c:spPr>
            <a:ln w="9525" cap="flat" cmpd="sng" algn="ctr">
              <a:solidFill>
                <a:srgbClr val="2F4A42"/>
              </a:solidFill>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00B050"/>
                </a:solidFill>
                <a:latin typeface="Calibri"/>
                <a:ea typeface="Calibri"/>
                <a:cs typeface="Calibri"/>
              </a:defRPr>
            </a:pPr>
            <a:endParaRPr lang="en-US"/>
          </a:p>
        </c:txPr>
        <c:crossAx val="1500490784"/>
        <c:crosses val="autoZero"/>
        <c:crossBetween val="between"/>
      </c:valAx>
      <c:spPr>
        <a:noFill/>
        <a:ln>
          <a:noFill/>
        </a:ln>
        <a:effectLst/>
        <a:extLst>
          <a:ext uri="{909E8E84-426E-40DD-AFC4-6F175D3DCCD1}">
            <a14:hiddenFill xmlns:a14="http://schemas.microsoft.com/office/drawing/2010/main">
              <a:noFill/>
            </a14:hiddenFill>
          </a:ext>
        </a:ex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B050"/>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900">
          <a:solidFill>
            <a:srgbClr val="00B050"/>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[Bank_Financing_Dashboard_Exam.xlsx]calc!ptMonth</c:name>
    <c:fmtId val="0"/>
  </c:pivotSource>
  <c:chart>
    <c:title>
      <c:tx>
        <c:rich>
          <a:bodyPr rot="0" spcFirstLastPara="1" vertOverflow="ellipsis" vert="horz" wrap="square" anchor="ctr" anchorCtr="1"/>
          <a:lstStyle/>
          <a:p>
            <a:pPr>
              <a:defRPr sz="1400" b="0" i="0" u="none" strike="noStrike" kern="1200" spc="0" baseline="0">
                <a:solidFill>
                  <a:srgbClr val="00B050"/>
                </a:solidFill>
                <a:latin typeface="Calibri"/>
                <a:ea typeface="Calibri"/>
                <a:cs typeface="Calibri"/>
              </a:defRPr>
            </a:pPr>
            <a:r>
              <a:rPr lang="en-GB"/>
              <a:t>Approved Amount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Calibri"/>
              <a:ea typeface="Calibri"/>
              <a:cs typeface="Calibri"/>
            </a:defRPr>
          </a:pPr>
          <a:endParaRPr lang="en-US"/>
        </a:p>
      </c:txPr>
    </c:title>
    <c:autoTitleDeleted val="0"/>
    <c:pivotFmts>
      <c:pivotFmt>
        <c:idx val="0"/>
        <c:spPr>
          <a:ln w="28575" cap="rnd">
            <a:solidFill>
              <a:srgbClr val="00B050"/>
            </a:solidFill>
            <a:round/>
          </a:ln>
          <a:effectLst/>
        </c:spPr>
        <c:marker>
          <c:symbol val="square"/>
          <c:size val="6"/>
          <c:spPr>
            <a:solidFill>
              <a:srgbClr val="00B050"/>
            </a:solidFill>
            <a:ln w="28575">
              <a:solidFill>
                <a:srgbClr val="00B050"/>
              </a:solidFill>
              <a:prstDash val="soli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00B050"/>
                  </a:solidFill>
                  <a:latin typeface="Calibri"/>
                  <a:ea typeface="Calibri"/>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calc!$E$7</c:f>
              <c:strCache>
                <c:ptCount val="1"/>
                <c:pt idx="0">
                  <c:v>Total</c:v>
                </c:pt>
              </c:strCache>
            </c:strRef>
          </c:tx>
          <c:spPr>
            <a:ln w="28575" cap="rnd">
              <a:solidFill>
                <a:srgbClr val="00B050"/>
              </a:solidFill>
              <a:round/>
            </a:ln>
            <a:effectLst/>
          </c:spPr>
          <c:marker>
            <c:symbol val="square"/>
            <c:size val="6"/>
            <c:spPr>
              <a:solidFill>
                <a:srgbClr val="00B050"/>
              </a:solidFill>
              <a:ln w="28575">
                <a:solidFill>
                  <a:srgbClr val="00B050"/>
                </a:solidFill>
                <a:prstDash val="solid"/>
              </a:ln>
              <a:effectLst/>
            </c:spPr>
          </c:marker>
          <c:cat>
            <c:strRef>
              <c:f>calc!$D$8:$D$17</c:f>
              <c:strCache>
                <c:ptCount val="9"/>
                <c:pt idx="0">
                  <c:v>Jan</c:v>
                </c:pt>
                <c:pt idx="1">
                  <c:v>Feb</c:v>
                </c:pt>
                <c:pt idx="2">
                  <c:v>Mar</c:v>
                </c:pt>
                <c:pt idx="3">
                  <c:v>Apr</c:v>
                </c:pt>
                <c:pt idx="4">
                  <c:v>May</c:v>
                </c:pt>
                <c:pt idx="5">
                  <c:v>Jun</c:v>
                </c:pt>
                <c:pt idx="6">
                  <c:v>Jul</c:v>
                </c:pt>
                <c:pt idx="7">
                  <c:v>Aug</c:v>
                </c:pt>
                <c:pt idx="8">
                  <c:v>Sep</c:v>
                </c:pt>
              </c:strCache>
            </c:strRef>
          </c:cat>
          <c:val>
            <c:numRef>
              <c:f>calc!$E$8:$E$17</c:f>
              <c:numCache>
                <c:formatCode>#,##0</c:formatCode>
                <c:ptCount val="9"/>
                <c:pt idx="0">
                  <c:v>3763400</c:v>
                </c:pt>
                <c:pt idx="1">
                  <c:v>2617900</c:v>
                </c:pt>
                <c:pt idx="2">
                  <c:v>5313100</c:v>
                </c:pt>
                <c:pt idx="3">
                  <c:v>4301000</c:v>
                </c:pt>
                <c:pt idx="4">
                  <c:v>3871700</c:v>
                </c:pt>
                <c:pt idx="5">
                  <c:v>3770000</c:v>
                </c:pt>
                <c:pt idx="6">
                  <c:v>3863500</c:v>
                </c:pt>
                <c:pt idx="7">
                  <c:v>4535100</c:v>
                </c:pt>
                <c:pt idx="8">
                  <c:v>2715700</c:v>
                </c:pt>
              </c:numCache>
            </c:numRef>
          </c:val>
          <c:smooth val="0"/>
          <c:extLst>
            <c:ext xmlns:c16="http://schemas.microsoft.com/office/drawing/2014/chart" uri="{C3380CC4-5D6E-409C-BE32-E72D297353CC}">
              <c16:uniqueId val="{00000000-0D94-4540-87F7-DA60B78F3BAC}"/>
            </c:ext>
          </c:extLst>
        </c:ser>
        <c:dLbls>
          <c:showLegendKey val="0"/>
          <c:showVal val="0"/>
          <c:showCatName val="0"/>
          <c:showSerName val="0"/>
          <c:showPercent val="0"/>
          <c:showBubbleSize val="0"/>
        </c:dLbls>
        <c:marker val="1"/>
        <c:smooth val="0"/>
        <c:axId val="1525933664"/>
        <c:axId val="138915456"/>
      </c:lineChart>
      <c:catAx>
        <c:axId val="1525933664"/>
        <c:scaling>
          <c:orientation val="minMax"/>
        </c:scaling>
        <c:delete val="0"/>
        <c:axPos val="b"/>
        <c:numFmt formatCode="General" sourceLinked="1"/>
        <c:majorTickMark val="none"/>
        <c:minorTickMark val="none"/>
        <c:tickLblPos val="nextTo"/>
        <c:spPr>
          <a:noFill/>
          <a:ln w="9525" cap="flat" cmpd="sng" algn="ctr">
            <a:solidFill>
              <a:srgbClr val="2F4A42"/>
            </a:solidFill>
            <a:round/>
          </a:ln>
          <a:effectLst/>
        </c:spPr>
        <c:txPr>
          <a:bodyPr rot="-60000000" spcFirstLastPara="1" vertOverflow="ellipsis" vert="horz" wrap="square" anchor="ctr" anchorCtr="1"/>
          <a:lstStyle/>
          <a:p>
            <a:pPr>
              <a:defRPr sz="900" b="0" i="0" u="none" strike="noStrike" kern="1200" baseline="0">
                <a:solidFill>
                  <a:srgbClr val="00B050"/>
                </a:solidFill>
                <a:latin typeface="Calibri"/>
                <a:ea typeface="Calibri"/>
                <a:cs typeface="Calibri"/>
              </a:defRPr>
            </a:pPr>
            <a:endParaRPr lang="en-US"/>
          </a:p>
        </c:txPr>
        <c:crossAx val="138915456"/>
        <c:crosses val="autoZero"/>
        <c:auto val="1"/>
        <c:lblAlgn val="ctr"/>
        <c:lblOffset val="100"/>
        <c:noMultiLvlLbl val="0"/>
      </c:catAx>
      <c:valAx>
        <c:axId val="138915456"/>
        <c:scaling>
          <c:orientation val="minMax"/>
        </c:scaling>
        <c:delete val="0"/>
        <c:axPos val="l"/>
        <c:majorGridlines>
          <c:spPr>
            <a:ln w="9525" cap="flat" cmpd="sng" algn="ctr">
              <a:solidFill>
                <a:srgbClr val="2F4A42"/>
              </a:solidFill>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00B050"/>
                </a:solidFill>
                <a:latin typeface="Calibri"/>
                <a:ea typeface="Calibri"/>
                <a:cs typeface="Calibri"/>
              </a:defRPr>
            </a:pPr>
            <a:endParaRPr lang="en-US"/>
          </a:p>
        </c:txPr>
        <c:crossAx val="1525933664"/>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900">
          <a:solidFill>
            <a:srgbClr val="00B050"/>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[Bank_Financing_Dashboard_Exam.xlsx]calc!ptSegment</c:name>
    <c:fmtId val="0"/>
  </c:pivotSource>
  <c:chart>
    <c:title>
      <c:tx>
        <c:rich>
          <a:bodyPr rot="0" spcFirstLastPara="1" vertOverflow="ellipsis" vert="horz" wrap="square" anchor="ctr" anchorCtr="1"/>
          <a:lstStyle/>
          <a:p>
            <a:pPr>
              <a:defRPr sz="1400" b="0" i="0" u="none" strike="noStrike" kern="1200" spc="0" baseline="0">
                <a:solidFill>
                  <a:srgbClr val="00B050"/>
                </a:solidFill>
                <a:latin typeface="Calibri"/>
                <a:ea typeface="Calibri"/>
                <a:cs typeface="Calibri"/>
              </a:defRPr>
            </a:pPr>
            <a:r>
              <a:rPr lang="en-GB"/>
              <a:t>Approved Amount by Segment</a:t>
            </a:r>
          </a:p>
        </c:rich>
      </c:tx>
      <c:layout>
        <c:manualLayout>
          <c:xMode val="edge"/>
          <c:yMode val="edge"/>
          <c:x val="0.22654474946541342"/>
          <c:y val="2.43337129222234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Calibri"/>
              <a:ea typeface="Calibri"/>
              <a:cs typeface="Calibri"/>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Calibri"/>
                  <a:ea typeface="Calibri"/>
                  <a:cs typeface="Calibri"/>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B4C4BE"/>
          </a:solidFill>
          <a:ln w="19050">
            <a:noFill/>
          </a:ln>
          <a:effectLst/>
          <a:extLst>
            <a:ext uri="{91240B29-F687-4F45-9708-019B960494DF}">
              <a14:hiddenLine xmlns:a14="http://schemas.microsoft.com/office/drawing/2010/main" w="19050">
                <a:solidFill>
                  <a:sysClr val="window" lastClr="FFFFFF"/>
                </a:solidFill>
              </a14:hiddenLine>
            </a:ext>
          </a:extLst>
        </c:spPr>
      </c:pivotFmt>
      <c:pivotFmt>
        <c:idx val="2"/>
        <c:spPr>
          <a:solidFill>
            <a:srgbClr val="00B050"/>
          </a:solidFill>
          <a:ln w="19050">
            <a:noFill/>
          </a:ln>
          <a:effectLst/>
          <a:extLst>
            <a:ext uri="{91240B29-F687-4F45-9708-019B960494DF}">
              <a14:hiddenLine xmlns:a14="http://schemas.microsoft.com/office/drawing/2010/main" w="19050">
                <a:solidFill>
                  <a:sysClr val="window" lastClr="FFFFFF"/>
                </a:solidFill>
              </a14:hiddenLine>
            </a:ext>
          </a:extLst>
        </c:spPr>
      </c:pivotFmt>
      <c:pivotFmt>
        <c:idx val="3"/>
        <c:spPr>
          <a:solidFill>
            <a:srgbClr val="5DCAA5"/>
          </a:solidFill>
          <a:ln w="19050">
            <a:noFill/>
          </a:ln>
          <a:effectLst/>
          <a:extLst>
            <a:ext uri="{91240B29-F687-4F45-9708-019B960494DF}">
              <a14:hiddenLine xmlns:a14="http://schemas.microsoft.com/office/drawing/2010/main" w="19050">
                <a:solidFill>
                  <a:sysClr val="window" lastClr="FFFFFF"/>
                </a:solidFill>
              </a14:hiddenLine>
            </a:ext>
          </a:extLst>
        </c:spPr>
      </c:pivotFmt>
    </c:pivotFmts>
    <c:plotArea>
      <c:layout>
        <c:manualLayout>
          <c:layoutTarget val="inner"/>
          <c:xMode val="edge"/>
          <c:yMode val="edge"/>
          <c:x val="0.21922431057700592"/>
          <c:y val="0.26089572333398697"/>
          <c:w val="0.25151046809726757"/>
          <c:h val="0.66549703045673925"/>
        </c:manualLayout>
      </c:layout>
      <c:doughnutChart>
        <c:varyColors val="1"/>
        <c:ser>
          <c:idx val="0"/>
          <c:order val="0"/>
          <c:tx>
            <c:strRef>
              <c:f>calc!$B$7</c:f>
              <c:strCache>
                <c:ptCount val="1"/>
                <c:pt idx="0">
                  <c:v>Total</c:v>
                </c:pt>
              </c:strCache>
            </c:strRef>
          </c:tx>
          <c:dPt>
            <c:idx val="0"/>
            <c:bubble3D val="0"/>
            <c:spPr>
              <a:solidFill>
                <a:srgbClr val="B4C4BE"/>
              </a:solidFill>
              <a:ln w="19050">
                <a:noFill/>
              </a:ln>
              <a:effectLst/>
              <a:extLst>
                <a:ext uri="{91240B29-F687-4F45-9708-019B960494DF}">
                  <a14:hiddenLine xmlns:a14="http://schemas.microsoft.com/office/drawing/2010/main" w="19050">
                    <a:solidFill>
                      <a:sysClr val="window" lastClr="FFFFFF"/>
                    </a:solidFill>
                  </a14:hiddenLine>
                </a:ext>
              </a:extLst>
            </c:spPr>
            <c:extLst>
              <c:ext xmlns:c16="http://schemas.microsoft.com/office/drawing/2014/chart" uri="{C3380CC4-5D6E-409C-BE32-E72D297353CC}">
                <c16:uniqueId val="{00000001-BE76-44C3-AB84-6DFA2A4B41F0}"/>
              </c:ext>
            </c:extLst>
          </c:dPt>
          <c:dPt>
            <c:idx val="1"/>
            <c:bubble3D val="0"/>
            <c:spPr>
              <a:solidFill>
                <a:srgbClr val="00B050"/>
              </a:solidFill>
              <a:ln w="19050">
                <a:noFill/>
              </a:ln>
              <a:effectLst/>
              <a:extLst>
                <a:ext uri="{91240B29-F687-4F45-9708-019B960494DF}">
                  <a14:hiddenLine xmlns:a14="http://schemas.microsoft.com/office/drawing/2010/main" w="19050">
                    <a:solidFill>
                      <a:sysClr val="window" lastClr="FFFFFF"/>
                    </a:solidFill>
                  </a14:hiddenLine>
                </a:ext>
              </a:extLst>
            </c:spPr>
            <c:extLst>
              <c:ext xmlns:c16="http://schemas.microsoft.com/office/drawing/2014/chart" uri="{C3380CC4-5D6E-409C-BE32-E72D297353CC}">
                <c16:uniqueId val="{00000002-BE76-44C3-AB84-6DFA2A4B41F0}"/>
              </c:ext>
            </c:extLst>
          </c:dPt>
          <c:dPt>
            <c:idx val="2"/>
            <c:bubble3D val="0"/>
            <c:spPr>
              <a:solidFill>
                <a:srgbClr val="5DCAA5"/>
              </a:solidFill>
              <a:ln w="19050">
                <a:noFill/>
              </a:ln>
              <a:effectLst/>
              <a:extLst>
                <a:ext uri="{91240B29-F687-4F45-9708-019B960494DF}">
                  <a14:hiddenLine xmlns:a14="http://schemas.microsoft.com/office/drawing/2010/main" w="19050">
                    <a:solidFill>
                      <a:sysClr val="window" lastClr="FFFFFF"/>
                    </a:solidFill>
                  </a14:hiddenLine>
                </a:ext>
              </a:extLst>
            </c:spPr>
            <c:extLst>
              <c:ext xmlns:c16="http://schemas.microsoft.com/office/drawing/2014/chart" uri="{C3380CC4-5D6E-409C-BE32-E72D297353CC}">
                <c16:uniqueId val="{00000003-BE76-44C3-AB84-6DFA2A4B41F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Calibri"/>
                    <a:ea typeface="Calibri"/>
                    <a:cs typeface="Calibri"/>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calc!$A$8:$A$11</c:f>
              <c:strCache>
                <c:ptCount val="3"/>
                <c:pt idx="0">
                  <c:v>Affluent</c:v>
                </c:pt>
                <c:pt idx="1">
                  <c:v>Mass</c:v>
                </c:pt>
                <c:pt idx="2">
                  <c:v>Premium</c:v>
                </c:pt>
              </c:strCache>
            </c:strRef>
          </c:cat>
          <c:val>
            <c:numRef>
              <c:f>calc!$B$8:$B$11</c:f>
              <c:numCache>
                <c:formatCode>#,##0</c:formatCode>
                <c:ptCount val="3"/>
                <c:pt idx="0">
                  <c:v>12355000</c:v>
                </c:pt>
                <c:pt idx="1">
                  <c:v>17448800</c:v>
                </c:pt>
                <c:pt idx="2">
                  <c:v>4947600</c:v>
                </c:pt>
              </c:numCache>
            </c:numRef>
          </c:val>
          <c:extLst>
            <c:ext xmlns:c16="http://schemas.microsoft.com/office/drawing/2014/chart" uri="{C3380CC4-5D6E-409C-BE32-E72D297353CC}">
              <c16:uniqueId val="{00000000-BE76-44C3-AB84-6DFA2A4B41F0}"/>
            </c:ext>
          </c:extLst>
        </c:ser>
        <c:dLbls>
          <c:showLegendKey val="0"/>
          <c:showVal val="0"/>
          <c:showCatName val="0"/>
          <c:showSerName val="0"/>
          <c:showPercent val="0"/>
          <c:showBubbleSize val="0"/>
          <c:showLeaderLines val="0"/>
        </c:dLbls>
        <c:firstSliceAng val="0"/>
        <c:holeSize val="50"/>
      </c:doughnutChart>
      <c:spPr>
        <a:noFill/>
        <a:ln>
          <a:noFill/>
        </a:ln>
        <a:effectLst/>
        <a:extLst>
          <a:ext uri="{909E8E84-426E-40DD-AFC4-6F175D3DCCD1}">
            <a14:hiddenFill xmlns:a14="http://schemas.microsoft.com/office/drawing/2010/main">
              <a:noFill/>
            </a14:hiddenFill>
          </a:ext>
        </a:ex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FFFFFF"/>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900">
          <a:solidFill>
            <a:srgbClr val="00B050"/>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82550</xdr:colOff>
      <xdr:row>0</xdr:row>
      <xdr:rowOff>82550</xdr:rowOff>
    </xdr:from>
    <xdr:to>
      <xdr:col>2</xdr:col>
      <xdr:colOff>514350</xdr:colOff>
      <xdr:row>5</xdr:row>
      <xdr:rowOff>76200</xdr:rowOff>
    </xdr:to>
    <xdr:sp macro="" textlink="calc!N2">
      <xdr:nvSpPr>
        <xdr:cNvPr id="2" name="KPI 1">
          <a:extLst>
            <a:ext uri="{FF2B5EF4-FFF2-40B4-BE49-F238E27FC236}">
              <a16:creationId xmlns:a16="http://schemas.microsoft.com/office/drawing/2014/main" id="{803DA5B6-A95D-A4C5-733A-0E0207287EC7}"/>
            </a:ext>
          </a:extLst>
        </xdr:cNvPr>
        <xdr:cNvSpPr/>
      </xdr:nvSpPr>
      <xdr:spPr>
        <a:xfrm>
          <a:off x="82550" y="82550"/>
          <a:ext cx="1651000" cy="914400"/>
        </a:xfrm>
        <a:prstGeom prst="roundRect">
          <a:avLst/>
        </a:prstGeom>
        <a:solidFill>
          <a:srgbClr val="16302A"/>
        </a:solidFill>
        <a:ln w="12700">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endParaRPr lang="en-US" sz="1100" b="0" i="0" u="none" strike="noStrike">
            <a:solidFill>
              <a:srgbClr val="000000"/>
            </a:solidFill>
            <a:latin typeface="Calibri"/>
            <a:cs typeface="Calibri"/>
          </a:endParaRPr>
        </a:p>
        <a:p>
          <a:pPr algn="l"/>
          <a:endParaRPr lang="en-US" sz="1100" b="0" i="0" u="none" strike="noStrike">
            <a:solidFill>
              <a:srgbClr val="000000"/>
            </a:solidFill>
            <a:latin typeface="Calibri"/>
            <a:cs typeface="Calibri"/>
          </a:endParaRPr>
        </a:p>
        <a:p>
          <a:pPr algn="l"/>
          <a:fld id="{4642AE3E-07FF-456D-A0C6-61B861881646}" type="TxLink">
            <a:rPr lang="en-US" sz="2000" b="0" i="0" u="none" strike="noStrike">
              <a:solidFill>
                <a:srgbClr val="00B050"/>
              </a:solidFill>
              <a:latin typeface="Calibri"/>
              <a:cs typeface="Calibri"/>
            </a:rPr>
            <a:t>34.8 M</a:t>
          </a:fld>
          <a:endParaRPr lang="en-US" sz="2000">
            <a:solidFill>
              <a:srgbClr val="00B050"/>
            </a:solidFill>
          </a:endParaRPr>
        </a:p>
      </xdr:txBody>
    </xdr:sp>
    <xdr:clientData/>
  </xdr:twoCellAnchor>
  <xdr:twoCellAnchor>
    <xdr:from>
      <xdr:col>0</xdr:col>
      <xdr:colOff>82550</xdr:colOff>
      <xdr:row>5</xdr:row>
      <xdr:rowOff>133350</xdr:rowOff>
    </xdr:from>
    <xdr:to>
      <xdr:col>2</xdr:col>
      <xdr:colOff>514350</xdr:colOff>
      <xdr:row>10</xdr:row>
      <xdr:rowOff>127000</xdr:rowOff>
    </xdr:to>
    <xdr:sp macro="" textlink="">
      <xdr:nvSpPr>
        <xdr:cNvPr id="3" name="KPI 2">
          <a:extLst>
            <a:ext uri="{FF2B5EF4-FFF2-40B4-BE49-F238E27FC236}">
              <a16:creationId xmlns:a16="http://schemas.microsoft.com/office/drawing/2014/main" id="{B6397D46-1C77-7BC9-07F9-84341FC49862}"/>
            </a:ext>
          </a:extLst>
        </xdr:cNvPr>
        <xdr:cNvSpPr/>
      </xdr:nvSpPr>
      <xdr:spPr>
        <a:xfrm>
          <a:off x="82550" y="1054100"/>
          <a:ext cx="1651000" cy="914400"/>
        </a:xfrm>
        <a:prstGeom prst="roundRect">
          <a:avLst/>
        </a:prstGeom>
        <a:solidFill>
          <a:srgbClr val="16302A"/>
        </a:solidFill>
        <a:ln w="12700">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82550</xdr:colOff>
      <xdr:row>11</xdr:row>
      <xdr:rowOff>0</xdr:rowOff>
    </xdr:from>
    <xdr:to>
      <xdr:col>2</xdr:col>
      <xdr:colOff>514350</xdr:colOff>
      <xdr:row>15</xdr:row>
      <xdr:rowOff>177800</xdr:rowOff>
    </xdr:to>
    <xdr:sp macro="" textlink="">
      <xdr:nvSpPr>
        <xdr:cNvPr id="4" name="KPI 3">
          <a:extLst>
            <a:ext uri="{FF2B5EF4-FFF2-40B4-BE49-F238E27FC236}">
              <a16:creationId xmlns:a16="http://schemas.microsoft.com/office/drawing/2014/main" id="{3A5999EA-D596-672D-8025-06EDFBD11E4B}"/>
            </a:ext>
          </a:extLst>
        </xdr:cNvPr>
        <xdr:cNvSpPr/>
      </xdr:nvSpPr>
      <xdr:spPr>
        <a:xfrm>
          <a:off x="82550" y="2025650"/>
          <a:ext cx="1651000" cy="914400"/>
        </a:xfrm>
        <a:prstGeom prst="roundRect">
          <a:avLst/>
        </a:prstGeom>
        <a:solidFill>
          <a:srgbClr val="16302A"/>
        </a:solidFill>
        <a:ln w="12700">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82550</xdr:colOff>
      <xdr:row>16</xdr:row>
      <xdr:rowOff>57150</xdr:rowOff>
    </xdr:from>
    <xdr:to>
      <xdr:col>2</xdr:col>
      <xdr:colOff>514350</xdr:colOff>
      <xdr:row>21</xdr:row>
      <xdr:rowOff>50800</xdr:rowOff>
    </xdr:to>
    <xdr:sp macro="" textlink="">
      <xdr:nvSpPr>
        <xdr:cNvPr id="5" name="KPI 4">
          <a:extLst>
            <a:ext uri="{FF2B5EF4-FFF2-40B4-BE49-F238E27FC236}">
              <a16:creationId xmlns:a16="http://schemas.microsoft.com/office/drawing/2014/main" id="{CE80A56D-74A0-D4B8-08D0-3E6398191B18}"/>
            </a:ext>
          </a:extLst>
        </xdr:cNvPr>
        <xdr:cNvSpPr/>
      </xdr:nvSpPr>
      <xdr:spPr>
        <a:xfrm>
          <a:off x="82550" y="3003550"/>
          <a:ext cx="1651000" cy="914400"/>
        </a:xfrm>
        <a:prstGeom prst="roundRect">
          <a:avLst/>
        </a:prstGeom>
        <a:solidFill>
          <a:srgbClr val="16302A"/>
        </a:solidFill>
        <a:ln w="12700">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82550</xdr:colOff>
      <xdr:row>21</xdr:row>
      <xdr:rowOff>107950</xdr:rowOff>
    </xdr:from>
    <xdr:to>
      <xdr:col>2</xdr:col>
      <xdr:colOff>514350</xdr:colOff>
      <xdr:row>26</xdr:row>
      <xdr:rowOff>101600</xdr:rowOff>
    </xdr:to>
    <xdr:sp macro="" textlink="">
      <xdr:nvSpPr>
        <xdr:cNvPr id="6" name="KPI 5">
          <a:extLst>
            <a:ext uri="{FF2B5EF4-FFF2-40B4-BE49-F238E27FC236}">
              <a16:creationId xmlns:a16="http://schemas.microsoft.com/office/drawing/2014/main" id="{729D6535-F62B-8196-907F-83D7A57A9834}"/>
            </a:ext>
          </a:extLst>
        </xdr:cNvPr>
        <xdr:cNvSpPr/>
      </xdr:nvSpPr>
      <xdr:spPr>
        <a:xfrm>
          <a:off x="82550" y="3975100"/>
          <a:ext cx="1651000" cy="914400"/>
        </a:xfrm>
        <a:prstGeom prst="roundRect">
          <a:avLst/>
        </a:prstGeom>
        <a:solidFill>
          <a:srgbClr val="16302A"/>
        </a:solidFill>
        <a:ln w="12700">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401735</xdr:colOff>
      <xdr:row>9</xdr:row>
      <xdr:rowOff>6480</xdr:rowOff>
    </xdr:from>
    <xdr:to>
      <xdr:col>12</xdr:col>
      <xdr:colOff>528476</xdr:colOff>
      <xdr:row>17</xdr:row>
      <xdr:rowOff>126741</xdr:rowOff>
    </xdr:to>
    <xdr:sp macro="" textlink="">
      <xdr:nvSpPr>
        <xdr:cNvPr id="12" name="Frame Chart 1">
          <a:extLst>
            <a:ext uri="{FF2B5EF4-FFF2-40B4-BE49-F238E27FC236}">
              <a16:creationId xmlns:a16="http://schemas.microsoft.com/office/drawing/2014/main" id="{013109B4-3405-E443-6EEB-9756D3CBA4F2}"/>
            </a:ext>
          </a:extLst>
        </xdr:cNvPr>
        <xdr:cNvSpPr/>
      </xdr:nvSpPr>
      <xdr:spPr>
        <a:xfrm>
          <a:off x="3447143" y="1639337"/>
          <a:ext cx="4390313" cy="1571690"/>
        </a:xfrm>
        <a:prstGeom prst="roundRect">
          <a:avLst/>
        </a:prstGeom>
        <a:solidFill>
          <a:srgbClr val="16302A"/>
        </a:solidFill>
        <a:ln w="12700">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54430</xdr:colOff>
      <xdr:row>8</xdr:row>
      <xdr:rowOff>174949</xdr:rowOff>
    </xdr:from>
    <xdr:to>
      <xdr:col>19</xdr:col>
      <xdr:colOff>606361</xdr:colOff>
      <xdr:row>17</xdr:row>
      <xdr:rowOff>133220</xdr:rowOff>
    </xdr:to>
    <xdr:sp macro="" textlink="">
      <xdr:nvSpPr>
        <xdr:cNvPr id="13" name="Frame Chart 2">
          <a:extLst>
            <a:ext uri="{FF2B5EF4-FFF2-40B4-BE49-F238E27FC236}">
              <a16:creationId xmlns:a16="http://schemas.microsoft.com/office/drawing/2014/main" id="{55C01559-F084-3FD3-98F5-2C7EA726920A}"/>
            </a:ext>
          </a:extLst>
        </xdr:cNvPr>
        <xdr:cNvSpPr/>
      </xdr:nvSpPr>
      <xdr:spPr>
        <a:xfrm>
          <a:off x="7972491" y="1626378"/>
          <a:ext cx="4206421" cy="1591128"/>
        </a:xfrm>
        <a:prstGeom prst="roundRect">
          <a:avLst/>
        </a:prstGeom>
        <a:solidFill>
          <a:srgbClr val="16302A"/>
        </a:solidFill>
        <a:ln w="12700">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369337</xdr:colOff>
      <xdr:row>18</xdr:row>
      <xdr:rowOff>12700</xdr:rowOff>
    </xdr:from>
    <xdr:to>
      <xdr:col>12</xdr:col>
      <xdr:colOff>563723</xdr:colOff>
      <xdr:row>26</xdr:row>
      <xdr:rowOff>177800</xdr:rowOff>
    </xdr:to>
    <xdr:sp macro="" textlink="">
      <xdr:nvSpPr>
        <xdr:cNvPr id="14" name="Frame Chart 3">
          <a:extLst>
            <a:ext uri="{FF2B5EF4-FFF2-40B4-BE49-F238E27FC236}">
              <a16:creationId xmlns:a16="http://schemas.microsoft.com/office/drawing/2014/main" id="{15661069-CA0E-7C69-E1C0-E8CCE902585C}"/>
            </a:ext>
          </a:extLst>
        </xdr:cNvPr>
        <xdr:cNvSpPr/>
      </xdr:nvSpPr>
      <xdr:spPr>
        <a:xfrm>
          <a:off x="3414745" y="3278414"/>
          <a:ext cx="4457958" cy="1616529"/>
        </a:xfrm>
        <a:prstGeom prst="roundRect">
          <a:avLst/>
        </a:prstGeom>
        <a:solidFill>
          <a:srgbClr val="16302A"/>
        </a:solidFill>
        <a:ln w="12700">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41470</xdr:colOff>
      <xdr:row>18</xdr:row>
      <xdr:rowOff>32140</xdr:rowOff>
    </xdr:from>
    <xdr:to>
      <xdr:col>19</xdr:col>
      <xdr:colOff>593401</xdr:colOff>
      <xdr:row>27</xdr:row>
      <xdr:rowOff>15812</xdr:rowOff>
    </xdr:to>
    <xdr:sp macro="" textlink="">
      <xdr:nvSpPr>
        <xdr:cNvPr id="15" name="Frame Chart 4">
          <a:extLst>
            <a:ext uri="{FF2B5EF4-FFF2-40B4-BE49-F238E27FC236}">
              <a16:creationId xmlns:a16="http://schemas.microsoft.com/office/drawing/2014/main" id="{7AF5A5BB-8D81-D5E2-C3FA-83124883E6F7}"/>
            </a:ext>
          </a:extLst>
        </xdr:cNvPr>
        <xdr:cNvSpPr/>
      </xdr:nvSpPr>
      <xdr:spPr>
        <a:xfrm>
          <a:off x="7959531" y="3297854"/>
          <a:ext cx="4206421" cy="1616529"/>
        </a:xfrm>
        <a:prstGeom prst="roundRect">
          <a:avLst/>
        </a:prstGeom>
        <a:solidFill>
          <a:srgbClr val="16302A"/>
        </a:solidFill>
        <a:ln w="12700">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47171</xdr:colOff>
      <xdr:row>9</xdr:row>
      <xdr:rowOff>96934</xdr:rowOff>
    </xdr:from>
    <xdr:to>
      <xdr:col>12</xdr:col>
      <xdr:colOff>535603</xdr:colOff>
      <xdr:row>18</xdr:row>
      <xdr:rowOff>17106</xdr:rowOff>
    </xdr:to>
    <xdr:graphicFrame macro="">
      <xdr:nvGraphicFramePr>
        <xdr:cNvPr id="17" name="chProduct">
          <a:extLst>
            <a:ext uri="{FF2B5EF4-FFF2-40B4-BE49-F238E27FC236}">
              <a16:creationId xmlns:a16="http://schemas.microsoft.com/office/drawing/2014/main" id="{24C15832-ADF8-86DB-0A01-18010B5CE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53783</xdr:colOff>
      <xdr:row>9</xdr:row>
      <xdr:rowOff>32140</xdr:rowOff>
    </xdr:from>
    <xdr:to>
      <xdr:col>19</xdr:col>
      <xdr:colOff>542214</xdr:colOff>
      <xdr:row>17</xdr:row>
      <xdr:rowOff>133740</xdr:rowOff>
    </xdr:to>
    <xdr:graphicFrame macro="">
      <xdr:nvGraphicFramePr>
        <xdr:cNvPr id="18" name="chChannel">
          <a:extLst>
            <a:ext uri="{FF2B5EF4-FFF2-40B4-BE49-F238E27FC236}">
              <a16:creationId xmlns:a16="http://schemas.microsoft.com/office/drawing/2014/main" id="{54568285-FDDB-F128-9EFE-4BECFE3FF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414694</xdr:colOff>
      <xdr:row>18</xdr:row>
      <xdr:rowOff>38100</xdr:rowOff>
    </xdr:from>
    <xdr:to>
      <xdr:col>12</xdr:col>
      <xdr:colOff>388774</xdr:colOff>
      <xdr:row>26</xdr:row>
      <xdr:rowOff>152400</xdr:rowOff>
    </xdr:to>
    <xdr:graphicFrame macro="">
      <xdr:nvGraphicFramePr>
        <xdr:cNvPr id="19" name="chMonth">
          <a:extLst>
            <a:ext uri="{FF2B5EF4-FFF2-40B4-BE49-F238E27FC236}">
              <a16:creationId xmlns:a16="http://schemas.microsoft.com/office/drawing/2014/main" id="{17A2089C-DEBC-0973-4F96-18DC1BD0D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34343</xdr:colOff>
      <xdr:row>18</xdr:row>
      <xdr:rowOff>96417</xdr:rowOff>
    </xdr:from>
    <xdr:to>
      <xdr:col>19</xdr:col>
      <xdr:colOff>522774</xdr:colOff>
      <xdr:row>27</xdr:row>
      <xdr:rowOff>29289</xdr:rowOff>
    </xdr:to>
    <xdr:graphicFrame macro="">
      <xdr:nvGraphicFramePr>
        <xdr:cNvPr id="20" name="chSegment">
          <a:extLst>
            <a:ext uri="{FF2B5EF4-FFF2-40B4-BE49-F238E27FC236}">
              <a16:creationId xmlns:a16="http://schemas.microsoft.com/office/drawing/2014/main" id="{21A5BFE7-3C6B-8D7E-0DF3-6A0C6CFC0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557246</xdr:colOff>
      <xdr:row>5</xdr:row>
      <xdr:rowOff>24492</xdr:rowOff>
    </xdr:from>
    <xdr:to>
      <xdr:col>5</xdr:col>
      <xdr:colOff>322296</xdr:colOff>
      <xdr:row>10</xdr:row>
      <xdr:rowOff>97194</xdr:rowOff>
    </xdr:to>
    <mc:AlternateContent xmlns:mc="http://schemas.openxmlformats.org/markup-compatibility/2006">
      <mc:Choice xmlns:a14="http://schemas.microsoft.com/office/drawing/2010/main" Requires="a14">
        <xdr:graphicFrame macro="">
          <xdr:nvGraphicFramePr>
            <xdr:cNvPr id="21" name="slcProduct">
              <a:extLst>
                <a:ext uri="{FF2B5EF4-FFF2-40B4-BE49-F238E27FC236}">
                  <a16:creationId xmlns:a16="http://schemas.microsoft.com/office/drawing/2014/main" id="{6B93BB36-A948-96E0-7832-D92ABD430D61}"/>
                </a:ext>
              </a:extLst>
            </xdr:cNvPr>
            <xdr:cNvGraphicFramePr/>
          </xdr:nvGraphicFramePr>
          <xdr:xfrm>
            <a:off x="0" y="0"/>
            <a:ext cx="0" cy="0"/>
          </xdr:xfrm>
          <a:graphic>
            <a:graphicData uri="http://schemas.microsoft.com/office/drawing/2010/slicer">
              <sle:slicer xmlns:sle="http://schemas.microsoft.com/office/drawing/2010/slicer" name="slcProduct"/>
            </a:graphicData>
          </a:graphic>
        </xdr:graphicFrame>
      </mc:Choice>
      <mc:Fallback>
        <xdr:sp macro="" textlink="">
          <xdr:nvSpPr>
            <xdr:cNvPr id="0" name=""/>
            <xdr:cNvSpPr>
              <a:spLocks noTextEdit="1"/>
            </xdr:cNvSpPr>
          </xdr:nvSpPr>
          <xdr:spPr>
            <a:xfrm>
              <a:off x="1775409" y="931635"/>
              <a:ext cx="1592295" cy="9798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557245</xdr:colOff>
      <xdr:row>10</xdr:row>
      <xdr:rowOff>132702</xdr:rowOff>
    </xdr:from>
    <xdr:to>
      <xdr:col>5</xdr:col>
      <xdr:colOff>323979</xdr:colOff>
      <xdr:row>15</xdr:row>
      <xdr:rowOff>161730</xdr:rowOff>
    </xdr:to>
    <mc:AlternateContent xmlns:mc="http://schemas.openxmlformats.org/markup-compatibility/2006">
      <mc:Choice xmlns:a14="http://schemas.microsoft.com/office/drawing/2010/main" Requires="a14">
        <xdr:graphicFrame macro="">
          <xdr:nvGraphicFramePr>
            <xdr:cNvPr id="22" name="slcSegment">
              <a:extLst>
                <a:ext uri="{FF2B5EF4-FFF2-40B4-BE49-F238E27FC236}">
                  <a16:creationId xmlns:a16="http://schemas.microsoft.com/office/drawing/2014/main" id="{05982C2B-8F0C-DC73-9FF1-6EF0C36189B8}"/>
                </a:ext>
              </a:extLst>
            </xdr:cNvPr>
            <xdr:cNvGraphicFramePr/>
          </xdr:nvGraphicFramePr>
          <xdr:xfrm>
            <a:off x="0" y="0"/>
            <a:ext cx="0" cy="0"/>
          </xdr:xfrm>
          <a:graphic>
            <a:graphicData uri="http://schemas.microsoft.com/office/drawing/2010/slicer">
              <sle:slicer xmlns:sle="http://schemas.microsoft.com/office/drawing/2010/slicer" name="slcSegment"/>
            </a:graphicData>
          </a:graphic>
        </xdr:graphicFrame>
      </mc:Choice>
      <mc:Fallback>
        <xdr:sp macro="" textlink="">
          <xdr:nvSpPr>
            <xdr:cNvPr id="0" name=""/>
            <xdr:cNvSpPr>
              <a:spLocks noTextEdit="1"/>
            </xdr:cNvSpPr>
          </xdr:nvSpPr>
          <xdr:spPr>
            <a:xfrm>
              <a:off x="1775408" y="1946988"/>
              <a:ext cx="1593979" cy="9361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557246</xdr:colOff>
      <xdr:row>16</xdr:row>
      <xdr:rowOff>31101</xdr:rowOff>
    </xdr:from>
    <xdr:to>
      <xdr:col>5</xdr:col>
      <xdr:colOff>317500</xdr:colOff>
      <xdr:row>21</xdr:row>
      <xdr:rowOff>62851</xdr:rowOff>
    </xdr:to>
    <mc:AlternateContent xmlns:mc="http://schemas.openxmlformats.org/markup-compatibility/2006">
      <mc:Choice xmlns:a14="http://schemas.microsoft.com/office/drawing/2010/main" Requires="a14">
        <xdr:graphicFrame macro="">
          <xdr:nvGraphicFramePr>
            <xdr:cNvPr id="23" name="slcChannel">
              <a:extLst>
                <a:ext uri="{FF2B5EF4-FFF2-40B4-BE49-F238E27FC236}">
                  <a16:creationId xmlns:a16="http://schemas.microsoft.com/office/drawing/2014/main" id="{EB981973-E451-EDC6-C201-3178DF30742B}"/>
                </a:ext>
              </a:extLst>
            </xdr:cNvPr>
            <xdr:cNvGraphicFramePr/>
          </xdr:nvGraphicFramePr>
          <xdr:xfrm>
            <a:off x="0" y="0"/>
            <a:ext cx="0" cy="0"/>
          </xdr:xfrm>
          <a:graphic>
            <a:graphicData uri="http://schemas.microsoft.com/office/drawing/2010/slicer">
              <sle:slicer xmlns:sle="http://schemas.microsoft.com/office/drawing/2010/slicer" name="slcChannel"/>
            </a:graphicData>
          </a:graphic>
        </xdr:graphicFrame>
      </mc:Choice>
      <mc:Fallback>
        <xdr:sp macro="" textlink="">
          <xdr:nvSpPr>
            <xdr:cNvPr id="0" name=""/>
            <xdr:cNvSpPr>
              <a:spLocks noTextEdit="1"/>
            </xdr:cNvSpPr>
          </xdr:nvSpPr>
          <xdr:spPr>
            <a:xfrm>
              <a:off x="1775409" y="2933958"/>
              <a:ext cx="1587499" cy="9388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557246</xdr:colOff>
      <xdr:row>21</xdr:row>
      <xdr:rowOff>119874</xdr:rowOff>
    </xdr:from>
    <xdr:to>
      <xdr:col>5</xdr:col>
      <xdr:colOff>317500</xdr:colOff>
      <xdr:row>26</xdr:row>
      <xdr:rowOff>148902</xdr:rowOff>
    </xdr:to>
    <mc:AlternateContent xmlns:mc="http://schemas.openxmlformats.org/markup-compatibility/2006">
      <mc:Choice xmlns:a14="http://schemas.microsoft.com/office/drawing/2010/main" Requires="a14">
        <xdr:graphicFrame macro="">
          <xdr:nvGraphicFramePr>
            <xdr:cNvPr id="24" name="slcBranch">
              <a:extLst>
                <a:ext uri="{FF2B5EF4-FFF2-40B4-BE49-F238E27FC236}">
                  <a16:creationId xmlns:a16="http://schemas.microsoft.com/office/drawing/2014/main" id="{A0F820A3-0F0C-6D18-6771-90BFF12347A4}"/>
                </a:ext>
              </a:extLst>
            </xdr:cNvPr>
            <xdr:cNvGraphicFramePr/>
          </xdr:nvGraphicFramePr>
          <xdr:xfrm>
            <a:off x="0" y="0"/>
            <a:ext cx="0" cy="0"/>
          </xdr:xfrm>
          <a:graphic>
            <a:graphicData uri="http://schemas.microsoft.com/office/drawing/2010/slicer">
              <sle:slicer xmlns:sle="http://schemas.microsoft.com/office/drawing/2010/slicer" name="slcBranch"/>
            </a:graphicData>
          </a:graphic>
        </xdr:graphicFrame>
      </mc:Choice>
      <mc:Fallback>
        <xdr:sp macro="" textlink="">
          <xdr:nvSpPr>
            <xdr:cNvPr id="0" name=""/>
            <xdr:cNvSpPr>
              <a:spLocks noTextEdit="1"/>
            </xdr:cNvSpPr>
          </xdr:nvSpPr>
          <xdr:spPr>
            <a:xfrm>
              <a:off x="1775409" y="3929874"/>
              <a:ext cx="1587499" cy="9361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356376</xdr:colOff>
      <xdr:row>4</xdr:row>
      <xdr:rowOff>6480</xdr:rowOff>
    </xdr:from>
    <xdr:to>
      <xdr:col>20</xdr:col>
      <xdr:colOff>12958</xdr:colOff>
      <xdr:row>8</xdr:row>
      <xdr:rowOff>138015</xdr:rowOff>
    </xdr:to>
    <mc:AlternateContent xmlns:mc="http://schemas.openxmlformats.org/markup-compatibility/2006">
      <mc:Choice xmlns:tsle="http://schemas.microsoft.com/office/drawing/2012/timeslicer" Requires="tsle">
        <xdr:graphicFrame macro="">
          <xdr:nvGraphicFramePr>
            <xdr:cNvPr id="25" name="ApplicationDate">
              <a:extLst>
                <a:ext uri="{FF2B5EF4-FFF2-40B4-BE49-F238E27FC236}">
                  <a16:creationId xmlns:a16="http://schemas.microsoft.com/office/drawing/2014/main" id="{BB64463D-22BE-40F9-9877-4FBA7DF1831B}"/>
                </a:ext>
              </a:extLst>
            </xdr:cNvPr>
            <xdr:cNvGraphicFramePr/>
          </xdr:nvGraphicFramePr>
          <xdr:xfrm>
            <a:off x="0" y="0"/>
            <a:ext cx="0" cy="0"/>
          </xdr:xfrm>
          <a:graphic>
            <a:graphicData uri="http://schemas.microsoft.com/office/drawing/2012/timeslicer">
              <tsle:timeslicer xmlns:tsle="http://schemas.microsoft.com/office/drawing/2012/timeslicer" name="ApplicationDate"/>
            </a:graphicData>
          </a:graphic>
        </xdr:graphicFrame>
      </mc:Choice>
      <mc:Fallback>
        <xdr:sp macro="" textlink="">
          <xdr:nvSpPr>
            <xdr:cNvPr id="0" name=""/>
            <xdr:cNvSpPr>
              <a:spLocks noTextEdit="1"/>
            </xdr:cNvSpPr>
          </xdr:nvSpPr>
          <xdr:spPr>
            <a:xfrm>
              <a:off x="3401784" y="732194"/>
              <a:ext cx="8792807" cy="8572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2</xdr:col>
      <xdr:colOff>570205</xdr:colOff>
      <xdr:row>0</xdr:row>
      <xdr:rowOff>71276</xdr:rowOff>
    </xdr:from>
    <xdr:to>
      <xdr:col>20</xdr:col>
      <xdr:colOff>0</xdr:colOff>
      <xdr:row>4</xdr:row>
      <xdr:rowOff>157455</xdr:rowOff>
    </xdr:to>
    <xdr:sp macro="" textlink="">
      <xdr:nvSpPr>
        <xdr:cNvPr id="26" name="Title">
          <a:extLst>
            <a:ext uri="{FF2B5EF4-FFF2-40B4-BE49-F238E27FC236}">
              <a16:creationId xmlns:a16="http://schemas.microsoft.com/office/drawing/2014/main" id="{4EFD138C-FAA6-4398-B81D-236A3E671C52}"/>
            </a:ext>
          </a:extLst>
        </xdr:cNvPr>
        <xdr:cNvSpPr/>
      </xdr:nvSpPr>
      <xdr:spPr>
        <a:xfrm>
          <a:off x="1788368" y="71276"/>
          <a:ext cx="10393265" cy="811893"/>
        </a:xfrm>
        <a:prstGeom prst="roundRect">
          <a:avLst/>
        </a:prstGeom>
        <a:solidFill>
          <a:srgbClr val="16302A"/>
        </a:solidFill>
        <a:ln w="12700">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rgbClr val="00B050"/>
              </a:solidFill>
              <a:latin typeface="Calibri" panose="020F0502020204030204" pitchFamily="34" charset="0"/>
            </a:rPr>
            <a:t>Financing Performance Dashboard</a:t>
          </a:r>
        </a:p>
        <a:p>
          <a:pPr algn="ctr"/>
          <a:r>
            <a:rPr lang="en-GB" sz="1200" b="0">
              <a:solidFill>
                <a:srgbClr val="B4C4BE"/>
              </a:solidFill>
              <a:latin typeface="Calibri" panose="020F0502020204030204" pitchFamily="34" charset="0"/>
            </a:rPr>
            <a:t>Horizon Islamic Bank (fictional) | Jan - Sep 2026</a:t>
          </a:r>
        </a:p>
      </xdr:txBody>
    </xdr:sp>
    <xdr:clientData/>
  </xdr:twoCellAnchor>
  <xdr:twoCellAnchor>
    <xdr:from>
      <xdr:col>5</xdr:col>
      <xdr:colOff>369337</xdr:colOff>
      <xdr:row>5</xdr:row>
      <xdr:rowOff>51838</xdr:rowOff>
    </xdr:from>
    <xdr:to>
      <xdr:col>20</xdr:col>
      <xdr:colOff>0</xdr:colOff>
      <xdr:row>8</xdr:row>
      <xdr:rowOff>136072</xdr:rowOff>
    </xdr:to>
    <xdr:sp macro="" textlink="">
      <xdr:nvSpPr>
        <xdr:cNvPr id="27" name="Rectangle: Rounded Corners 26">
          <a:extLst>
            <a:ext uri="{FF2B5EF4-FFF2-40B4-BE49-F238E27FC236}">
              <a16:creationId xmlns:a16="http://schemas.microsoft.com/office/drawing/2014/main" id="{035FA944-B391-5471-3B16-ECE9D5308814}"/>
            </a:ext>
          </a:extLst>
        </xdr:cNvPr>
        <xdr:cNvSpPr/>
      </xdr:nvSpPr>
      <xdr:spPr>
        <a:xfrm>
          <a:off x="3414745" y="958981"/>
          <a:ext cx="8766888" cy="628520"/>
        </a:xfrm>
        <a:prstGeom prst="roundRect">
          <a:avLst/>
        </a:prstGeom>
        <a:no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142551</xdr:colOff>
      <xdr:row>0</xdr:row>
      <xdr:rowOff>168469</xdr:rowOff>
    </xdr:from>
    <xdr:to>
      <xdr:col>2</xdr:col>
      <xdr:colOff>466531</xdr:colOff>
      <xdr:row>4</xdr:row>
      <xdr:rowOff>174949</xdr:rowOff>
    </xdr:to>
    <xdr:sp macro="" textlink="">
      <xdr:nvSpPr>
        <xdr:cNvPr id="28" name="TextBox 27">
          <a:extLst>
            <a:ext uri="{FF2B5EF4-FFF2-40B4-BE49-F238E27FC236}">
              <a16:creationId xmlns:a16="http://schemas.microsoft.com/office/drawing/2014/main" id="{AFE6FAF7-1AC3-309B-A523-3F9AB1E9BF21}"/>
            </a:ext>
          </a:extLst>
        </xdr:cNvPr>
        <xdr:cNvSpPr txBox="1"/>
      </xdr:nvSpPr>
      <xdr:spPr>
        <a:xfrm>
          <a:off x="142551" y="168469"/>
          <a:ext cx="1542143" cy="732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00B050"/>
              </a:solidFill>
            </a:rPr>
            <a:t>Total Approved Amount</a:t>
          </a:r>
        </a:p>
        <a:p>
          <a:endParaRPr lang="en-GB" sz="1400"/>
        </a:p>
      </xdr:txBody>
    </xdr:sp>
    <xdr:clientData/>
  </xdr:twoCellAnchor>
  <xdr:twoCellAnchor>
    <xdr:from>
      <xdr:col>1</xdr:col>
      <xdr:colOff>265663</xdr:colOff>
      <xdr:row>2</xdr:row>
      <xdr:rowOff>155511</xdr:rowOff>
    </xdr:from>
    <xdr:to>
      <xdr:col>3</xdr:col>
      <xdr:colOff>349898</xdr:colOff>
      <xdr:row>5</xdr:row>
      <xdr:rowOff>64796</xdr:rowOff>
    </xdr:to>
    <xdr:sp macro="" textlink="calc!N2">
      <xdr:nvSpPr>
        <xdr:cNvPr id="29" name="TextBox 28">
          <a:extLst>
            <a:ext uri="{FF2B5EF4-FFF2-40B4-BE49-F238E27FC236}">
              <a16:creationId xmlns:a16="http://schemas.microsoft.com/office/drawing/2014/main" id="{DEC888A4-8B4A-7024-36C5-9C096419BD6C}"/>
            </a:ext>
          </a:extLst>
        </xdr:cNvPr>
        <xdr:cNvSpPr txBox="1"/>
      </xdr:nvSpPr>
      <xdr:spPr>
        <a:xfrm>
          <a:off x="874745" y="518368"/>
          <a:ext cx="1302398"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3A11FF-958F-44C6-8D45-035590C59EFF}" type="TxLink">
            <a:rPr lang="en-US" sz="1800" b="0" i="0" u="none" strike="noStrike">
              <a:solidFill>
                <a:srgbClr val="00B050"/>
              </a:solidFill>
              <a:latin typeface="Calibri"/>
              <a:cs typeface="Calibri"/>
            </a:rPr>
            <a:t>34.8 M</a:t>
          </a:fld>
          <a:endParaRPr lang="en-GB" sz="1800">
            <a:solidFill>
              <a:srgbClr val="00B050"/>
            </a:solidFill>
          </a:endParaRPr>
        </a:p>
      </xdr:txBody>
    </xdr:sp>
    <xdr:clientData/>
  </xdr:twoCellAnchor>
  <xdr:twoCellAnchor>
    <xdr:from>
      <xdr:col>0</xdr:col>
      <xdr:colOff>142551</xdr:colOff>
      <xdr:row>5</xdr:row>
      <xdr:rowOff>161988</xdr:rowOff>
    </xdr:from>
    <xdr:to>
      <xdr:col>2</xdr:col>
      <xdr:colOff>388776</xdr:colOff>
      <xdr:row>10</xdr:row>
      <xdr:rowOff>6478</xdr:rowOff>
    </xdr:to>
    <xdr:sp macro="" textlink="">
      <xdr:nvSpPr>
        <xdr:cNvPr id="6145" name="Text Box 1">
          <a:extLst>
            <a:ext uri="{FF2B5EF4-FFF2-40B4-BE49-F238E27FC236}">
              <a16:creationId xmlns:a16="http://schemas.microsoft.com/office/drawing/2014/main" id="{D1DC359B-CC86-1B17-F00F-A101AB272AE6}"/>
            </a:ext>
          </a:extLst>
        </xdr:cNvPr>
        <xdr:cNvSpPr txBox="1">
          <a:spLocks noChangeArrowheads="1"/>
        </xdr:cNvSpPr>
      </xdr:nvSpPr>
      <xdr:spPr bwMode="auto">
        <a:xfrm>
          <a:off x="142551" y="1069131"/>
          <a:ext cx="1464388" cy="751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rtl="0">
            <a:defRPr sz="1000"/>
          </a:pPr>
          <a:r>
            <a:rPr lang="en-GB" sz="1400">
              <a:solidFill>
                <a:srgbClr val="00B050"/>
              </a:solidFill>
              <a:latin typeface="+mn-lt"/>
              <a:ea typeface="+mn-ea"/>
              <a:cs typeface="+mn-cs"/>
            </a:rPr>
            <a:t>Approved</a:t>
          </a:r>
          <a:r>
            <a:rPr lang="en-GB" sz="1400"/>
            <a:t> </a:t>
          </a:r>
          <a:r>
            <a:rPr lang="en-GB" sz="1400">
              <a:solidFill>
                <a:srgbClr val="00B050"/>
              </a:solidFill>
              <a:latin typeface="+mn-lt"/>
              <a:ea typeface="+mn-ea"/>
              <a:cs typeface="+mn-cs"/>
            </a:rPr>
            <a:t>Deals</a:t>
          </a:r>
        </a:p>
      </xdr:txBody>
    </xdr:sp>
    <xdr:clientData/>
  </xdr:twoCellAnchor>
  <xdr:twoCellAnchor>
    <xdr:from>
      <xdr:col>0</xdr:col>
      <xdr:colOff>596124</xdr:colOff>
      <xdr:row>7</xdr:row>
      <xdr:rowOff>116633</xdr:rowOff>
    </xdr:from>
    <xdr:to>
      <xdr:col>2</xdr:col>
      <xdr:colOff>161990</xdr:colOff>
      <xdr:row>10</xdr:row>
      <xdr:rowOff>64796</xdr:rowOff>
    </xdr:to>
    <xdr:sp macro="" textlink="calc!$N$3">
      <xdr:nvSpPr>
        <xdr:cNvPr id="30" name="TextBox 29">
          <a:extLst>
            <a:ext uri="{FF2B5EF4-FFF2-40B4-BE49-F238E27FC236}">
              <a16:creationId xmlns:a16="http://schemas.microsoft.com/office/drawing/2014/main" id="{DEC40F3A-F713-2C2E-BF97-C38B923B7876}"/>
            </a:ext>
          </a:extLst>
        </xdr:cNvPr>
        <xdr:cNvSpPr txBox="1"/>
      </xdr:nvSpPr>
      <xdr:spPr>
        <a:xfrm>
          <a:off x="596124" y="1386633"/>
          <a:ext cx="784029" cy="49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2EC96E-A2FB-444F-B5CB-EB8ACC7B2539}" type="TxLink">
            <a:rPr lang="en-US" sz="2400" b="0" i="0" u="none" strike="noStrike">
              <a:solidFill>
                <a:srgbClr val="00B050"/>
              </a:solidFill>
              <a:latin typeface="Calibri"/>
              <a:ea typeface="+mn-ea"/>
              <a:cs typeface="Calibri"/>
            </a:rPr>
            <a:pPr marL="0" indent="0"/>
            <a:t>890</a:t>
          </a:fld>
          <a:endParaRPr lang="en-GB" sz="2400" b="0" i="0" u="none" strike="noStrike">
            <a:solidFill>
              <a:srgbClr val="00B050"/>
            </a:solidFill>
            <a:latin typeface="Calibri"/>
            <a:ea typeface="+mn-ea"/>
            <a:cs typeface="Calibri"/>
          </a:endParaRPr>
        </a:p>
      </xdr:txBody>
    </xdr:sp>
    <xdr:clientData/>
  </xdr:twoCellAnchor>
  <xdr:twoCellAnchor>
    <xdr:from>
      <xdr:col>0</xdr:col>
      <xdr:colOff>168468</xdr:colOff>
      <xdr:row>11</xdr:row>
      <xdr:rowOff>77755</xdr:rowOff>
    </xdr:from>
    <xdr:to>
      <xdr:col>2</xdr:col>
      <xdr:colOff>401734</xdr:colOff>
      <xdr:row>14</xdr:row>
      <xdr:rowOff>77755</xdr:rowOff>
    </xdr:to>
    <xdr:sp macro="" textlink="">
      <xdr:nvSpPr>
        <xdr:cNvPr id="6146" name="Text Box 2">
          <a:extLst>
            <a:ext uri="{FF2B5EF4-FFF2-40B4-BE49-F238E27FC236}">
              <a16:creationId xmlns:a16="http://schemas.microsoft.com/office/drawing/2014/main" id="{656120AF-DF17-08CD-3CB5-9CD7A571592A}"/>
            </a:ext>
          </a:extLst>
        </xdr:cNvPr>
        <xdr:cNvSpPr txBox="1">
          <a:spLocks noChangeArrowheads="1"/>
        </xdr:cNvSpPr>
      </xdr:nvSpPr>
      <xdr:spPr bwMode="auto">
        <a:xfrm>
          <a:off x="168468" y="2073469"/>
          <a:ext cx="1451429"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rtl="0">
            <a:defRPr sz="1000"/>
          </a:pPr>
          <a:r>
            <a:rPr lang="en-GB" sz="1600">
              <a:solidFill>
                <a:srgbClr val="00B050"/>
              </a:solidFill>
              <a:latin typeface="+mn-lt"/>
              <a:ea typeface="+mn-ea"/>
              <a:cs typeface="+mn-cs"/>
            </a:rPr>
            <a:t>Approval Rate</a:t>
          </a:r>
        </a:p>
      </xdr:txBody>
    </xdr:sp>
    <xdr:clientData/>
  </xdr:twoCellAnchor>
  <xdr:twoCellAnchor>
    <xdr:from>
      <xdr:col>0</xdr:col>
      <xdr:colOff>490765</xdr:colOff>
      <xdr:row>12</xdr:row>
      <xdr:rowOff>172486</xdr:rowOff>
    </xdr:from>
    <xdr:to>
      <xdr:col>2</xdr:col>
      <xdr:colOff>388776</xdr:colOff>
      <xdr:row>15</xdr:row>
      <xdr:rowOff>81771</xdr:rowOff>
    </xdr:to>
    <xdr:sp macro="" textlink="calc!N4">
      <xdr:nvSpPr>
        <xdr:cNvPr id="31" name="TextBox 30">
          <a:extLst>
            <a:ext uri="{FF2B5EF4-FFF2-40B4-BE49-F238E27FC236}">
              <a16:creationId xmlns:a16="http://schemas.microsoft.com/office/drawing/2014/main" id="{73B77B71-D43E-4617-8C40-081DBDE675C1}"/>
            </a:ext>
          </a:extLst>
        </xdr:cNvPr>
        <xdr:cNvSpPr txBox="1"/>
      </xdr:nvSpPr>
      <xdr:spPr>
        <a:xfrm>
          <a:off x="490765" y="2349629"/>
          <a:ext cx="1116174"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A0C7F93-6E0A-4C2C-942A-FF81E2656A37}" type="TxLink">
            <a:rPr lang="en-US" sz="2400" b="0" i="0" u="none" strike="noStrike">
              <a:solidFill>
                <a:srgbClr val="00B050"/>
              </a:solidFill>
              <a:latin typeface="Calibri"/>
              <a:ea typeface="+mn-ea"/>
              <a:cs typeface="Calibri"/>
            </a:rPr>
            <a:pPr marL="0" indent="0"/>
            <a:t>71.8%</a:t>
          </a:fld>
          <a:endParaRPr lang="en-GB" sz="2400" b="0" i="0" u="none" strike="noStrike">
            <a:solidFill>
              <a:srgbClr val="00B050"/>
            </a:solidFill>
            <a:latin typeface="Calibri"/>
            <a:ea typeface="+mn-ea"/>
            <a:cs typeface="Calibri"/>
          </a:endParaRPr>
        </a:p>
      </xdr:txBody>
    </xdr:sp>
    <xdr:clientData/>
  </xdr:twoCellAnchor>
  <xdr:twoCellAnchor>
    <xdr:from>
      <xdr:col>0</xdr:col>
      <xdr:colOff>155509</xdr:colOff>
      <xdr:row>16</xdr:row>
      <xdr:rowOff>142551</xdr:rowOff>
    </xdr:from>
    <xdr:to>
      <xdr:col>2</xdr:col>
      <xdr:colOff>421173</xdr:colOff>
      <xdr:row>19</xdr:row>
      <xdr:rowOff>142551</xdr:rowOff>
    </xdr:to>
    <xdr:sp macro="" textlink="">
      <xdr:nvSpPr>
        <xdr:cNvPr id="6147" name="Text Box 3">
          <a:extLst>
            <a:ext uri="{FF2B5EF4-FFF2-40B4-BE49-F238E27FC236}">
              <a16:creationId xmlns:a16="http://schemas.microsoft.com/office/drawing/2014/main" id="{90ECD159-E62B-B384-174E-FBA3D974EDB6}"/>
            </a:ext>
          </a:extLst>
        </xdr:cNvPr>
        <xdr:cNvSpPr txBox="1">
          <a:spLocks noChangeArrowheads="1"/>
        </xdr:cNvSpPr>
      </xdr:nvSpPr>
      <xdr:spPr bwMode="auto">
        <a:xfrm>
          <a:off x="155509" y="3045408"/>
          <a:ext cx="1483827"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rtl="0">
            <a:defRPr sz="1000"/>
          </a:pPr>
          <a:r>
            <a:rPr lang="en-GB" sz="1800">
              <a:solidFill>
                <a:srgbClr val="00B050"/>
              </a:solidFill>
              <a:latin typeface="+mn-lt"/>
              <a:ea typeface="+mn-ea"/>
              <a:cs typeface="+mn-cs"/>
            </a:rPr>
            <a:t>Avg Deal Size</a:t>
          </a:r>
        </a:p>
      </xdr:txBody>
    </xdr:sp>
    <xdr:clientData/>
  </xdr:twoCellAnchor>
  <xdr:twoCellAnchor>
    <xdr:from>
      <xdr:col>0</xdr:col>
      <xdr:colOff>497244</xdr:colOff>
      <xdr:row>18</xdr:row>
      <xdr:rowOff>81255</xdr:rowOff>
    </xdr:from>
    <xdr:to>
      <xdr:col>2</xdr:col>
      <xdr:colOff>408215</xdr:colOff>
      <xdr:row>20</xdr:row>
      <xdr:rowOff>171969</xdr:rowOff>
    </xdr:to>
    <xdr:sp macro="" textlink="calc!N5">
      <xdr:nvSpPr>
        <xdr:cNvPr id="32" name="TextBox 31">
          <a:extLst>
            <a:ext uri="{FF2B5EF4-FFF2-40B4-BE49-F238E27FC236}">
              <a16:creationId xmlns:a16="http://schemas.microsoft.com/office/drawing/2014/main" id="{A9CF0D21-E79E-43C0-A4DD-4045360F7980}"/>
            </a:ext>
          </a:extLst>
        </xdr:cNvPr>
        <xdr:cNvSpPr txBox="1"/>
      </xdr:nvSpPr>
      <xdr:spPr>
        <a:xfrm>
          <a:off x="497244" y="3346969"/>
          <a:ext cx="1129134"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56042C3-5D35-4066-B2E7-310F374697E9}" type="TxLink">
            <a:rPr lang="en-US" sz="2400" b="0" i="0" u="none" strike="noStrike">
              <a:solidFill>
                <a:srgbClr val="00B050"/>
              </a:solidFill>
              <a:latin typeface="Calibri"/>
              <a:ea typeface="+mn-ea"/>
              <a:cs typeface="Calibri"/>
            </a:rPr>
            <a:pPr marL="0" indent="0"/>
            <a:t>39,047</a:t>
          </a:fld>
          <a:endParaRPr lang="en-GB" sz="2400" b="0" i="0" u="none" strike="noStrike">
            <a:solidFill>
              <a:srgbClr val="00B050"/>
            </a:solidFill>
            <a:latin typeface="Calibri"/>
            <a:ea typeface="+mn-ea"/>
            <a:cs typeface="Calibri"/>
          </a:endParaRPr>
        </a:p>
      </xdr:txBody>
    </xdr:sp>
    <xdr:clientData/>
  </xdr:twoCellAnchor>
  <xdr:twoCellAnchor>
    <xdr:from>
      <xdr:col>0</xdr:col>
      <xdr:colOff>380611</xdr:colOff>
      <xdr:row>23</xdr:row>
      <xdr:rowOff>100303</xdr:rowOff>
    </xdr:from>
    <xdr:to>
      <xdr:col>3</xdr:col>
      <xdr:colOff>12959</xdr:colOff>
      <xdr:row>26</xdr:row>
      <xdr:rowOff>9588</xdr:rowOff>
    </xdr:to>
    <xdr:sp macro="" textlink="calc!N6">
      <xdr:nvSpPr>
        <xdr:cNvPr id="33" name="TextBox 32">
          <a:extLst>
            <a:ext uri="{FF2B5EF4-FFF2-40B4-BE49-F238E27FC236}">
              <a16:creationId xmlns:a16="http://schemas.microsoft.com/office/drawing/2014/main" id="{FBB82B3E-F5FA-4D57-8B78-74963538048B}"/>
            </a:ext>
          </a:extLst>
        </xdr:cNvPr>
        <xdr:cNvSpPr txBox="1"/>
      </xdr:nvSpPr>
      <xdr:spPr>
        <a:xfrm>
          <a:off x="380611" y="4273160"/>
          <a:ext cx="1459593"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62080B4-09DB-4692-8FA5-377B71423833}" type="TxLink">
            <a:rPr lang="en-US" sz="2400" b="0" i="0" u="none" strike="noStrike">
              <a:solidFill>
                <a:srgbClr val="00B050"/>
              </a:solidFill>
              <a:latin typeface="Calibri"/>
              <a:ea typeface="+mn-ea"/>
              <a:cs typeface="Calibri"/>
            </a:rPr>
            <a:pPr marL="0" indent="0"/>
            <a:t>7.5 days</a:t>
          </a:fld>
          <a:endParaRPr lang="en-GB" sz="2400" b="0" i="0" u="none" strike="noStrike">
            <a:solidFill>
              <a:srgbClr val="00B050"/>
            </a:solidFill>
            <a:latin typeface="Calibri"/>
            <a:ea typeface="+mn-ea"/>
            <a:cs typeface="Calibri"/>
          </a:endParaRPr>
        </a:p>
      </xdr:txBody>
    </xdr:sp>
    <xdr:clientData/>
  </xdr:twoCellAnchor>
  <xdr:twoCellAnchor>
    <xdr:from>
      <xdr:col>0</xdr:col>
      <xdr:colOff>82549</xdr:colOff>
      <xdr:row>21</xdr:row>
      <xdr:rowOff>132703</xdr:rowOff>
    </xdr:from>
    <xdr:to>
      <xdr:col>3</xdr:col>
      <xdr:colOff>110153</xdr:colOff>
      <xdr:row>24</xdr:row>
      <xdr:rowOff>32399</xdr:rowOff>
    </xdr:to>
    <xdr:sp macro="" textlink="">
      <xdr:nvSpPr>
        <xdr:cNvPr id="34" name="TextBox 33">
          <a:extLst>
            <a:ext uri="{FF2B5EF4-FFF2-40B4-BE49-F238E27FC236}">
              <a16:creationId xmlns:a16="http://schemas.microsoft.com/office/drawing/2014/main" id="{D078EE14-4927-465B-B453-74303A0E3047}"/>
            </a:ext>
          </a:extLst>
        </xdr:cNvPr>
        <xdr:cNvSpPr txBox="1"/>
      </xdr:nvSpPr>
      <xdr:spPr>
        <a:xfrm>
          <a:off x="82549" y="3942703"/>
          <a:ext cx="1854849" cy="443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a:solidFill>
                <a:srgbClr val="00B050"/>
              </a:solidFill>
              <a:latin typeface="+mn-lt"/>
              <a:ea typeface="+mn-ea"/>
              <a:cs typeface="+mn-cs"/>
            </a:rPr>
            <a:t>Avg Days to Decision</a:t>
          </a:r>
          <a:endParaRPr lang="en-US" sz="1400">
            <a:solidFill>
              <a:srgbClr val="00B050"/>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ya Sadaqa" refreshedDate="46319.352028125002" createdVersion="5" refreshedVersion="8" minRefreshableVersion="3" recordCount="1293" xr:uid="{FF8331F3-5070-449A-BBCD-9C62EBC5D714}">
  <cacheSource type="worksheet">
    <worksheetSource name="Deals"/>
  </cacheSource>
  <cacheFields count="22">
    <cacheField name="DealID" numFmtId="0">
      <sharedItems/>
    </cacheField>
    <cacheField name="ApplicationDate" numFmtId="164">
      <sharedItems containsSemiMixedTypes="0" containsNonDate="0" containsDate="1" containsString="0" minDate="2026-01-01T00:00:00" maxDate="2026-10-01T00:00:00" count="271">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sharedItems>
      <fieldGroup par="21"/>
    </cacheField>
    <cacheField name="CustomerID" numFmtId="0">
      <sharedItems/>
    </cacheField>
    <cacheField name="Branch" numFmtId="0">
      <sharedItems count="6">
        <s v="Kuwait City"/>
        <s v="Hawally"/>
        <s v="Salmiya"/>
        <s v="Farwaniya"/>
        <s v="Ahmadi"/>
        <s v="Jahra"/>
      </sharedItems>
    </cacheField>
    <cacheField name="Product" numFmtId="0">
      <sharedItems count="4">
        <s v="Personal Tawarruq"/>
        <s v="Home Ijara"/>
        <s v="Auto Murabaha"/>
        <s v="SME Murabaha"/>
      </sharedItems>
    </cacheField>
    <cacheField name="Channel" numFmtId="0">
      <sharedItems count="3">
        <s v="Branch"/>
        <s v="Mobile App"/>
        <s v="Online"/>
      </sharedItems>
    </cacheField>
    <cacheField name="Amount" numFmtId="3">
      <sharedItems containsSemiMixedTypes="0" containsString="0" containsNumber="1" containsInteger="1" minValue="2000" maxValue="358800"/>
    </cacheField>
    <cacheField name="ProfitRate" numFmtId="10">
      <sharedItems containsSemiMixedTypes="0" containsString="0" containsNumber="1" minValue="3.04E-2" maxValue="7.9899999999999999E-2"/>
    </cacheField>
    <cacheField name="TenorMonths" numFmtId="0">
      <sharedItems containsSemiMixedTypes="0" containsString="0" containsNumber="1" containsInteger="1" minValue="12" maxValue="300"/>
    </cacheField>
    <cacheField name="Officer" numFmtId="0">
      <sharedItems/>
    </cacheField>
    <cacheField name="Status" numFmtId="0">
      <sharedItems count="3">
        <s v="Approved"/>
        <s v="Rejected"/>
        <s v="Pending"/>
      </sharedItems>
    </cacheField>
    <cacheField name="DecisionDate" numFmtId="0">
      <sharedItems containsNonDate="0" containsDate="1" containsString="0" containsBlank="1" minDate="2026-01-03T00:00:00" maxDate="2026-10-26T00:00:00"/>
    </cacheField>
    <cacheField name="Segment" numFmtId="0">
      <sharedItems count="3">
        <s v="Affluent"/>
        <s v="Mass"/>
        <s v="Premium"/>
      </sharedItems>
    </cacheField>
    <cacheField name="Nationality" numFmtId="0">
      <sharedItems/>
    </cacheField>
    <cacheField name="Age" numFmtId="0">
      <sharedItems containsSemiMixedTypes="0" containsString="0" containsNumber="1" containsInteger="1" minValue="22" maxValue="71"/>
    </cacheField>
    <cacheField name="AgeGroup" numFmtId="0">
      <sharedItems/>
    </cacheField>
    <cacheField name="DaysToDecision" numFmtId="165">
      <sharedItems containsMixedTypes="1" containsNumber="1" containsInteger="1" minValue="0" maxValue="34"/>
    </cacheField>
    <cacheField name="IsApproved" numFmtId="165">
      <sharedItems containsSemiMixedTypes="0" containsString="0" containsNumber="1" containsInteger="1" minValue="0" maxValue="1"/>
    </cacheField>
    <cacheField name="ApprovedAmount" numFmtId="165">
      <sharedItems containsSemiMixedTypes="0" containsString="0" containsNumber="1" containsInteger="1" minValue="0" maxValue="315100"/>
    </cacheField>
    <cacheField name="ExpectedAnnualProfit" numFmtId="165">
      <sharedItems containsSemiMixedTypes="0" containsString="0" containsNumber="1" minValue="0" maxValue="17549.07"/>
    </cacheField>
    <cacheField name="Days (ApplicationDate)" numFmtId="0" databaseField="0">
      <fieldGroup base="1">
        <rangePr groupBy="days" startDate="2026-01-01T00:00:00" endDate="2026-10-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6"/>
        </groupItems>
      </fieldGroup>
    </cacheField>
    <cacheField name="Months (ApplicationDate)" numFmtId="0" databaseField="0">
      <fieldGroup base="1">
        <rangePr groupBy="months" startDate="2026-01-01T00:00:00" endDate="2026-10-01T00:00:00"/>
        <groupItems count="14">
          <s v="&lt;01/01/2026"/>
          <s v="Jan"/>
          <s v="Feb"/>
          <s v="Mar"/>
          <s v="Apr"/>
          <s v="May"/>
          <s v="Jun"/>
          <s v="Jul"/>
          <s v="Aug"/>
          <s v="Sep"/>
          <s v="Oct"/>
          <s v="Nov"/>
          <s v="Dec"/>
          <s v="&gt;01/10/2026"/>
        </groupItems>
      </fieldGroup>
    </cacheField>
  </cacheFields>
  <extLst>
    <ext xmlns:x14="http://schemas.microsoft.com/office/spreadsheetml/2009/9/main" uri="{725AE2AE-9491-48be-B2B4-4EB974FC3084}">
      <x14:pivotCacheDefinition pivotCacheId="435349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3">
  <r>
    <s v="FN-00005"/>
    <x v="0"/>
    <s v="C0473"/>
    <x v="0"/>
    <x v="0"/>
    <x v="0"/>
    <n v="25000"/>
    <n v="5.8299999999999998E-2"/>
    <n v="12"/>
    <s v="OFF-KUW-1"/>
    <x v="0"/>
    <d v="2026-01-08T00:00:00"/>
    <x v="0"/>
    <s v="Kuwaiti"/>
    <n v="53"/>
    <s v="45+"/>
    <n v="7"/>
    <n v="1"/>
    <n v="25000"/>
    <n v="1457.5"/>
  </r>
  <r>
    <s v="FN-00013"/>
    <x v="0"/>
    <s v="C0939"/>
    <x v="1"/>
    <x v="1"/>
    <x v="0"/>
    <n v="122900"/>
    <n v="3.7499999999999999E-2"/>
    <n v="120"/>
    <s v="OFF-HAW-3"/>
    <x v="0"/>
    <d v="2026-01-14T00:00:00"/>
    <x v="1"/>
    <s v="Kuwaiti"/>
    <n v="23"/>
    <s v="Under 30"/>
    <n v="13"/>
    <n v="1"/>
    <n v="122900"/>
    <n v="4608.75"/>
  </r>
  <r>
    <s v="FN-00017"/>
    <x v="0"/>
    <s v="C0035"/>
    <x v="2"/>
    <x v="0"/>
    <x v="0"/>
    <n v="23200"/>
    <n v="6.8199999999999997E-2"/>
    <n v="12"/>
    <s v="OFF-SAL-1"/>
    <x v="0"/>
    <d v="2026-01-08T00:00:00"/>
    <x v="0"/>
    <s v="Kuwaiti"/>
    <n v="25"/>
    <s v="Under 30"/>
    <n v="7"/>
    <n v="1"/>
    <n v="23200"/>
    <n v="1582.24"/>
  </r>
  <r>
    <s v="FN-00019"/>
    <x v="0"/>
    <s v="C0228"/>
    <x v="3"/>
    <x v="2"/>
    <x v="1"/>
    <n v="11600"/>
    <n v="4.41E-2"/>
    <n v="48"/>
    <s v="OFF-FAR-2"/>
    <x v="0"/>
    <d v="2026-01-03T00:00:00"/>
    <x v="0"/>
    <s v="Kuwaiti"/>
    <n v="41"/>
    <s v="30-44"/>
    <n v="2"/>
    <n v="1"/>
    <n v="11600"/>
    <n v="511.56"/>
  </r>
  <r>
    <s v="FN-00048"/>
    <x v="0"/>
    <s v="C0904"/>
    <x v="2"/>
    <x v="0"/>
    <x v="1"/>
    <n v="24300"/>
    <n v="6.25E-2"/>
    <n v="60"/>
    <s v="OFF-SAL-1"/>
    <x v="0"/>
    <d v="2026-01-06T00:00:00"/>
    <x v="1"/>
    <s v="Kuwaiti"/>
    <n v="25"/>
    <s v="Under 30"/>
    <n v="5"/>
    <n v="1"/>
    <n v="24300"/>
    <n v="1518.75"/>
  </r>
  <r>
    <s v="FN-00077"/>
    <x v="0"/>
    <s v="C0890"/>
    <x v="1"/>
    <x v="0"/>
    <x v="0"/>
    <n v="10600"/>
    <n v="0.06"/>
    <n v="36"/>
    <s v="OFF-HAW-1"/>
    <x v="0"/>
    <d v="2026-01-03T00:00:00"/>
    <x v="1"/>
    <s v="Kuwaiti"/>
    <n v="31"/>
    <s v="30-44"/>
    <n v="2"/>
    <n v="1"/>
    <n v="10600"/>
    <n v="636"/>
  </r>
  <r>
    <s v="FN-00012"/>
    <x v="1"/>
    <s v="C0294"/>
    <x v="0"/>
    <x v="0"/>
    <x v="0"/>
    <n v="20300"/>
    <n v="6.3799999999999996E-2"/>
    <n v="12"/>
    <s v="OFF-KUW-2"/>
    <x v="0"/>
    <d v="2026-01-03T00:00:00"/>
    <x v="1"/>
    <s v="Kuwaiti"/>
    <n v="26"/>
    <s v="Under 30"/>
    <n v="1"/>
    <n v="1"/>
    <n v="20300"/>
    <n v="1295.1399999999999"/>
  </r>
  <r>
    <s v="FN-00021"/>
    <x v="1"/>
    <s v="C0103"/>
    <x v="1"/>
    <x v="3"/>
    <x v="0"/>
    <n v="55100"/>
    <n v="7.5999999999999998E-2"/>
    <n v="84"/>
    <s v="OFF-HAW-2"/>
    <x v="1"/>
    <d v="2026-01-19T00:00:00"/>
    <x v="0"/>
    <s v="Kuwaiti"/>
    <n v="50"/>
    <s v="45+"/>
    <n v="17"/>
    <n v="0"/>
    <n v="0"/>
    <n v="0"/>
  </r>
  <r>
    <s v="FN-00080"/>
    <x v="1"/>
    <s v="C0911"/>
    <x v="0"/>
    <x v="0"/>
    <x v="0"/>
    <n v="2000"/>
    <n v="5.5199999999999999E-2"/>
    <n v="24"/>
    <s v="OFF-KUW-3"/>
    <x v="0"/>
    <d v="2026-01-09T00:00:00"/>
    <x v="1"/>
    <s v="Kuwaiti"/>
    <n v="50"/>
    <s v="45+"/>
    <n v="7"/>
    <n v="1"/>
    <n v="2000"/>
    <n v="110.39999999999999"/>
  </r>
  <r>
    <s v="FN-00094"/>
    <x v="1"/>
    <s v="C0641"/>
    <x v="1"/>
    <x v="2"/>
    <x v="1"/>
    <n v="10600"/>
    <n v="4.7199999999999999E-2"/>
    <n v="36"/>
    <s v="OFF-HAW-1"/>
    <x v="0"/>
    <d v="2026-01-06T00:00:00"/>
    <x v="0"/>
    <s v="Kuwaiti"/>
    <n v="45"/>
    <s v="45+"/>
    <n v="4"/>
    <n v="1"/>
    <n v="10600"/>
    <n v="500.32"/>
  </r>
  <r>
    <s v="FN-00032"/>
    <x v="2"/>
    <s v="C0405"/>
    <x v="4"/>
    <x v="2"/>
    <x v="2"/>
    <n v="9600"/>
    <n v="4.2000000000000003E-2"/>
    <n v="36"/>
    <s v="OFF-AHM-1"/>
    <x v="0"/>
    <d v="2026-01-07T00:00:00"/>
    <x v="2"/>
    <s v="Kuwaiti"/>
    <n v="23"/>
    <s v="Under 30"/>
    <n v="4"/>
    <n v="1"/>
    <n v="9600"/>
    <n v="403.20000000000005"/>
  </r>
  <r>
    <s v="FN-00063"/>
    <x v="2"/>
    <s v="C0884"/>
    <x v="1"/>
    <x v="0"/>
    <x v="0"/>
    <n v="12700"/>
    <n v="5.4600000000000003E-2"/>
    <n v="24"/>
    <s v="OFF-HAW-3"/>
    <x v="0"/>
    <d v="2026-01-09T00:00:00"/>
    <x v="0"/>
    <s v="Kuwaiti"/>
    <n v="64"/>
    <s v="45+"/>
    <n v="6"/>
    <n v="1"/>
    <n v="12700"/>
    <n v="693.42000000000007"/>
  </r>
  <r>
    <s v="FN-00107"/>
    <x v="2"/>
    <s v="C0332"/>
    <x v="3"/>
    <x v="0"/>
    <x v="0"/>
    <n v="12300"/>
    <n v="6.1800000000000001E-2"/>
    <n v="60"/>
    <s v="OFF-FAR-1"/>
    <x v="0"/>
    <d v="2026-01-05T00:00:00"/>
    <x v="1"/>
    <s v="Non-Kuwaiti"/>
    <n v="43"/>
    <s v="30-44"/>
    <n v="2"/>
    <n v="1"/>
    <n v="12300"/>
    <n v="760.14"/>
  </r>
  <r>
    <s v="FN-00043"/>
    <x v="3"/>
    <s v="C0874"/>
    <x v="1"/>
    <x v="3"/>
    <x v="1"/>
    <n v="110700"/>
    <n v="7.9200000000000007E-2"/>
    <n v="84"/>
    <s v="OFF-HAW-3"/>
    <x v="1"/>
    <d v="2026-01-19T00:00:00"/>
    <x v="1"/>
    <s v="Kuwaiti"/>
    <n v="35"/>
    <s v="30-44"/>
    <n v="15"/>
    <n v="0"/>
    <n v="0"/>
    <n v="0"/>
  </r>
  <r>
    <s v="FN-00047"/>
    <x v="3"/>
    <s v="C0780"/>
    <x v="2"/>
    <x v="2"/>
    <x v="0"/>
    <n v="7400"/>
    <n v="3.85E-2"/>
    <n v="60"/>
    <s v="OFF-SAL-3"/>
    <x v="1"/>
    <d v="2026-01-08T00:00:00"/>
    <x v="1"/>
    <s v="Non-Kuwaiti"/>
    <n v="25"/>
    <s v="Under 30"/>
    <n v="4"/>
    <n v="0"/>
    <n v="0"/>
    <n v="0"/>
  </r>
  <r>
    <s v="FN-00086"/>
    <x v="3"/>
    <s v="C0438"/>
    <x v="1"/>
    <x v="0"/>
    <x v="0"/>
    <n v="12300"/>
    <n v="5.6099999999999997E-2"/>
    <n v="12"/>
    <s v="OFF-HAW-2"/>
    <x v="0"/>
    <d v="2026-01-11T00:00:00"/>
    <x v="1"/>
    <s v="Non-Kuwaiti"/>
    <n v="33"/>
    <s v="30-44"/>
    <n v="7"/>
    <n v="1"/>
    <n v="12300"/>
    <n v="690.03"/>
  </r>
  <r>
    <s v="FN-00099"/>
    <x v="3"/>
    <s v="C0599"/>
    <x v="5"/>
    <x v="0"/>
    <x v="1"/>
    <n v="3000"/>
    <n v="6.3899999999999998E-2"/>
    <n v="24"/>
    <s v="OFF-JAH-1"/>
    <x v="0"/>
    <d v="2026-01-07T00:00:00"/>
    <x v="1"/>
    <s v="Kuwaiti"/>
    <n v="49"/>
    <s v="45+"/>
    <n v="3"/>
    <n v="1"/>
    <n v="3000"/>
    <n v="191.7"/>
  </r>
  <r>
    <s v="FN-00120"/>
    <x v="3"/>
    <s v="C0564"/>
    <x v="2"/>
    <x v="3"/>
    <x v="0"/>
    <n v="148100"/>
    <n v="7.5600000000000001E-2"/>
    <n v="24"/>
    <s v="OFF-SAL-3"/>
    <x v="1"/>
    <d v="2026-01-21T00:00:00"/>
    <x v="1"/>
    <s v="Non-Kuwaiti"/>
    <n v="37"/>
    <s v="30-44"/>
    <n v="17"/>
    <n v="0"/>
    <n v="0"/>
    <n v="0"/>
  </r>
  <r>
    <s v="FN-00051"/>
    <x v="4"/>
    <s v="C0798"/>
    <x v="5"/>
    <x v="3"/>
    <x v="0"/>
    <n v="77100"/>
    <n v="7.7200000000000005E-2"/>
    <n v="84"/>
    <s v="OFF-JAH-1"/>
    <x v="1"/>
    <d v="2026-01-14T00:00:00"/>
    <x v="1"/>
    <s v="Kuwaiti"/>
    <n v="53"/>
    <s v="45+"/>
    <n v="9"/>
    <n v="0"/>
    <n v="0"/>
    <n v="0"/>
  </r>
  <r>
    <s v="FN-00073"/>
    <x v="4"/>
    <s v="C0840"/>
    <x v="3"/>
    <x v="3"/>
    <x v="0"/>
    <n v="38400"/>
    <n v="6.3100000000000003E-2"/>
    <n v="24"/>
    <s v="OFF-FAR-1"/>
    <x v="0"/>
    <d v="2026-01-13T00:00:00"/>
    <x v="1"/>
    <s v="Kuwaiti"/>
    <n v="34"/>
    <s v="30-44"/>
    <n v="8"/>
    <n v="1"/>
    <n v="38400"/>
    <n v="2423.04"/>
  </r>
  <r>
    <s v="FN-00083"/>
    <x v="4"/>
    <s v="C0311"/>
    <x v="1"/>
    <x v="3"/>
    <x v="0"/>
    <n v="55100"/>
    <n v="7.7100000000000002E-2"/>
    <n v="60"/>
    <s v="OFF-HAW-2"/>
    <x v="1"/>
    <d v="2026-01-16T00:00:00"/>
    <x v="1"/>
    <s v="Non-Kuwaiti"/>
    <n v="47"/>
    <s v="45+"/>
    <n v="11"/>
    <n v="0"/>
    <n v="0"/>
    <n v="0"/>
  </r>
  <r>
    <s v="FN-00108"/>
    <x v="4"/>
    <s v="C0727"/>
    <x v="1"/>
    <x v="3"/>
    <x v="0"/>
    <n v="62100"/>
    <n v="5.6500000000000002E-2"/>
    <n v="36"/>
    <s v="OFF-HAW-2"/>
    <x v="1"/>
    <d v="2026-01-25T00:00:00"/>
    <x v="1"/>
    <s v="Non-Kuwaiti"/>
    <n v="23"/>
    <s v="Under 30"/>
    <n v="20"/>
    <n v="0"/>
    <n v="0"/>
    <n v="0"/>
  </r>
  <r>
    <s v="FN-00022"/>
    <x v="5"/>
    <s v="C0022"/>
    <x v="1"/>
    <x v="0"/>
    <x v="0"/>
    <n v="8900"/>
    <n v="5.5500000000000001E-2"/>
    <n v="12"/>
    <s v="OFF-HAW-3"/>
    <x v="0"/>
    <d v="2026-01-07T00:00:00"/>
    <x v="1"/>
    <s v="Kuwaiti"/>
    <n v="43"/>
    <s v="30-44"/>
    <n v="1"/>
    <n v="1"/>
    <n v="8900"/>
    <n v="493.95"/>
  </r>
  <r>
    <s v="FN-00057"/>
    <x v="5"/>
    <s v="C0881"/>
    <x v="1"/>
    <x v="2"/>
    <x v="0"/>
    <n v="13400"/>
    <n v="3.5299999999999998E-2"/>
    <n v="48"/>
    <s v="OFF-HAW-1"/>
    <x v="1"/>
    <d v="2026-01-08T00:00:00"/>
    <x v="0"/>
    <s v="Kuwaiti"/>
    <n v="33"/>
    <s v="30-44"/>
    <n v="2"/>
    <n v="0"/>
    <n v="0"/>
    <n v="0"/>
  </r>
  <r>
    <s v="FN-00075"/>
    <x v="5"/>
    <s v="C0465"/>
    <x v="4"/>
    <x v="1"/>
    <x v="2"/>
    <n v="199400"/>
    <n v="3.2000000000000001E-2"/>
    <n v="120"/>
    <s v="OFF-AHM-1"/>
    <x v="1"/>
    <d v="2026-01-28T00:00:00"/>
    <x v="1"/>
    <s v="Non-Kuwaiti"/>
    <n v="70"/>
    <s v="45+"/>
    <n v="22"/>
    <n v="0"/>
    <n v="0"/>
    <n v="0"/>
  </r>
  <r>
    <s v="FN-00036"/>
    <x v="6"/>
    <s v="C0587"/>
    <x v="5"/>
    <x v="2"/>
    <x v="0"/>
    <n v="8800"/>
    <n v="4.1500000000000002E-2"/>
    <n v="60"/>
    <s v="OFF-JAH-3"/>
    <x v="0"/>
    <d v="2026-01-10T00:00:00"/>
    <x v="0"/>
    <s v="Kuwaiti"/>
    <n v="33"/>
    <s v="30-44"/>
    <n v="3"/>
    <n v="1"/>
    <n v="8800"/>
    <n v="365.20000000000005"/>
  </r>
  <r>
    <s v="FN-00116"/>
    <x v="6"/>
    <s v="C0898"/>
    <x v="0"/>
    <x v="0"/>
    <x v="0"/>
    <n v="16600"/>
    <n v="6.5199999999999994E-2"/>
    <n v="48"/>
    <s v="OFF-KUW-1"/>
    <x v="0"/>
    <d v="2026-01-11T00:00:00"/>
    <x v="2"/>
    <s v="Kuwaiti"/>
    <n v="41"/>
    <s v="30-44"/>
    <n v="4"/>
    <n v="1"/>
    <n v="16600"/>
    <n v="1082.32"/>
  </r>
  <r>
    <s v="FN-00029"/>
    <x v="7"/>
    <s v="C0078"/>
    <x v="3"/>
    <x v="1"/>
    <x v="2"/>
    <n v="215000"/>
    <n v="4.3200000000000002E-2"/>
    <n v="300"/>
    <s v="OFF-FAR-2"/>
    <x v="0"/>
    <d v="2026-02-01T00:00:00"/>
    <x v="1"/>
    <s v="Kuwaiti"/>
    <n v="48"/>
    <s v="45+"/>
    <n v="24"/>
    <n v="1"/>
    <n v="215000"/>
    <n v="9288"/>
  </r>
  <r>
    <s v="FN-00039"/>
    <x v="7"/>
    <s v="C0694"/>
    <x v="5"/>
    <x v="1"/>
    <x v="0"/>
    <n v="78800"/>
    <n v="3.7400000000000003E-2"/>
    <n v="300"/>
    <s v="OFF-JAH-2"/>
    <x v="0"/>
    <d v="2026-01-28T00:00:00"/>
    <x v="0"/>
    <s v="Kuwaiti"/>
    <n v="34"/>
    <s v="30-44"/>
    <n v="20"/>
    <n v="1"/>
    <n v="78800"/>
    <n v="2947.1200000000003"/>
  </r>
  <r>
    <s v="FN-00010"/>
    <x v="8"/>
    <s v="C0648"/>
    <x v="0"/>
    <x v="0"/>
    <x v="0"/>
    <n v="20800"/>
    <n v="6.7500000000000004E-2"/>
    <n v="24"/>
    <s v="OFF-KUW-1"/>
    <x v="0"/>
    <d v="2026-01-15T00:00:00"/>
    <x v="1"/>
    <s v="Kuwaiti"/>
    <n v="36"/>
    <s v="30-44"/>
    <n v="6"/>
    <n v="1"/>
    <n v="20800"/>
    <n v="1404"/>
  </r>
  <r>
    <s v="FN-00020"/>
    <x v="8"/>
    <s v="C0321"/>
    <x v="5"/>
    <x v="0"/>
    <x v="0"/>
    <n v="25000"/>
    <n v="5.1999999999999998E-2"/>
    <n v="36"/>
    <s v="OFF-JAH-3"/>
    <x v="1"/>
    <d v="2026-01-13T00:00:00"/>
    <x v="2"/>
    <s v="Kuwaiti"/>
    <n v="48"/>
    <s v="45+"/>
    <n v="4"/>
    <n v="0"/>
    <n v="0"/>
    <n v="0"/>
  </r>
  <r>
    <s v="FN-00109"/>
    <x v="8"/>
    <s v="C0896"/>
    <x v="5"/>
    <x v="3"/>
    <x v="0"/>
    <n v="105600"/>
    <n v="6.08E-2"/>
    <n v="60"/>
    <s v="OFF-JAH-1"/>
    <x v="1"/>
    <d v="2026-01-29T00:00:00"/>
    <x v="2"/>
    <s v="Non-Kuwaiti"/>
    <n v="34"/>
    <s v="30-44"/>
    <n v="20"/>
    <n v="0"/>
    <n v="0"/>
    <n v="0"/>
  </r>
  <r>
    <s v="FN-00115"/>
    <x v="8"/>
    <s v="C0701"/>
    <x v="1"/>
    <x v="3"/>
    <x v="1"/>
    <n v="60400"/>
    <n v="6.1499999999999999E-2"/>
    <n v="36"/>
    <s v="OFF-HAW-3"/>
    <x v="0"/>
    <d v="2026-01-30T00:00:00"/>
    <x v="2"/>
    <s v="Kuwaiti"/>
    <n v="40"/>
    <s v="30-44"/>
    <n v="21"/>
    <n v="1"/>
    <n v="60400"/>
    <n v="3714.6"/>
  </r>
  <r>
    <s v="FN-00118"/>
    <x v="8"/>
    <s v="C0132"/>
    <x v="5"/>
    <x v="3"/>
    <x v="0"/>
    <n v="110800"/>
    <n v="6.6500000000000004E-2"/>
    <n v="36"/>
    <s v="OFF-JAH-1"/>
    <x v="0"/>
    <d v="2026-01-19T00:00:00"/>
    <x v="1"/>
    <s v="Kuwaiti"/>
    <n v="25"/>
    <s v="Under 30"/>
    <n v="10"/>
    <n v="1"/>
    <n v="110800"/>
    <n v="7368.2000000000007"/>
  </r>
  <r>
    <s v="FN-00030"/>
    <x v="9"/>
    <s v="C0819"/>
    <x v="5"/>
    <x v="0"/>
    <x v="0"/>
    <n v="14600"/>
    <n v="5.3499999999999999E-2"/>
    <n v="60"/>
    <s v="OFF-JAH-1"/>
    <x v="0"/>
    <d v="2026-01-15T00:00:00"/>
    <x v="1"/>
    <s v="Kuwaiti"/>
    <n v="40"/>
    <s v="30-44"/>
    <n v="5"/>
    <n v="1"/>
    <n v="14600"/>
    <n v="781.1"/>
  </r>
  <r>
    <s v="FN-00058"/>
    <x v="9"/>
    <s v="C0759"/>
    <x v="1"/>
    <x v="0"/>
    <x v="1"/>
    <n v="14600"/>
    <n v="6.6299999999999998E-2"/>
    <n v="12"/>
    <s v="OFF-HAW-2"/>
    <x v="0"/>
    <d v="2026-01-11T00:00:00"/>
    <x v="0"/>
    <s v="Kuwaiti"/>
    <n v="38"/>
    <s v="30-44"/>
    <n v="1"/>
    <n v="1"/>
    <n v="14600"/>
    <n v="967.98"/>
  </r>
  <r>
    <s v="FN-00076"/>
    <x v="9"/>
    <s v="C0689"/>
    <x v="1"/>
    <x v="3"/>
    <x v="0"/>
    <n v="125200"/>
    <n v="6.8900000000000003E-2"/>
    <n v="60"/>
    <s v="OFF-HAW-1"/>
    <x v="0"/>
    <d v="2026-01-26T00:00:00"/>
    <x v="1"/>
    <s v="Non-Kuwaiti"/>
    <n v="58"/>
    <s v="45+"/>
    <n v="16"/>
    <n v="1"/>
    <n v="125200"/>
    <n v="8626.2800000000007"/>
  </r>
  <r>
    <s v="FN-00091"/>
    <x v="9"/>
    <s v="C0784"/>
    <x v="1"/>
    <x v="2"/>
    <x v="0"/>
    <n v="9300"/>
    <n v="4.6800000000000001E-2"/>
    <n v="36"/>
    <s v="OFF-HAW-2"/>
    <x v="0"/>
    <d v="2026-01-13T00:00:00"/>
    <x v="1"/>
    <s v="Kuwaiti"/>
    <n v="31"/>
    <s v="30-44"/>
    <n v="3"/>
    <n v="1"/>
    <n v="9300"/>
    <n v="435.24"/>
  </r>
  <r>
    <s v="FN-00006"/>
    <x v="10"/>
    <s v="C0464"/>
    <x v="3"/>
    <x v="1"/>
    <x v="1"/>
    <n v="286500"/>
    <n v="3.3099999999999997E-2"/>
    <n v="300"/>
    <s v="OFF-FAR-3"/>
    <x v="0"/>
    <d v="2026-02-01T00:00:00"/>
    <x v="0"/>
    <s v="Non-Kuwaiti"/>
    <n v="39"/>
    <s v="30-44"/>
    <n v="21"/>
    <n v="1"/>
    <n v="286500"/>
    <n v="9483.15"/>
  </r>
  <r>
    <s v="FN-00037"/>
    <x v="10"/>
    <s v="C0513"/>
    <x v="1"/>
    <x v="2"/>
    <x v="0"/>
    <n v="7700"/>
    <n v="4.5600000000000002E-2"/>
    <n v="60"/>
    <s v="OFF-HAW-2"/>
    <x v="1"/>
    <d v="2026-01-14T00:00:00"/>
    <x v="1"/>
    <s v="Non-Kuwaiti"/>
    <n v="34"/>
    <s v="30-44"/>
    <n v="3"/>
    <n v="0"/>
    <n v="0"/>
    <n v="0"/>
  </r>
  <r>
    <s v="FN-00044"/>
    <x v="10"/>
    <s v="C0393"/>
    <x v="3"/>
    <x v="2"/>
    <x v="0"/>
    <n v="16700"/>
    <n v="4.2500000000000003E-2"/>
    <n v="48"/>
    <s v="OFF-FAR-1"/>
    <x v="0"/>
    <d v="2026-01-12T00:00:00"/>
    <x v="0"/>
    <s v="Non-Kuwaiti"/>
    <n v="25"/>
    <s v="Under 30"/>
    <n v="1"/>
    <n v="1"/>
    <n v="16700"/>
    <n v="709.75"/>
  </r>
  <r>
    <s v="FN-00082"/>
    <x v="10"/>
    <s v="C0304"/>
    <x v="1"/>
    <x v="2"/>
    <x v="1"/>
    <n v="10400"/>
    <n v="3.7600000000000001E-2"/>
    <n v="48"/>
    <s v="OFF-HAW-3"/>
    <x v="1"/>
    <d v="2026-01-12T00:00:00"/>
    <x v="1"/>
    <s v="Kuwaiti"/>
    <n v="54"/>
    <s v="45+"/>
    <n v="1"/>
    <n v="0"/>
    <n v="0"/>
    <n v="0"/>
  </r>
  <r>
    <s v="FN-00102"/>
    <x v="10"/>
    <s v="C0049"/>
    <x v="1"/>
    <x v="2"/>
    <x v="0"/>
    <n v="16200"/>
    <n v="4.2299999999999997E-2"/>
    <n v="48"/>
    <s v="OFF-HAW-2"/>
    <x v="1"/>
    <d v="2026-01-13T00:00:00"/>
    <x v="0"/>
    <s v="Kuwaiti"/>
    <n v="49"/>
    <s v="45+"/>
    <n v="2"/>
    <n v="0"/>
    <n v="0"/>
    <n v="0"/>
  </r>
  <r>
    <s v="FN-00003"/>
    <x v="11"/>
    <s v="C0492"/>
    <x v="5"/>
    <x v="0"/>
    <x v="2"/>
    <n v="5600"/>
    <n v="5.6099999999999997E-2"/>
    <n v="12"/>
    <s v="OFF-JAH-1"/>
    <x v="0"/>
    <d v="2026-01-19T00:00:00"/>
    <x v="1"/>
    <s v="Non-Kuwaiti"/>
    <n v="26"/>
    <s v="Under 30"/>
    <n v="7"/>
    <n v="1"/>
    <n v="5600"/>
    <n v="314.15999999999997"/>
  </r>
  <r>
    <s v="FN-00090"/>
    <x v="11"/>
    <s v="C0153"/>
    <x v="2"/>
    <x v="2"/>
    <x v="2"/>
    <n v="14500"/>
    <n v="4.4499999999999998E-2"/>
    <n v="48"/>
    <s v="OFF-SAL-1"/>
    <x v="0"/>
    <d v="2026-01-14T00:00:00"/>
    <x v="1"/>
    <s v="Kuwaiti"/>
    <n v="29"/>
    <s v="Under 30"/>
    <n v="2"/>
    <n v="1"/>
    <n v="14500"/>
    <n v="645.25"/>
  </r>
  <r>
    <s v="FN-00101"/>
    <x v="11"/>
    <s v="C0912"/>
    <x v="5"/>
    <x v="0"/>
    <x v="0"/>
    <n v="6200"/>
    <n v="6.0400000000000002E-2"/>
    <n v="36"/>
    <s v="OFF-JAH-1"/>
    <x v="0"/>
    <d v="2026-01-13T00:00:00"/>
    <x v="1"/>
    <s v="Non-Kuwaiti"/>
    <n v="40"/>
    <s v="30-44"/>
    <n v="1"/>
    <n v="1"/>
    <n v="6200"/>
    <n v="374.48"/>
  </r>
  <r>
    <s v="FN-00110"/>
    <x v="11"/>
    <s v="C0723"/>
    <x v="3"/>
    <x v="0"/>
    <x v="0"/>
    <n v="5300"/>
    <n v="5.1200000000000002E-2"/>
    <n v="48"/>
    <s v="OFF-FAR-3"/>
    <x v="0"/>
    <d v="2026-01-13T00:00:00"/>
    <x v="1"/>
    <s v="Kuwaiti"/>
    <n v="50"/>
    <s v="45+"/>
    <n v="1"/>
    <n v="1"/>
    <n v="5300"/>
    <n v="271.36"/>
  </r>
  <r>
    <s v="FN-00026"/>
    <x v="12"/>
    <s v="C0731"/>
    <x v="3"/>
    <x v="0"/>
    <x v="0"/>
    <n v="23500"/>
    <n v="5.3699999999999998E-2"/>
    <n v="48"/>
    <s v="OFF-FAR-1"/>
    <x v="0"/>
    <d v="2026-01-18T00:00:00"/>
    <x v="0"/>
    <s v="Kuwaiti"/>
    <n v="40"/>
    <s v="30-44"/>
    <n v="5"/>
    <n v="1"/>
    <n v="23500"/>
    <n v="1261.95"/>
  </r>
  <r>
    <s v="FN-00042"/>
    <x v="12"/>
    <s v="C0904"/>
    <x v="2"/>
    <x v="2"/>
    <x v="0"/>
    <n v="10700"/>
    <n v="4.99E-2"/>
    <n v="36"/>
    <s v="OFF-SAL-1"/>
    <x v="0"/>
    <d v="2026-01-16T00:00:00"/>
    <x v="1"/>
    <s v="Kuwaiti"/>
    <n v="25"/>
    <s v="Under 30"/>
    <n v="3"/>
    <n v="1"/>
    <n v="10700"/>
    <n v="533.92999999999995"/>
  </r>
  <r>
    <s v="FN-00045"/>
    <x v="12"/>
    <s v="C0510"/>
    <x v="3"/>
    <x v="0"/>
    <x v="1"/>
    <n v="18100"/>
    <n v="5.2299999999999999E-2"/>
    <n v="36"/>
    <s v="OFF-FAR-1"/>
    <x v="0"/>
    <d v="2026-01-20T00:00:00"/>
    <x v="0"/>
    <s v="Non-Kuwaiti"/>
    <n v="56"/>
    <s v="45+"/>
    <n v="7"/>
    <n v="1"/>
    <n v="18100"/>
    <n v="946.63"/>
  </r>
  <r>
    <s v="FN-00053"/>
    <x v="12"/>
    <s v="C0698"/>
    <x v="4"/>
    <x v="3"/>
    <x v="0"/>
    <n v="62800"/>
    <n v="5.8900000000000001E-2"/>
    <n v="24"/>
    <s v="OFF-AHM-3"/>
    <x v="0"/>
    <d v="2026-01-24T00:00:00"/>
    <x v="1"/>
    <s v="Kuwaiti"/>
    <n v="24"/>
    <s v="Under 30"/>
    <n v="11"/>
    <n v="1"/>
    <n v="62800"/>
    <n v="3698.92"/>
  </r>
  <r>
    <s v="FN-00059"/>
    <x v="12"/>
    <s v="C0166"/>
    <x v="0"/>
    <x v="3"/>
    <x v="2"/>
    <n v="31300"/>
    <n v="7.7700000000000005E-2"/>
    <n v="36"/>
    <s v="OFF-KUW-2"/>
    <x v="0"/>
    <d v="2026-01-22T00:00:00"/>
    <x v="2"/>
    <s v="Kuwaiti"/>
    <n v="28"/>
    <s v="Under 30"/>
    <n v="9"/>
    <n v="1"/>
    <n v="31300"/>
    <n v="2432.0100000000002"/>
  </r>
  <r>
    <s v="FN-00041"/>
    <x v="13"/>
    <s v="C0089"/>
    <x v="1"/>
    <x v="0"/>
    <x v="1"/>
    <n v="19900"/>
    <n v="6.1699999999999998E-2"/>
    <n v="48"/>
    <s v="OFF-HAW-2"/>
    <x v="0"/>
    <d v="2026-01-17T00:00:00"/>
    <x v="1"/>
    <s v="Kuwaiti"/>
    <n v="32"/>
    <s v="30-44"/>
    <n v="3"/>
    <n v="1"/>
    <n v="19900"/>
    <n v="1227.83"/>
  </r>
  <r>
    <s v="FN-00062"/>
    <x v="13"/>
    <s v="C0290"/>
    <x v="0"/>
    <x v="0"/>
    <x v="2"/>
    <n v="20300"/>
    <n v="5.6099999999999997E-2"/>
    <n v="12"/>
    <s v="OFF-KUW-2"/>
    <x v="0"/>
    <d v="2026-01-15T00:00:00"/>
    <x v="1"/>
    <s v="Kuwaiti"/>
    <n v="36"/>
    <s v="30-44"/>
    <n v="1"/>
    <n v="1"/>
    <n v="20300"/>
    <n v="1138.83"/>
  </r>
  <r>
    <s v="FN-00064"/>
    <x v="13"/>
    <s v="C0007"/>
    <x v="2"/>
    <x v="2"/>
    <x v="0"/>
    <n v="15200"/>
    <n v="4.8399999999999999E-2"/>
    <n v="60"/>
    <s v="OFF-SAL-3"/>
    <x v="0"/>
    <d v="2026-01-15T00:00:00"/>
    <x v="0"/>
    <s v="Kuwaiti"/>
    <n v="63"/>
    <s v="45+"/>
    <n v="1"/>
    <n v="1"/>
    <n v="15200"/>
    <n v="735.68"/>
  </r>
  <r>
    <s v="FN-00069"/>
    <x v="13"/>
    <s v="C0111"/>
    <x v="0"/>
    <x v="0"/>
    <x v="0"/>
    <n v="7000"/>
    <n v="6.5000000000000002E-2"/>
    <n v="36"/>
    <s v="OFF-KUW-3"/>
    <x v="0"/>
    <d v="2026-01-18T00:00:00"/>
    <x v="2"/>
    <s v="Non-Kuwaiti"/>
    <n v="61"/>
    <s v="45+"/>
    <n v="4"/>
    <n v="1"/>
    <n v="7000"/>
    <n v="455"/>
  </r>
  <r>
    <s v="FN-00070"/>
    <x v="13"/>
    <s v="C0246"/>
    <x v="4"/>
    <x v="0"/>
    <x v="0"/>
    <n v="21700"/>
    <n v="5.8500000000000003E-2"/>
    <n v="48"/>
    <s v="OFF-AHM-3"/>
    <x v="0"/>
    <d v="2026-01-17T00:00:00"/>
    <x v="2"/>
    <s v="Non-Kuwaiti"/>
    <n v="64"/>
    <s v="45+"/>
    <n v="3"/>
    <n v="1"/>
    <n v="21700"/>
    <n v="1269.45"/>
  </r>
  <r>
    <s v="FN-00087"/>
    <x v="13"/>
    <s v="C0811"/>
    <x v="1"/>
    <x v="3"/>
    <x v="0"/>
    <n v="84800"/>
    <n v="7.7799999999999994E-2"/>
    <n v="24"/>
    <s v="OFF-HAW-1"/>
    <x v="0"/>
    <d v="2026-01-25T00:00:00"/>
    <x v="1"/>
    <s v="Kuwaiti"/>
    <n v="24"/>
    <s v="Under 30"/>
    <n v="11"/>
    <n v="1"/>
    <n v="84800"/>
    <n v="6597.44"/>
  </r>
  <r>
    <s v="FN-00097"/>
    <x v="13"/>
    <s v="C0278"/>
    <x v="2"/>
    <x v="3"/>
    <x v="0"/>
    <n v="80000"/>
    <n v="6.0199999999999997E-2"/>
    <n v="36"/>
    <s v="OFF-SAL-1"/>
    <x v="1"/>
    <d v="2026-01-24T00:00:00"/>
    <x v="1"/>
    <s v="Kuwaiti"/>
    <n v="44"/>
    <s v="30-44"/>
    <n v="10"/>
    <n v="0"/>
    <n v="0"/>
    <n v="0"/>
  </r>
  <r>
    <s v="FN-00106"/>
    <x v="13"/>
    <s v="C0069"/>
    <x v="1"/>
    <x v="0"/>
    <x v="0"/>
    <n v="11900"/>
    <n v="5.7799999999999997E-2"/>
    <n v="36"/>
    <s v="OFF-HAW-3"/>
    <x v="0"/>
    <d v="2026-01-17T00:00:00"/>
    <x v="0"/>
    <s v="Non-Kuwaiti"/>
    <n v="22"/>
    <s v="Under 30"/>
    <n v="3"/>
    <n v="1"/>
    <n v="11900"/>
    <n v="687.81999999999994"/>
  </r>
  <r>
    <s v="FN-00014"/>
    <x v="14"/>
    <s v="C0455"/>
    <x v="1"/>
    <x v="0"/>
    <x v="0"/>
    <n v="10900"/>
    <n v="6.9400000000000003E-2"/>
    <n v="48"/>
    <s v="OFF-HAW-2"/>
    <x v="0"/>
    <d v="2026-01-21T00:00:00"/>
    <x v="2"/>
    <s v="Kuwaiti"/>
    <n v="46"/>
    <s v="45+"/>
    <n v="6"/>
    <n v="1"/>
    <n v="10900"/>
    <n v="756.46"/>
  </r>
  <r>
    <s v="FN-00034"/>
    <x v="14"/>
    <s v="C0060"/>
    <x v="1"/>
    <x v="2"/>
    <x v="2"/>
    <n v="15800"/>
    <n v="3.6900000000000002E-2"/>
    <n v="60"/>
    <s v="OFF-HAW-3"/>
    <x v="0"/>
    <d v="2026-01-16T00:00:00"/>
    <x v="0"/>
    <s v="Kuwaiti"/>
    <n v="46"/>
    <s v="45+"/>
    <n v="1"/>
    <n v="1"/>
    <n v="15800"/>
    <n v="583.02"/>
  </r>
  <r>
    <s v="FN-00071"/>
    <x v="14"/>
    <s v="C0512"/>
    <x v="2"/>
    <x v="2"/>
    <x v="0"/>
    <n v="4600"/>
    <n v="3.7400000000000003E-2"/>
    <n v="36"/>
    <s v="OFF-SAL-1"/>
    <x v="0"/>
    <d v="2026-01-16T00:00:00"/>
    <x v="1"/>
    <s v="Kuwaiti"/>
    <n v="34"/>
    <s v="30-44"/>
    <n v="1"/>
    <n v="1"/>
    <n v="4600"/>
    <n v="172.04000000000002"/>
  </r>
  <r>
    <s v="FN-00023"/>
    <x v="15"/>
    <s v="C0378"/>
    <x v="0"/>
    <x v="0"/>
    <x v="0"/>
    <n v="13600"/>
    <n v="6.4399999999999999E-2"/>
    <n v="60"/>
    <s v="OFF-KUW-2"/>
    <x v="0"/>
    <d v="2026-01-20T00:00:00"/>
    <x v="1"/>
    <s v="Non-Kuwaiti"/>
    <n v="71"/>
    <s v="45+"/>
    <n v="4"/>
    <n v="1"/>
    <n v="13600"/>
    <n v="875.84"/>
  </r>
  <r>
    <s v="FN-00031"/>
    <x v="15"/>
    <s v="C0105"/>
    <x v="2"/>
    <x v="0"/>
    <x v="0"/>
    <n v="14700"/>
    <n v="6.9599999999999995E-2"/>
    <n v="36"/>
    <s v="OFF-SAL-2"/>
    <x v="1"/>
    <d v="2026-01-23T00:00:00"/>
    <x v="1"/>
    <s v="Kuwaiti"/>
    <n v="42"/>
    <s v="30-44"/>
    <n v="7"/>
    <n v="0"/>
    <n v="0"/>
    <n v="0"/>
  </r>
  <r>
    <s v="FN-00066"/>
    <x v="15"/>
    <s v="C0637"/>
    <x v="0"/>
    <x v="0"/>
    <x v="2"/>
    <n v="16700"/>
    <n v="6.7400000000000002E-2"/>
    <n v="12"/>
    <s v="OFF-KUW-2"/>
    <x v="0"/>
    <d v="2026-01-23T00:00:00"/>
    <x v="1"/>
    <s v="Non-Kuwaiti"/>
    <n v="54"/>
    <s v="45+"/>
    <n v="7"/>
    <n v="1"/>
    <n v="16700"/>
    <n v="1125.58"/>
  </r>
  <r>
    <s v="FN-00072"/>
    <x v="15"/>
    <s v="C0453"/>
    <x v="4"/>
    <x v="1"/>
    <x v="0"/>
    <n v="64500"/>
    <n v="4.1000000000000002E-2"/>
    <n v="120"/>
    <s v="OFF-AHM-2"/>
    <x v="0"/>
    <d v="2026-02-01T00:00:00"/>
    <x v="0"/>
    <s v="Non-Kuwaiti"/>
    <n v="53"/>
    <s v="45+"/>
    <n v="16"/>
    <n v="1"/>
    <n v="64500"/>
    <n v="2644.5"/>
  </r>
  <r>
    <s v="FN-00074"/>
    <x v="15"/>
    <s v="C0882"/>
    <x v="3"/>
    <x v="0"/>
    <x v="0"/>
    <n v="8400"/>
    <n v="5.8900000000000001E-2"/>
    <n v="48"/>
    <s v="OFF-FAR-1"/>
    <x v="0"/>
    <d v="2026-01-18T00:00:00"/>
    <x v="1"/>
    <s v="Kuwaiti"/>
    <n v="55"/>
    <s v="45+"/>
    <n v="2"/>
    <n v="1"/>
    <n v="8400"/>
    <n v="494.76"/>
  </r>
  <r>
    <s v="FN-00095"/>
    <x v="15"/>
    <s v="C0210"/>
    <x v="5"/>
    <x v="2"/>
    <x v="0"/>
    <n v="10000"/>
    <n v="4.9599999999999998E-2"/>
    <n v="60"/>
    <s v="OFF-JAH-3"/>
    <x v="1"/>
    <d v="2026-01-17T00:00:00"/>
    <x v="0"/>
    <s v="Kuwaiti"/>
    <n v="42"/>
    <s v="30-44"/>
    <n v="1"/>
    <n v="0"/>
    <n v="0"/>
    <n v="0"/>
  </r>
  <r>
    <s v="FN-00015"/>
    <x v="16"/>
    <s v="C0286"/>
    <x v="5"/>
    <x v="1"/>
    <x v="0"/>
    <n v="176900"/>
    <n v="3.39E-2"/>
    <n v="300"/>
    <s v="OFF-JAH-2"/>
    <x v="1"/>
    <d v="2026-01-31T00:00:00"/>
    <x v="1"/>
    <s v="Kuwaiti"/>
    <n v="38"/>
    <s v="30-44"/>
    <n v="14"/>
    <n v="0"/>
    <n v="0"/>
    <n v="0"/>
  </r>
  <r>
    <s v="FN-00114"/>
    <x v="16"/>
    <s v="C0035"/>
    <x v="2"/>
    <x v="0"/>
    <x v="0"/>
    <n v="7700"/>
    <n v="6.7299999999999999E-2"/>
    <n v="60"/>
    <s v="OFF-SAL-2"/>
    <x v="0"/>
    <d v="2026-01-19T00:00:00"/>
    <x v="0"/>
    <s v="Kuwaiti"/>
    <n v="25"/>
    <s v="Under 30"/>
    <n v="2"/>
    <n v="1"/>
    <n v="7700"/>
    <n v="518.21"/>
  </r>
  <r>
    <s v="FN-00025"/>
    <x v="17"/>
    <s v="C0830"/>
    <x v="5"/>
    <x v="0"/>
    <x v="0"/>
    <n v="9100"/>
    <n v="6.4100000000000004E-2"/>
    <n v="60"/>
    <s v="OFF-JAH-1"/>
    <x v="0"/>
    <d v="2026-01-24T00:00:00"/>
    <x v="0"/>
    <s v="Kuwaiti"/>
    <n v="32"/>
    <s v="30-44"/>
    <n v="6"/>
    <n v="1"/>
    <n v="9100"/>
    <n v="583.31000000000006"/>
  </r>
  <r>
    <s v="FN-00001"/>
    <x v="18"/>
    <s v="C0451"/>
    <x v="3"/>
    <x v="0"/>
    <x v="0"/>
    <n v="6400"/>
    <n v="6.9599999999999995E-2"/>
    <n v="12"/>
    <s v="OFF-FAR-3"/>
    <x v="1"/>
    <d v="2026-01-23T00:00:00"/>
    <x v="2"/>
    <s v="Kuwaiti"/>
    <n v="36"/>
    <s v="30-44"/>
    <n v="4"/>
    <n v="0"/>
    <n v="0"/>
    <n v="0"/>
  </r>
  <r>
    <s v="FN-00002"/>
    <x v="18"/>
    <s v="C0446"/>
    <x v="0"/>
    <x v="2"/>
    <x v="1"/>
    <n v="7400"/>
    <n v="4.5900000000000003E-2"/>
    <n v="36"/>
    <s v="OFF-KUW-3"/>
    <x v="0"/>
    <d v="2026-01-23T00:00:00"/>
    <x v="1"/>
    <s v="Kuwaiti"/>
    <n v="50"/>
    <s v="45+"/>
    <n v="4"/>
    <n v="1"/>
    <n v="7400"/>
    <n v="339.66"/>
  </r>
  <r>
    <s v="FN-00028"/>
    <x v="18"/>
    <s v="C0406"/>
    <x v="0"/>
    <x v="0"/>
    <x v="2"/>
    <n v="24200"/>
    <n v="6.5500000000000003E-2"/>
    <n v="12"/>
    <s v="OFF-KUW-1"/>
    <x v="1"/>
    <d v="2026-01-23T00:00:00"/>
    <x v="1"/>
    <s v="Non-Kuwaiti"/>
    <n v="64"/>
    <s v="45+"/>
    <n v="4"/>
    <n v="0"/>
    <n v="0"/>
    <n v="0"/>
  </r>
  <r>
    <s v="FN-00035"/>
    <x v="18"/>
    <s v="C0713"/>
    <x v="2"/>
    <x v="1"/>
    <x v="0"/>
    <n v="142300"/>
    <n v="4.3400000000000001E-2"/>
    <n v="300"/>
    <s v="OFF-SAL-1"/>
    <x v="0"/>
    <d v="2026-02-09T00:00:00"/>
    <x v="0"/>
    <s v="Kuwaiti"/>
    <n v="44"/>
    <s v="30-44"/>
    <n v="21"/>
    <n v="1"/>
    <n v="142300"/>
    <n v="6175.82"/>
  </r>
  <r>
    <s v="FN-00111"/>
    <x v="18"/>
    <s v="C0913"/>
    <x v="4"/>
    <x v="0"/>
    <x v="1"/>
    <n v="5700"/>
    <n v="6.3899999999999998E-2"/>
    <n v="24"/>
    <s v="OFF-AHM-3"/>
    <x v="0"/>
    <d v="2026-01-23T00:00:00"/>
    <x v="0"/>
    <s v="Kuwaiti"/>
    <n v="51"/>
    <s v="45+"/>
    <n v="4"/>
    <n v="1"/>
    <n v="5700"/>
    <n v="364.23"/>
  </r>
  <r>
    <s v="FN-00024"/>
    <x v="19"/>
    <s v="C0914"/>
    <x v="1"/>
    <x v="3"/>
    <x v="0"/>
    <n v="80500"/>
    <n v="7.8700000000000006E-2"/>
    <n v="36"/>
    <s v="OFF-HAW-1"/>
    <x v="1"/>
    <d v="2026-02-08T00:00:00"/>
    <x v="1"/>
    <s v="Kuwaiti"/>
    <n v="29"/>
    <s v="Under 30"/>
    <n v="19"/>
    <n v="0"/>
    <n v="0"/>
    <n v="0"/>
  </r>
  <r>
    <s v="FN-00046"/>
    <x v="19"/>
    <s v="C0681"/>
    <x v="2"/>
    <x v="3"/>
    <x v="0"/>
    <n v="20400"/>
    <n v="6.6900000000000001E-2"/>
    <n v="84"/>
    <s v="OFF-SAL-2"/>
    <x v="1"/>
    <d v="2026-02-01T00:00:00"/>
    <x v="1"/>
    <s v="Kuwaiti"/>
    <n v="23"/>
    <s v="Under 30"/>
    <n v="12"/>
    <n v="0"/>
    <n v="0"/>
    <n v="0"/>
  </r>
  <r>
    <s v="FN-00011"/>
    <x v="20"/>
    <s v="C0003"/>
    <x v="3"/>
    <x v="0"/>
    <x v="0"/>
    <n v="12200"/>
    <n v="5.6500000000000002E-2"/>
    <n v="12"/>
    <s v="OFF-FAR-1"/>
    <x v="0"/>
    <d v="2026-01-24T00:00:00"/>
    <x v="1"/>
    <s v="Kuwaiti"/>
    <n v="28"/>
    <s v="Under 30"/>
    <n v="3"/>
    <n v="1"/>
    <n v="12200"/>
    <n v="689.30000000000007"/>
  </r>
  <r>
    <s v="FN-00119"/>
    <x v="20"/>
    <s v="C0698"/>
    <x v="3"/>
    <x v="0"/>
    <x v="0"/>
    <n v="17500"/>
    <n v="6.5000000000000002E-2"/>
    <n v="12"/>
    <s v="OFF-FAR-1"/>
    <x v="0"/>
    <d v="2026-01-24T00:00:00"/>
    <x v="1"/>
    <s v="Kuwaiti"/>
    <n v="24"/>
    <s v="Under 30"/>
    <n v="3"/>
    <n v="1"/>
    <n v="17500"/>
    <n v="1137.5"/>
  </r>
  <r>
    <s v="FN-00060"/>
    <x v="21"/>
    <s v="C0420"/>
    <x v="3"/>
    <x v="2"/>
    <x v="0"/>
    <n v="8400"/>
    <n v="3.7999999999999999E-2"/>
    <n v="60"/>
    <s v="OFF-FAR-2"/>
    <x v="0"/>
    <d v="2026-01-26T00:00:00"/>
    <x v="1"/>
    <s v="Kuwaiti"/>
    <n v="30"/>
    <s v="30-44"/>
    <n v="4"/>
    <n v="1"/>
    <n v="8400"/>
    <n v="319.2"/>
  </r>
  <r>
    <s v="FN-00084"/>
    <x v="21"/>
    <s v="C0747"/>
    <x v="0"/>
    <x v="3"/>
    <x v="0"/>
    <n v="71000"/>
    <n v="0.06"/>
    <n v="60"/>
    <s v="OFF-KUW-1"/>
    <x v="0"/>
    <d v="2026-02-12T00:00:00"/>
    <x v="0"/>
    <s v="Kuwaiti"/>
    <n v="39"/>
    <s v="30-44"/>
    <n v="21"/>
    <n v="1"/>
    <n v="71000"/>
    <n v="4260"/>
  </r>
  <r>
    <s v="FN-00089"/>
    <x v="21"/>
    <s v="C0682"/>
    <x v="3"/>
    <x v="2"/>
    <x v="0"/>
    <n v="17000"/>
    <n v="3.78E-2"/>
    <n v="36"/>
    <s v="OFF-FAR-2"/>
    <x v="0"/>
    <d v="2026-01-23T00:00:00"/>
    <x v="0"/>
    <s v="Kuwaiti"/>
    <n v="43"/>
    <s v="30-44"/>
    <n v="1"/>
    <n v="1"/>
    <n v="17000"/>
    <n v="642.6"/>
  </r>
  <r>
    <s v="FN-00049"/>
    <x v="22"/>
    <s v="C0683"/>
    <x v="0"/>
    <x v="2"/>
    <x v="0"/>
    <n v="15700"/>
    <n v="3.5900000000000001E-2"/>
    <n v="60"/>
    <s v="OFF-KUW-1"/>
    <x v="0"/>
    <d v="2026-01-24T00:00:00"/>
    <x v="0"/>
    <s v="Kuwaiti"/>
    <n v="61"/>
    <s v="45+"/>
    <n v="1"/>
    <n v="1"/>
    <n v="15700"/>
    <n v="563.63"/>
  </r>
  <r>
    <s v="FN-00065"/>
    <x v="23"/>
    <s v="C0946"/>
    <x v="1"/>
    <x v="1"/>
    <x v="0"/>
    <n v="145100"/>
    <n v="3.1899999999999998E-2"/>
    <n v="240"/>
    <s v="OFF-HAW-3"/>
    <x v="0"/>
    <d v="2026-02-17T00:00:00"/>
    <x v="0"/>
    <s v="Kuwaiti"/>
    <n v="29"/>
    <s v="Under 30"/>
    <n v="24"/>
    <n v="1"/>
    <n v="145100"/>
    <n v="4628.6899999999996"/>
  </r>
  <r>
    <s v="FN-00078"/>
    <x v="23"/>
    <s v="C0575"/>
    <x v="3"/>
    <x v="0"/>
    <x v="0"/>
    <n v="20800"/>
    <n v="6.9699999999999998E-2"/>
    <n v="12"/>
    <s v="OFF-FAR-3"/>
    <x v="0"/>
    <d v="2026-01-31T00:00:00"/>
    <x v="1"/>
    <s v="Non-Kuwaiti"/>
    <n v="36"/>
    <s v="30-44"/>
    <n v="7"/>
    <n v="1"/>
    <n v="20800"/>
    <n v="1449.76"/>
  </r>
  <r>
    <s v="FN-00085"/>
    <x v="23"/>
    <s v="C0317"/>
    <x v="1"/>
    <x v="3"/>
    <x v="0"/>
    <n v="165600"/>
    <n v="5.8400000000000001E-2"/>
    <n v="60"/>
    <s v="OFF-HAW-2"/>
    <x v="0"/>
    <d v="2026-02-10T00:00:00"/>
    <x v="0"/>
    <s v="Non-Kuwaiti"/>
    <n v="53"/>
    <s v="45+"/>
    <n v="17"/>
    <n v="1"/>
    <n v="165600"/>
    <n v="9671.0400000000009"/>
  </r>
  <r>
    <s v="FN-00113"/>
    <x v="23"/>
    <s v="C0745"/>
    <x v="4"/>
    <x v="0"/>
    <x v="0"/>
    <n v="18300"/>
    <n v="5.2200000000000003E-2"/>
    <n v="24"/>
    <s v="OFF-AHM-3"/>
    <x v="0"/>
    <d v="2026-01-29T00:00:00"/>
    <x v="0"/>
    <s v="Kuwaiti"/>
    <n v="24"/>
    <s v="Under 30"/>
    <n v="5"/>
    <n v="1"/>
    <n v="18300"/>
    <n v="955.2600000000001"/>
  </r>
  <r>
    <s v="FN-00016"/>
    <x v="24"/>
    <s v="C0371"/>
    <x v="0"/>
    <x v="0"/>
    <x v="0"/>
    <n v="13600"/>
    <n v="6.88E-2"/>
    <n v="12"/>
    <s v="OFF-KUW-3"/>
    <x v="1"/>
    <d v="2026-01-27T00:00:00"/>
    <x v="0"/>
    <s v="Kuwaiti"/>
    <n v="30"/>
    <s v="30-44"/>
    <n v="2"/>
    <n v="0"/>
    <n v="0"/>
    <n v="0"/>
  </r>
  <r>
    <s v="FN-00081"/>
    <x v="24"/>
    <s v="C0751"/>
    <x v="3"/>
    <x v="0"/>
    <x v="1"/>
    <n v="8600"/>
    <n v="5.9799999999999999E-2"/>
    <n v="36"/>
    <s v="OFF-FAR-2"/>
    <x v="0"/>
    <d v="2026-01-26T00:00:00"/>
    <x v="1"/>
    <s v="Kuwaiti"/>
    <n v="65"/>
    <s v="45+"/>
    <n v="1"/>
    <n v="1"/>
    <n v="8600"/>
    <n v="514.28"/>
  </r>
  <r>
    <s v="FN-00093"/>
    <x v="24"/>
    <s v="C0154"/>
    <x v="0"/>
    <x v="2"/>
    <x v="1"/>
    <n v="12000"/>
    <n v="3.9800000000000002E-2"/>
    <n v="36"/>
    <s v="OFF-KUW-3"/>
    <x v="0"/>
    <d v="2026-01-28T00:00:00"/>
    <x v="1"/>
    <s v="Kuwaiti"/>
    <n v="37"/>
    <s v="30-44"/>
    <n v="3"/>
    <n v="1"/>
    <n v="12000"/>
    <n v="477.6"/>
  </r>
  <r>
    <s v="FN-00100"/>
    <x v="24"/>
    <s v="C0822"/>
    <x v="5"/>
    <x v="0"/>
    <x v="0"/>
    <n v="25000"/>
    <n v="5.5599999999999997E-2"/>
    <n v="48"/>
    <s v="OFF-JAH-3"/>
    <x v="0"/>
    <d v="2026-01-26T00:00:00"/>
    <x v="0"/>
    <s v="Kuwaiti"/>
    <n v="29"/>
    <s v="Under 30"/>
    <n v="1"/>
    <n v="1"/>
    <n v="25000"/>
    <n v="1390"/>
  </r>
  <r>
    <s v="FN-00103"/>
    <x v="24"/>
    <s v="C0212"/>
    <x v="0"/>
    <x v="1"/>
    <x v="0"/>
    <n v="137400"/>
    <n v="3.7100000000000001E-2"/>
    <n v="180"/>
    <s v="OFF-KUW-2"/>
    <x v="0"/>
    <d v="2026-02-21T00:00:00"/>
    <x v="1"/>
    <s v="Kuwaiti"/>
    <n v="41"/>
    <s v="30-44"/>
    <n v="27"/>
    <n v="1"/>
    <n v="137400"/>
    <n v="5097.54"/>
  </r>
  <r>
    <s v="FN-00117"/>
    <x v="24"/>
    <s v="C0050"/>
    <x v="1"/>
    <x v="0"/>
    <x v="2"/>
    <n v="7800"/>
    <n v="6.9599999999999995E-2"/>
    <n v="24"/>
    <s v="OFF-HAW-2"/>
    <x v="0"/>
    <d v="2026-01-31T00:00:00"/>
    <x v="1"/>
    <s v="Kuwaiti"/>
    <n v="25"/>
    <s v="Under 30"/>
    <n v="6"/>
    <n v="1"/>
    <n v="7800"/>
    <n v="542.88"/>
  </r>
  <r>
    <s v="FN-00040"/>
    <x v="25"/>
    <s v="C0858"/>
    <x v="0"/>
    <x v="2"/>
    <x v="2"/>
    <n v="8900"/>
    <n v="3.61E-2"/>
    <n v="48"/>
    <s v="OFF-KUW-3"/>
    <x v="0"/>
    <d v="2026-01-27T00:00:00"/>
    <x v="2"/>
    <s v="Kuwaiti"/>
    <n v="65"/>
    <s v="45+"/>
    <n v="1"/>
    <n v="1"/>
    <n v="8900"/>
    <n v="321.29000000000002"/>
  </r>
  <r>
    <s v="FN-00050"/>
    <x v="25"/>
    <s v="C0751"/>
    <x v="1"/>
    <x v="2"/>
    <x v="0"/>
    <n v="11800"/>
    <n v="4.2900000000000001E-2"/>
    <n v="60"/>
    <s v="OFF-HAW-3"/>
    <x v="0"/>
    <d v="2026-01-29T00:00:00"/>
    <x v="1"/>
    <s v="Kuwaiti"/>
    <n v="65"/>
    <s v="45+"/>
    <n v="3"/>
    <n v="1"/>
    <n v="11800"/>
    <n v="506.22"/>
  </r>
  <r>
    <s v="FN-00061"/>
    <x v="25"/>
    <s v="C0371"/>
    <x v="3"/>
    <x v="0"/>
    <x v="0"/>
    <n v="12500"/>
    <n v="5.5899999999999998E-2"/>
    <n v="12"/>
    <s v="OFF-FAR-1"/>
    <x v="0"/>
    <d v="2026-02-01T00:00:00"/>
    <x v="0"/>
    <s v="Kuwaiti"/>
    <n v="30"/>
    <s v="30-44"/>
    <n v="6"/>
    <n v="1"/>
    <n v="12500"/>
    <n v="698.75"/>
  </r>
  <r>
    <s v="FN-00068"/>
    <x v="25"/>
    <s v="C0095"/>
    <x v="0"/>
    <x v="1"/>
    <x v="2"/>
    <n v="99400"/>
    <n v="3.56E-2"/>
    <n v="300"/>
    <s v="OFF-KUW-3"/>
    <x v="0"/>
    <d v="2026-02-23T00:00:00"/>
    <x v="0"/>
    <s v="Kuwaiti"/>
    <n v="45"/>
    <s v="45+"/>
    <n v="28"/>
    <n v="1"/>
    <n v="99400"/>
    <n v="3538.64"/>
  </r>
  <r>
    <s v="FN-00004"/>
    <x v="26"/>
    <s v="C0920"/>
    <x v="0"/>
    <x v="0"/>
    <x v="0"/>
    <n v="3900"/>
    <n v="5.5100000000000003E-2"/>
    <n v="24"/>
    <s v="OFF-KUW-2"/>
    <x v="0"/>
    <d v="2026-01-31T00:00:00"/>
    <x v="1"/>
    <s v="Non-Kuwaiti"/>
    <n v="46"/>
    <s v="45+"/>
    <n v="4"/>
    <n v="1"/>
    <n v="3900"/>
    <n v="214.89000000000001"/>
  </r>
  <r>
    <s v="FN-00008"/>
    <x v="26"/>
    <s v="C0282"/>
    <x v="0"/>
    <x v="1"/>
    <x v="0"/>
    <n v="227200"/>
    <n v="3.61E-2"/>
    <n v="180"/>
    <s v="OFF-KUW-2"/>
    <x v="0"/>
    <d v="2026-02-23T00:00:00"/>
    <x v="1"/>
    <s v="Non-Kuwaiti"/>
    <n v="54"/>
    <s v="45+"/>
    <n v="27"/>
    <n v="1"/>
    <n v="227200"/>
    <n v="8201.92"/>
  </r>
  <r>
    <s v="FN-00052"/>
    <x v="27"/>
    <s v="C0793"/>
    <x v="1"/>
    <x v="0"/>
    <x v="0"/>
    <n v="14100"/>
    <n v="6.59E-2"/>
    <n v="24"/>
    <s v="OFF-HAW-1"/>
    <x v="0"/>
    <d v="2026-01-29T00:00:00"/>
    <x v="1"/>
    <s v="Kuwaiti"/>
    <n v="59"/>
    <s v="45+"/>
    <n v="1"/>
    <n v="1"/>
    <n v="14100"/>
    <n v="929.19"/>
  </r>
  <r>
    <s v="FN-00067"/>
    <x v="27"/>
    <s v="C0509"/>
    <x v="1"/>
    <x v="0"/>
    <x v="1"/>
    <n v="8000"/>
    <n v="6.5100000000000005E-2"/>
    <n v="24"/>
    <s v="OFF-HAW-3"/>
    <x v="0"/>
    <d v="2026-01-31T00:00:00"/>
    <x v="0"/>
    <s v="Non-Kuwaiti"/>
    <n v="39"/>
    <s v="30-44"/>
    <n v="3"/>
    <n v="1"/>
    <n v="8000"/>
    <n v="520.80000000000007"/>
  </r>
  <r>
    <s v="FN-00096"/>
    <x v="27"/>
    <s v="C0621"/>
    <x v="0"/>
    <x v="1"/>
    <x v="0"/>
    <n v="142500"/>
    <n v="4.41E-2"/>
    <n v="240"/>
    <s v="OFF-KUW-1"/>
    <x v="0"/>
    <d v="2026-02-15T00:00:00"/>
    <x v="1"/>
    <s v="Kuwaiti"/>
    <n v="24"/>
    <s v="Under 30"/>
    <n v="18"/>
    <n v="1"/>
    <n v="142500"/>
    <n v="6284.25"/>
  </r>
  <r>
    <s v="FN-00027"/>
    <x v="28"/>
    <s v="C0402"/>
    <x v="1"/>
    <x v="2"/>
    <x v="0"/>
    <n v="8100"/>
    <n v="4.5400000000000003E-2"/>
    <n v="48"/>
    <s v="OFF-HAW-3"/>
    <x v="0"/>
    <d v="2026-02-01T00:00:00"/>
    <x v="1"/>
    <s v="Non-Kuwaiti"/>
    <n v="27"/>
    <s v="Under 30"/>
    <n v="3"/>
    <n v="1"/>
    <n v="8100"/>
    <n v="367.74"/>
  </r>
  <r>
    <s v="FN-00054"/>
    <x v="28"/>
    <s v="C0821"/>
    <x v="2"/>
    <x v="2"/>
    <x v="1"/>
    <n v="10800"/>
    <n v="4.7600000000000003E-2"/>
    <n v="48"/>
    <s v="OFF-SAL-1"/>
    <x v="0"/>
    <d v="2026-01-30T00:00:00"/>
    <x v="0"/>
    <s v="Kuwaiti"/>
    <n v="40"/>
    <s v="30-44"/>
    <n v="1"/>
    <n v="1"/>
    <n v="10800"/>
    <n v="514.08000000000004"/>
  </r>
  <r>
    <s v="FN-00055"/>
    <x v="28"/>
    <s v="C0889"/>
    <x v="4"/>
    <x v="2"/>
    <x v="0"/>
    <n v="13900"/>
    <n v="3.7699999999999997E-2"/>
    <n v="48"/>
    <s v="OFF-AHM-1"/>
    <x v="0"/>
    <d v="2026-02-03T00:00:00"/>
    <x v="1"/>
    <s v="Non-Kuwaiti"/>
    <n v="29"/>
    <s v="Under 30"/>
    <n v="5"/>
    <n v="1"/>
    <n v="13900"/>
    <n v="524.03"/>
  </r>
  <r>
    <s v="FN-00079"/>
    <x v="28"/>
    <s v="C0604"/>
    <x v="2"/>
    <x v="1"/>
    <x v="0"/>
    <n v="302500"/>
    <n v="3.4700000000000002E-2"/>
    <n v="180"/>
    <s v="OFF-SAL-2"/>
    <x v="0"/>
    <d v="2026-02-28T00:00:00"/>
    <x v="2"/>
    <s v="Kuwaiti"/>
    <n v="53"/>
    <s v="45+"/>
    <n v="30"/>
    <n v="1"/>
    <n v="302500"/>
    <n v="10496.75"/>
  </r>
  <r>
    <s v="FN-00092"/>
    <x v="28"/>
    <s v="C0204"/>
    <x v="2"/>
    <x v="0"/>
    <x v="2"/>
    <n v="5400"/>
    <n v="6.7000000000000004E-2"/>
    <n v="24"/>
    <s v="OFF-SAL-3"/>
    <x v="0"/>
    <d v="2026-02-04T00:00:00"/>
    <x v="0"/>
    <s v="Non-Kuwaiti"/>
    <n v="65"/>
    <s v="45+"/>
    <n v="6"/>
    <n v="1"/>
    <n v="5400"/>
    <n v="361.8"/>
  </r>
  <r>
    <s v="FN-00098"/>
    <x v="28"/>
    <s v="C0691"/>
    <x v="2"/>
    <x v="0"/>
    <x v="0"/>
    <n v="13200"/>
    <n v="6.8900000000000003E-2"/>
    <n v="12"/>
    <s v="OFF-SAL-3"/>
    <x v="0"/>
    <d v="2026-02-02T00:00:00"/>
    <x v="0"/>
    <s v="Kuwaiti"/>
    <n v="31"/>
    <s v="30-44"/>
    <n v="4"/>
    <n v="1"/>
    <n v="13200"/>
    <n v="909.48"/>
  </r>
  <r>
    <s v="FN-00104"/>
    <x v="28"/>
    <s v="C0216"/>
    <x v="2"/>
    <x v="2"/>
    <x v="0"/>
    <n v="18300"/>
    <n v="0.04"/>
    <n v="60"/>
    <s v="OFF-SAL-3"/>
    <x v="0"/>
    <d v="2026-02-03T00:00:00"/>
    <x v="2"/>
    <s v="Kuwaiti"/>
    <n v="46"/>
    <s v="45+"/>
    <n v="5"/>
    <n v="1"/>
    <n v="18300"/>
    <n v="732"/>
  </r>
  <r>
    <s v="FN-00007"/>
    <x v="29"/>
    <s v="C0230"/>
    <x v="1"/>
    <x v="0"/>
    <x v="0"/>
    <n v="23800"/>
    <n v="6.0199999999999997E-2"/>
    <n v="60"/>
    <s v="OFF-HAW-3"/>
    <x v="0"/>
    <d v="2026-02-03T00:00:00"/>
    <x v="1"/>
    <s v="Kuwaiti"/>
    <n v="53"/>
    <s v="45+"/>
    <n v="4"/>
    <n v="1"/>
    <n v="23800"/>
    <n v="1432.76"/>
  </r>
  <r>
    <s v="FN-00018"/>
    <x v="29"/>
    <s v="C0415"/>
    <x v="1"/>
    <x v="1"/>
    <x v="1"/>
    <n v="44100"/>
    <n v="3.56E-2"/>
    <n v="120"/>
    <s v="OFF-HAW-1"/>
    <x v="0"/>
    <d v="2026-02-23T00:00:00"/>
    <x v="1"/>
    <s v="Kuwaiti"/>
    <n v="32"/>
    <s v="30-44"/>
    <n v="24"/>
    <n v="1"/>
    <n v="44100"/>
    <n v="1569.96"/>
  </r>
  <r>
    <s v="FN-00038"/>
    <x v="29"/>
    <s v="C0537"/>
    <x v="2"/>
    <x v="0"/>
    <x v="0"/>
    <n v="22400"/>
    <n v="5.6399999999999999E-2"/>
    <n v="24"/>
    <s v="OFF-SAL-1"/>
    <x v="0"/>
    <d v="2026-02-04T00:00:00"/>
    <x v="0"/>
    <s v="Kuwaiti"/>
    <n v="26"/>
    <s v="Under 30"/>
    <n v="5"/>
    <n v="1"/>
    <n v="22400"/>
    <n v="1263.3599999999999"/>
  </r>
  <r>
    <s v="FN-00056"/>
    <x v="29"/>
    <s v="C0724"/>
    <x v="3"/>
    <x v="2"/>
    <x v="0"/>
    <n v="13300"/>
    <n v="4.3499999999999997E-2"/>
    <n v="60"/>
    <s v="OFF-FAR-3"/>
    <x v="0"/>
    <d v="2026-02-02T00:00:00"/>
    <x v="1"/>
    <s v="Kuwaiti"/>
    <n v="31"/>
    <s v="30-44"/>
    <n v="3"/>
    <n v="1"/>
    <n v="13300"/>
    <n v="578.54999999999995"/>
  </r>
  <r>
    <s v="FN-00088"/>
    <x v="29"/>
    <s v="C0253"/>
    <x v="0"/>
    <x v="2"/>
    <x v="1"/>
    <n v="6600"/>
    <n v="4.2999999999999997E-2"/>
    <n v="48"/>
    <s v="OFF-KUW-2"/>
    <x v="1"/>
    <d v="2026-02-01T00:00:00"/>
    <x v="1"/>
    <s v="Non-Kuwaiti"/>
    <n v="25"/>
    <s v="Under 30"/>
    <n v="2"/>
    <n v="0"/>
    <n v="0"/>
    <n v="0"/>
  </r>
  <r>
    <s v="FN-00112"/>
    <x v="29"/>
    <s v="C0125"/>
    <x v="2"/>
    <x v="1"/>
    <x v="0"/>
    <n v="85600"/>
    <n v="4.3400000000000001E-2"/>
    <n v="180"/>
    <s v="OFF-SAL-3"/>
    <x v="0"/>
    <d v="2026-02-28T00:00:00"/>
    <x v="1"/>
    <s v="Non-Kuwaiti"/>
    <n v="52"/>
    <s v="45+"/>
    <n v="29"/>
    <n v="1"/>
    <n v="85600"/>
    <n v="3715.04"/>
  </r>
  <r>
    <s v="FN-00009"/>
    <x v="30"/>
    <s v="C0251"/>
    <x v="4"/>
    <x v="0"/>
    <x v="0"/>
    <n v="5400"/>
    <n v="6.3700000000000007E-2"/>
    <n v="12"/>
    <s v="OFF-AHM-1"/>
    <x v="1"/>
    <d v="2026-02-04T00:00:00"/>
    <x v="0"/>
    <s v="Kuwaiti"/>
    <n v="52"/>
    <s v="45+"/>
    <n v="4"/>
    <n v="0"/>
    <n v="0"/>
    <n v="0"/>
  </r>
  <r>
    <s v="FN-00033"/>
    <x v="30"/>
    <s v="C0413"/>
    <x v="1"/>
    <x v="3"/>
    <x v="0"/>
    <n v="32900"/>
    <n v="7.2700000000000001E-2"/>
    <n v="24"/>
    <s v="OFF-HAW-1"/>
    <x v="1"/>
    <d v="2026-02-15T00:00:00"/>
    <x v="1"/>
    <s v="Non-Kuwaiti"/>
    <n v="22"/>
    <s v="Under 30"/>
    <n v="15"/>
    <n v="0"/>
    <n v="0"/>
    <n v="0"/>
  </r>
  <r>
    <s v="FN-00126"/>
    <x v="31"/>
    <s v="C0527"/>
    <x v="2"/>
    <x v="2"/>
    <x v="0"/>
    <n v="16600"/>
    <n v="4.1300000000000003E-2"/>
    <n v="36"/>
    <s v="OFF-SAL-2"/>
    <x v="0"/>
    <d v="2026-02-03T00:00:00"/>
    <x v="0"/>
    <s v="Non-Kuwaiti"/>
    <n v="29"/>
    <s v="Under 30"/>
    <n v="2"/>
    <n v="1"/>
    <n v="16600"/>
    <n v="685.58"/>
  </r>
  <r>
    <s v="FN-00222"/>
    <x v="31"/>
    <s v="C0488"/>
    <x v="1"/>
    <x v="0"/>
    <x v="0"/>
    <n v="6500"/>
    <n v="5.7799999999999997E-2"/>
    <n v="60"/>
    <s v="OFF-HAW-1"/>
    <x v="0"/>
    <d v="2026-02-05T00:00:00"/>
    <x v="0"/>
    <s v="Non-Kuwaiti"/>
    <n v="28"/>
    <s v="Under 30"/>
    <n v="4"/>
    <n v="1"/>
    <n v="6500"/>
    <n v="375.7"/>
  </r>
  <r>
    <s v="FN-00234"/>
    <x v="31"/>
    <s v="C0371"/>
    <x v="2"/>
    <x v="0"/>
    <x v="1"/>
    <n v="17400"/>
    <n v="5.5300000000000002E-2"/>
    <n v="48"/>
    <s v="OFF-SAL-1"/>
    <x v="0"/>
    <d v="2026-02-05T00:00:00"/>
    <x v="0"/>
    <s v="Kuwaiti"/>
    <n v="30"/>
    <s v="30-44"/>
    <n v="4"/>
    <n v="1"/>
    <n v="17400"/>
    <n v="962.22"/>
  </r>
  <r>
    <s v="FN-00167"/>
    <x v="32"/>
    <s v="C0015"/>
    <x v="2"/>
    <x v="0"/>
    <x v="1"/>
    <n v="5200"/>
    <n v="6.5600000000000006E-2"/>
    <n v="48"/>
    <s v="OFF-SAL-3"/>
    <x v="0"/>
    <d v="2026-02-06T00:00:00"/>
    <x v="0"/>
    <s v="Kuwaiti"/>
    <n v="56"/>
    <s v="45+"/>
    <n v="4"/>
    <n v="1"/>
    <n v="5200"/>
    <n v="341.12"/>
  </r>
  <r>
    <s v="FN-00235"/>
    <x v="32"/>
    <s v="C0703"/>
    <x v="0"/>
    <x v="0"/>
    <x v="0"/>
    <n v="17400"/>
    <n v="6.6799999999999998E-2"/>
    <n v="36"/>
    <s v="OFF-KUW-1"/>
    <x v="1"/>
    <d v="2026-02-03T00:00:00"/>
    <x v="1"/>
    <s v="Kuwaiti"/>
    <n v="22"/>
    <s v="Under 30"/>
    <n v="1"/>
    <n v="0"/>
    <n v="0"/>
    <n v="0"/>
  </r>
  <r>
    <s v="FN-00136"/>
    <x v="33"/>
    <s v="C0256"/>
    <x v="0"/>
    <x v="2"/>
    <x v="0"/>
    <n v="11400"/>
    <n v="4.4600000000000001E-2"/>
    <n v="36"/>
    <s v="OFF-KUW-1"/>
    <x v="0"/>
    <d v="2026-02-04T00:00:00"/>
    <x v="1"/>
    <s v="Kuwaiti"/>
    <n v="34"/>
    <s v="30-44"/>
    <n v="1"/>
    <n v="1"/>
    <n v="11400"/>
    <n v="508.44"/>
  </r>
  <r>
    <s v="FN-00143"/>
    <x v="33"/>
    <s v="C0522"/>
    <x v="1"/>
    <x v="0"/>
    <x v="0"/>
    <n v="13500"/>
    <n v="6.9699999999999998E-2"/>
    <n v="24"/>
    <s v="OFF-HAW-1"/>
    <x v="1"/>
    <d v="2026-02-05T00:00:00"/>
    <x v="0"/>
    <s v="Non-Kuwaiti"/>
    <n v="40"/>
    <s v="30-44"/>
    <n v="2"/>
    <n v="0"/>
    <n v="0"/>
    <n v="0"/>
  </r>
  <r>
    <s v="FN-00160"/>
    <x v="34"/>
    <s v="C0100"/>
    <x v="2"/>
    <x v="0"/>
    <x v="2"/>
    <n v="4400"/>
    <n v="6.4899999999999999E-2"/>
    <n v="24"/>
    <s v="OFF-SAL-1"/>
    <x v="0"/>
    <d v="2026-02-07T00:00:00"/>
    <x v="1"/>
    <s v="Non-Kuwaiti"/>
    <n v="37"/>
    <s v="30-44"/>
    <n v="3"/>
    <n v="1"/>
    <n v="4400"/>
    <n v="285.56"/>
  </r>
  <r>
    <s v="FN-00183"/>
    <x v="34"/>
    <s v="C0189"/>
    <x v="2"/>
    <x v="2"/>
    <x v="1"/>
    <n v="16400"/>
    <n v="4.4299999999999999E-2"/>
    <n v="60"/>
    <s v="OFF-SAL-1"/>
    <x v="0"/>
    <d v="2026-02-04T00:00:00"/>
    <x v="2"/>
    <s v="Non-Kuwaiti"/>
    <n v="64"/>
    <s v="45+"/>
    <n v="0"/>
    <n v="1"/>
    <n v="16400"/>
    <n v="726.52"/>
  </r>
  <r>
    <s v="FN-00202"/>
    <x v="34"/>
    <s v="C0740"/>
    <x v="4"/>
    <x v="0"/>
    <x v="1"/>
    <n v="13700"/>
    <n v="6.2199999999999998E-2"/>
    <n v="60"/>
    <s v="OFF-AHM-1"/>
    <x v="1"/>
    <d v="2026-02-06T00:00:00"/>
    <x v="1"/>
    <s v="Non-Kuwaiti"/>
    <n v="64"/>
    <s v="45+"/>
    <n v="2"/>
    <n v="0"/>
    <n v="0"/>
    <n v="0"/>
  </r>
  <r>
    <s v="FN-00206"/>
    <x v="34"/>
    <s v="C0332"/>
    <x v="2"/>
    <x v="0"/>
    <x v="1"/>
    <n v="6300"/>
    <n v="5.5599999999999997E-2"/>
    <n v="60"/>
    <s v="OFF-SAL-2"/>
    <x v="1"/>
    <d v="2026-02-05T00:00:00"/>
    <x v="1"/>
    <s v="Non-Kuwaiti"/>
    <n v="43"/>
    <s v="30-44"/>
    <n v="1"/>
    <n v="0"/>
    <n v="0"/>
    <n v="0"/>
  </r>
  <r>
    <s v="FN-00207"/>
    <x v="34"/>
    <s v="C0086"/>
    <x v="1"/>
    <x v="2"/>
    <x v="2"/>
    <n v="7400"/>
    <n v="4.82E-2"/>
    <n v="48"/>
    <s v="OFF-HAW-1"/>
    <x v="0"/>
    <d v="2026-02-05T00:00:00"/>
    <x v="0"/>
    <s v="Kuwaiti"/>
    <n v="48"/>
    <s v="45+"/>
    <n v="1"/>
    <n v="1"/>
    <n v="7400"/>
    <n v="356.68"/>
  </r>
  <r>
    <s v="FN-00209"/>
    <x v="34"/>
    <s v="C0765"/>
    <x v="2"/>
    <x v="0"/>
    <x v="0"/>
    <n v="24300"/>
    <n v="6.3799999999999996E-2"/>
    <n v="36"/>
    <s v="OFF-SAL-1"/>
    <x v="0"/>
    <d v="2026-02-05T00:00:00"/>
    <x v="0"/>
    <s v="Kuwaiti"/>
    <n v="68"/>
    <s v="45+"/>
    <n v="1"/>
    <n v="1"/>
    <n v="24300"/>
    <n v="1550.34"/>
  </r>
  <r>
    <s v="FN-00226"/>
    <x v="34"/>
    <s v="C0336"/>
    <x v="0"/>
    <x v="0"/>
    <x v="0"/>
    <n v="5400"/>
    <n v="5.9299999999999999E-2"/>
    <n v="24"/>
    <s v="OFF-KUW-1"/>
    <x v="0"/>
    <d v="2026-02-10T00:00:00"/>
    <x v="1"/>
    <s v="Kuwaiti"/>
    <n v="42"/>
    <s v="30-44"/>
    <n v="6"/>
    <n v="1"/>
    <n v="5400"/>
    <n v="320.21999999999997"/>
  </r>
  <r>
    <s v="FN-00230"/>
    <x v="34"/>
    <s v="C0891"/>
    <x v="4"/>
    <x v="0"/>
    <x v="0"/>
    <n v="25000"/>
    <n v="6.9000000000000006E-2"/>
    <n v="24"/>
    <s v="OFF-AHM-3"/>
    <x v="0"/>
    <d v="2026-02-11T00:00:00"/>
    <x v="1"/>
    <s v="Kuwaiti"/>
    <n v="49"/>
    <s v="45+"/>
    <n v="7"/>
    <n v="1"/>
    <n v="25000"/>
    <n v="1725.0000000000002"/>
  </r>
  <r>
    <s v="FN-00181"/>
    <x v="35"/>
    <s v="C0369"/>
    <x v="1"/>
    <x v="0"/>
    <x v="0"/>
    <n v="13600"/>
    <n v="5.62E-2"/>
    <n v="12"/>
    <s v="OFF-HAW-3"/>
    <x v="0"/>
    <d v="2026-02-11T00:00:00"/>
    <x v="1"/>
    <s v="Non-Kuwaiti"/>
    <n v="42"/>
    <s v="30-44"/>
    <n v="6"/>
    <n v="1"/>
    <n v="13600"/>
    <n v="764.32"/>
  </r>
  <r>
    <s v="FN-00201"/>
    <x v="35"/>
    <s v="C0168"/>
    <x v="3"/>
    <x v="2"/>
    <x v="0"/>
    <n v="10900"/>
    <n v="4.3999999999999997E-2"/>
    <n v="48"/>
    <s v="OFF-FAR-1"/>
    <x v="0"/>
    <d v="2026-02-08T00:00:00"/>
    <x v="0"/>
    <s v="Kuwaiti"/>
    <n v="36"/>
    <s v="30-44"/>
    <n v="3"/>
    <n v="1"/>
    <n v="10900"/>
    <n v="479.59999999999997"/>
  </r>
  <r>
    <s v="FN-00204"/>
    <x v="35"/>
    <s v="C0806"/>
    <x v="2"/>
    <x v="2"/>
    <x v="0"/>
    <n v="15100"/>
    <n v="4.9099999999999998E-2"/>
    <n v="36"/>
    <s v="OFF-SAL-1"/>
    <x v="1"/>
    <d v="2026-02-09T00:00:00"/>
    <x v="0"/>
    <s v="Kuwaiti"/>
    <n v="35"/>
    <s v="30-44"/>
    <n v="4"/>
    <n v="0"/>
    <n v="0"/>
    <n v="0"/>
  </r>
  <r>
    <s v="FN-00218"/>
    <x v="35"/>
    <s v="C0924"/>
    <x v="3"/>
    <x v="3"/>
    <x v="0"/>
    <n v="69200"/>
    <n v="6.9699999999999998E-2"/>
    <n v="60"/>
    <s v="OFF-FAR-2"/>
    <x v="1"/>
    <d v="2026-02-12T00:00:00"/>
    <x v="0"/>
    <s v="Kuwaiti"/>
    <n v="66"/>
    <s v="45+"/>
    <n v="7"/>
    <n v="0"/>
    <n v="0"/>
    <n v="0"/>
  </r>
  <r>
    <s v="FN-00228"/>
    <x v="35"/>
    <s v="C0335"/>
    <x v="1"/>
    <x v="0"/>
    <x v="0"/>
    <n v="7100"/>
    <n v="6.13E-2"/>
    <n v="60"/>
    <s v="OFF-HAW-1"/>
    <x v="1"/>
    <d v="2026-02-08T00:00:00"/>
    <x v="1"/>
    <s v="Kuwaiti"/>
    <n v="27"/>
    <s v="Under 30"/>
    <n v="3"/>
    <n v="0"/>
    <n v="0"/>
    <n v="0"/>
  </r>
  <r>
    <s v="FN-00244"/>
    <x v="35"/>
    <s v="C0088"/>
    <x v="5"/>
    <x v="0"/>
    <x v="0"/>
    <n v="3900"/>
    <n v="6.8699999999999997E-2"/>
    <n v="12"/>
    <s v="OFF-JAH-3"/>
    <x v="0"/>
    <d v="2026-02-11T00:00:00"/>
    <x v="0"/>
    <s v="Kuwaiti"/>
    <n v="63"/>
    <s v="45+"/>
    <n v="6"/>
    <n v="1"/>
    <n v="3900"/>
    <n v="267.93"/>
  </r>
  <r>
    <s v="FN-00173"/>
    <x v="36"/>
    <s v="C0232"/>
    <x v="0"/>
    <x v="1"/>
    <x v="2"/>
    <n v="122200"/>
    <n v="4.2900000000000001E-2"/>
    <n v="300"/>
    <s v="OFF-KUW-1"/>
    <x v="0"/>
    <d v="2026-02-20T00:00:00"/>
    <x v="1"/>
    <s v="Kuwaiti"/>
    <n v="41"/>
    <s v="30-44"/>
    <n v="14"/>
    <n v="1"/>
    <n v="122200"/>
    <n v="5242.38"/>
  </r>
  <r>
    <s v="FN-00180"/>
    <x v="36"/>
    <s v="C0007"/>
    <x v="2"/>
    <x v="0"/>
    <x v="0"/>
    <n v="24000"/>
    <n v="5.9700000000000003E-2"/>
    <n v="24"/>
    <s v="OFF-SAL-2"/>
    <x v="1"/>
    <d v="2026-02-12T00:00:00"/>
    <x v="0"/>
    <s v="Kuwaiti"/>
    <n v="63"/>
    <s v="45+"/>
    <n v="6"/>
    <n v="0"/>
    <n v="0"/>
    <n v="0"/>
  </r>
  <r>
    <s v="FN-00229"/>
    <x v="36"/>
    <s v="C0496"/>
    <x v="1"/>
    <x v="2"/>
    <x v="0"/>
    <n v="12400"/>
    <n v="4.2200000000000001E-2"/>
    <n v="36"/>
    <s v="OFF-HAW-1"/>
    <x v="0"/>
    <d v="2026-02-09T00:00:00"/>
    <x v="1"/>
    <s v="Kuwaiti"/>
    <n v="22"/>
    <s v="Under 30"/>
    <n v="3"/>
    <n v="1"/>
    <n v="12400"/>
    <n v="523.28"/>
  </r>
  <r>
    <s v="FN-00135"/>
    <x v="37"/>
    <s v="C0441"/>
    <x v="0"/>
    <x v="0"/>
    <x v="1"/>
    <n v="14200"/>
    <n v="6.1100000000000002E-2"/>
    <n v="60"/>
    <s v="OFF-KUW-3"/>
    <x v="0"/>
    <d v="2026-02-10T00:00:00"/>
    <x v="1"/>
    <s v="Kuwaiti"/>
    <n v="27"/>
    <s v="Under 30"/>
    <n v="3"/>
    <n v="1"/>
    <n v="14200"/>
    <n v="867.62"/>
  </r>
  <r>
    <s v="FN-00166"/>
    <x v="37"/>
    <s v="C0635"/>
    <x v="0"/>
    <x v="0"/>
    <x v="2"/>
    <n v="6600"/>
    <n v="6.8099999999999994E-2"/>
    <n v="60"/>
    <s v="OFF-KUW-1"/>
    <x v="1"/>
    <d v="2026-02-10T00:00:00"/>
    <x v="1"/>
    <s v="Kuwaiti"/>
    <n v="22"/>
    <s v="Under 30"/>
    <n v="3"/>
    <n v="0"/>
    <n v="0"/>
    <n v="0"/>
  </r>
  <r>
    <s v="FN-00184"/>
    <x v="37"/>
    <s v="C0886"/>
    <x v="5"/>
    <x v="3"/>
    <x v="0"/>
    <n v="155500"/>
    <n v="5.79E-2"/>
    <n v="36"/>
    <s v="OFF-JAH-3"/>
    <x v="0"/>
    <d v="2026-02-15T00:00:00"/>
    <x v="0"/>
    <s v="Non-Kuwaiti"/>
    <n v="59"/>
    <s v="45+"/>
    <n v="8"/>
    <n v="1"/>
    <n v="155500"/>
    <n v="9003.4500000000007"/>
  </r>
  <r>
    <s v="FN-00220"/>
    <x v="37"/>
    <s v="C0879"/>
    <x v="0"/>
    <x v="0"/>
    <x v="0"/>
    <n v="15200"/>
    <n v="6.8500000000000005E-2"/>
    <n v="48"/>
    <s v="OFF-KUW-1"/>
    <x v="0"/>
    <d v="2026-02-11T00:00:00"/>
    <x v="1"/>
    <s v="Kuwaiti"/>
    <n v="27"/>
    <s v="Under 30"/>
    <n v="4"/>
    <n v="1"/>
    <n v="15200"/>
    <n v="1041.2"/>
  </r>
  <r>
    <s v="FN-00122"/>
    <x v="38"/>
    <s v="C0558"/>
    <x v="3"/>
    <x v="0"/>
    <x v="0"/>
    <n v="3500"/>
    <n v="6.9599999999999995E-2"/>
    <n v="12"/>
    <s v="OFF-FAR-2"/>
    <x v="0"/>
    <d v="2026-02-15T00:00:00"/>
    <x v="0"/>
    <s v="Kuwaiti"/>
    <n v="39"/>
    <s v="30-44"/>
    <n v="7"/>
    <n v="1"/>
    <n v="3500"/>
    <n v="243.6"/>
  </r>
  <r>
    <s v="FN-00125"/>
    <x v="38"/>
    <s v="C0887"/>
    <x v="3"/>
    <x v="0"/>
    <x v="0"/>
    <n v="13700"/>
    <n v="5.3600000000000002E-2"/>
    <n v="60"/>
    <s v="OFF-FAR-1"/>
    <x v="1"/>
    <d v="2026-02-09T00:00:00"/>
    <x v="1"/>
    <s v="Non-Kuwaiti"/>
    <n v="56"/>
    <s v="45+"/>
    <n v="1"/>
    <n v="0"/>
    <n v="0"/>
    <n v="0"/>
  </r>
  <r>
    <s v="FN-00137"/>
    <x v="38"/>
    <s v="C0243"/>
    <x v="3"/>
    <x v="2"/>
    <x v="2"/>
    <n v="12200"/>
    <n v="4.82E-2"/>
    <n v="60"/>
    <s v="OFF-FAR-3"/>
    <x v="0"/>
    <d v="2026-02-13T00:00:00"/>
    <x v="2"/>
    <s v="Non-Kuwaiti"/>
    <n v="32"/>
    <s v="30-44"/>
    <n v="5"/>
    <n v="1"/>
    <n v="12200"/>
    <n v="588.04"/>
  </r>
  <r>
    <s v="FN-00144"/>
    <x v="38"/>
    <s v="C0411"/>
    <x v="1"/>
    <x v="0"/>
    <x v="0"/>
    <n v="14100"/>
    <n v="5.6000000000000001E-2"/>
    <n v="48"/>
    <s v="OFF-HAW-3"/>
    <x v="0"/>
    <d v="2026-02-13T00:00:00"/>
    <x v="1"/>
    <s v="Kuwaiti"/>
    <n v="24"/>
    <s v="Under 30"/>
    <n v="5"/>
    <n v="1"/>
    <n v="14100"/>
    <n v="789.6"/>
  </r>
  <r>
    <s v="FN-00182"/>
    <x v="38"/>
    <s v="C0484"/>
    <x v="2"/>
    <x v="2"/>
    <x v="0"/>
    <n v="13000"/>
    <n v="4.8399999999999999E-2"/>
    <n v="48"/>
    <s v="OFF-SAL-3"/>
    <x v="0"/>
    <d v="2026-02-13T00:00:00"/>
    <x v="1"/>
    <s v="Kuwaiti"/>
    <n v="39"/>
    <s v="30-44"/>
    <n v="5"/>
    <n v="1"/>
    <n v="13000"/>
    <n v="629.19999999999993"/>
  </r>
  <r>
    <s v="FN-00210"/>
    <x v="38"/>
    <s v="C0652"/>
    <x v="2"/>
    <x v="2"/>
    <x v="0"/>
    <n v="8800"/>
    <n v="4.0300000000000002E-2"/>
    <n v="36"/>
    <s v="OFF-SAL-3"/>
    <x v="0"/>
    <d v="2026-02-12T00:00:00"/>
    <x v="0"/>
    <s v="Non-Kuwaiti"/>
    <n v="37"/>
    <s v="30-44"/>
    <n v="4"/>
    <n v="1"/>
    <n v="8800"/>
    <n v="354.64000000000004"/>
  </r>
  <r>
    <s v="FN-00124"/>
    <x v="39"/>
    <s v="C0089"/>
    <x v="0"/>
    <x v="2"/>
    <x v="1"/>
    <n v="4900"/>
    <n v="4.07E-2"/>
    <n v="48"/>
    <s v="OFF-KUW-2"/>
    <x v="0"/>
    <d v="2026-02-12T00:00:00"/>
    <x v="1"/>
    <s v="Kuwaiti"/>
    <n v="32"/>
    <s v="30-44"/>
    <n v="3"/>
    <n v="1"/>
    <n v="4900"/>
    <n v="199.43"/>
  </r>
  <r>
    <s v="FN-00131"/>
    <x v="39"/>
    <s v="C0156"/>
    <x v="5"/>
    <x v="0"/>
    <x v="0"/>
    <n v="17100"/>
    <n v="6.08E-2"/>
    <n v="48"/>
    <s v="OFF-JAH-2"/>
    <x v="0"/>
    <d v="2026-02-15T00:00:00"/>
    <x v="2"/>
    <s v="Non-Kuwaiti"/>
    <n v="42"/>
    <s v="30-44"/>
    <n v="6"/>
    <n v="1"/>
    <n v="17100"/>
    <n v="1039.68"/>
  </r>
  <r>
    <s v="FN-00147"/>
    <x v="39"/>
    <s v="C0626"/>
    <x v="4"/>
    <x v="0"/>
    <x v="0"/>
    <n v="2100"/>
    <n v="5.7099999999999998E-2"/>
    <n v="12"/>
    <s v="OFF-AHM-2"/>
    <x v="0"/>
    <d v="2026-02-14T00:00:00"/>
    <x v="1"/>
    <s v="Non-Kuwaiti"/>
    <n v="35"/>
    <s v="30-44"/>
    <n v="5"/>
    <n v="1"/>
    <n v="2100"/>
    <n v="119.91"/>
  </r>
  <r>
    <s v="FN-00150"/>
    <x v="39"/>
    <s v="C0077"/>
    <x v="4"/>
    <x v="0"/>
    <x v="0"/>
    <n v="14900"/>
    <n v="5.7200000000000001E-2"/>
    <n v="48"/>
    <s v="OFF-AHM-3"/>
    <x v="0"/>
    <d v="2026-02-15T00:00:00"/>
    <x v="1"/>
    <s v="Non-Kuwaiti"/>
    <n v="25"/>
    <s v="Under 30"/>
    <n v="6"/>
    <n v="1"/>
    <n v="14900"/>
    <n v="852.28"/>
  </r>
  <r>
    <s v="FN-00151"/>
    <x v="39"/>
    <s v="C0776"/>
    <x v="0"/>
    <x v="3"/>
    <x v="0"/>
    <n v="142700"/>
    <n v="6.1400000000000003E-2"/>
    <n v="24"/>
    <s v="OFF-KUW-1"/>
    <x v="0"/>
    <d v="2026-02-25T00:00:00"/>
    <x v="1"/>
    <s v="Kuwaiti"/>
    <n v="26"/>
    <s v="Under 30"/>
    <n v="16"/>
    <n v="1"/>
    <n v="142700"/>
    <n v="8761.7800000000007"/>
  </r>
  <r>
    <s v="FN-00171"/>
    <x v="39"/>
    <s v="C0096"/>
    <x v="5"/>
    <x v="2"/>
    <x v="0"/>
    <n v="12600"/>
    <n v="4.9299999999999997E-2"/>
    <n v="36"/>
    <s v="OFF-JAH-3"/>
    <x v="0"/>
    <d v="2026-02-11T00:00:00"/>
    <x v="0"/>
    <s v="Non-Kuwaiti"/>
    <n v="56"/>
    <s v="45+"/>
    <n v="2"/>
    <n v="1"/>
    <n v="12600"/>
    <n v="621.17999999999995"/>
  </r>
  <r>
    <s v="FN-00203"/>
    <x v="39"/>
    <s v="C0169"/>
    <x v="4"/>
    <x v="3"/>
    <x v="0"/>
    <n v="100100"/>
    <n v="7.7899999999999997E-2"/>
    <n v="84"/>
    <s v="OFF-AHM-1"/>
    <x v="1"/>
    <d v="2026-02-18T00:00:00"/>
    <x v="1"/>
    <s v="Kuwaiti"/>
    <n v="68"/>
    <s v="45+"/>
    <n v="9"/>
    <n v="0"/>
    <n v="0"/>
    <n v="0"/>
  </r>
  <r>
    <s v="FN-00212"/>
    <x v="39"/>
    <s v="C0215"/>
    <x v="5"/>
    <x v="0"/>
    <x v="0"/>
    <n v="23300"/>
    <n v="6.7900000000000002E-2"/>
    <n v="12"/>
    <s v="OFF-JAH-1"/>
    <x v="0"/>
    <d v="2026-02-14T00:00:00"/>
    <x v="0"/>
    <s v="Non-Kuwaiti"/>
    <n v="54"/>
    <s v="45+"/>
    <n v="5"/>
    <n v="1"/>
    <n v="23300"/>
    <n v="1582.07"/>
  </r>
  <r>
    <s v="FN-00214"/>
    <x v="40"/>
    <s v="C0816"/>
    <x v="1"/>
    <x v="2"/>
    <x v="0"/>
    <n v="9200"/>
    <n v="3.5499999999999997E-2"/>
    <n v="60"/>
    <s v="OFF-HAW-2"/>
    <x v="1"/>
    <d v="2026-02-11T00:00:00"/>
    <x v="1"/>
    <s v="Kuwaiti"/>
    <n v="24"/>
    <s v="Under 30"/>
    <n v="1"/>
    <n v="0"/>
    <n v="0"/>
    <n v="0"/>
  </r>
  <r>
    <s v="FN-00217"/>
    <x v="40"/>
    <s v="C0134"/>
    <x v="2"/>
    <x v="2"/>
    <x v="0"/>
    <n v="6500"/>
    <n v="4.65E-2"/>
    <n v="48"/>
    <s v="OFF-SAL-2"/>
    <x v="0"/>
    <d v="2026-02-13T00:00:00"/>
    <x v="1"/>
    <s v="Kuwaiti"/>
    <n v="63"/>
    <s v="45+"/>
    <n v="3"/>
    <n v="1"/>
    <n v="6500"/>
    <n v="302.25"/>
  </r>
  <r>
    <s v="FN-00238"/>
    <x v="40"/>
    <s v="C0540"/>
    <x v="5"/>
    <x v="0"/>
    <x v="0"/>
    <n v="16700"/>
    <n v="5.4199999999999998E-2"/>
    <n v="60"/>
    <s v="OFF-JAH-1"/>
    <x v="0"/>
    <d v="2026-02-15T00:00:00"/>
    <x v="0"/>
    <s v="Non-Kuwaiti"/>
    <n v="43"/>
    <s v="30-44"/>
    <n v="5"/>
    <n v="1"/>
    <n v="16700"/>
    <n v="905.14"/>
  </r>
  <r>
    <s v="FN-00132"/>
    <x v="41"/>
    <s v="C0767"/>
    <x v="3"/>
    <x v="2"/>
    <x v="1"/>
    <n v="8100"/>
    <n v="4.0099999999999997E-2"/>
    <n v="48"/>
    <s v="OFF-FAR-3"/>
    <x v="0"/>
    <d v="2026-02-14T00:00:00"/>
    <x v="1"/>
    <s v="Non-Kuwaiti"/>
    <n v="28"/>
    <s v="Under 30"/>
    <n v="3"/>
    <n v="1"/>
    <n v="8100"/>
    <n v="324.80999999999995"/>
  </r>
  <r>
    <s v="FN-00148"/>
    <x v="41"/>
    <s v="C0338"/>
    <x v="5"/>
    <x v="3"/>
    <x v="0"/>
    <n v="184200"/>
    <n v="5.5599999999999997E-2"/>
    <n v="24"/>
    <s v="OFF-JAH-2"/>
    <x v="1"/>
    <d v="2026-03-03T00:00:00"/>
    <x v="2"/>
    <s v="Non-Kuwaiti"/>
    <n v="34"/>
    <s v="30-44"/>
    <n v="20"/>
    <n v="0"/>
    <n v="0"/>
    <n v="0"/>
  </r>
  <r>
    <s v="FN-00154"/>
    <x v="41"/>
    <s v="C0748"/>
    <x v="2"/>
    <x v="3"/>
    <x v="1"/>
    <n v="60500"/>
    <n v="7.0499999999999993E-2"/>
    <n v="36"/>
    <s v="OFF-SAL-1"/>
    <x v="1"/>
    <d v="2026-03-02T00:00:00"/>
    <x v="0"/>
    <s v="Kuwaiti"/>
    <n v="52"/>
    <s v="45+"/>
    <n v="19"/>
    <n v="0"/>
    <n v="0"/>
    <n v="0"/>
  </r>
  <r>
    <s v="FN-00159"/>
    <x v="41"/>
    <s v="C0487"/>
    <x v="4"/>
    <x v="0"/>
    <x v="1"/>
    <n v="12800"/>
    <n v="5.3199999999999997E-2"/>
    <n v="24"/>
    <s v="OFF-AHM-3"/>
    <x v="0"/>
    <d v="2026-02-14T00:00:00"/>
    <x v="1"/>
    <s v="Non-Kuwaiti"/>
    <n v="52"/>
    <s v="45+"/>
    <n v="3"/>
    <n v="1"/>
    <n v="12800"/>
    <n v="680.95999999999992"/>
  </r>
  <r>
    <s v="FN-00172"/>
    <x v="41"/>
    <s v="C0705"/>
    <x v="4"/>
    <x v="0"/>
    <x v="0"/>
    <n v="19700"/>
    <n v="6.6000000000000003E-2"/>
    <n v="12"/>
    <s v="OFF-AHM-1"/>
    <x v="0"/>
    <d v="2026-02-16T00:00:00"/>
    <x v="1"/>
    <s v="Kuwaiti"/>
    <n v="35"/>
    <s v="30-44"/>
    <n v="5"/>
    <n v="1"/>
    <n v="19700"/>
    <n v="1300.2"/>
  </r>
  <r>
    <s v="FN-00197"/>
    <x v="41"/>
    <s v="C0738"/>
    <x v="4"/>
    <x v="1"/>
    <x v="0"/>
    <n v="162200"/>
    <n v="3.1E-2"/>
    <n v="300"/>
    <s v="OFF-AHM-3"/>
    <x v="1"/>
    <d v="2026-03-04T00:00:00"/>
    <x v="1"/>
    <s v="Kuwaiti"/>
    <n v="40"/>
    <s v="30-44"/>
    <n v="21"/>
    <n v="0"/>
    <n v="0"/>
    <n v="0"/>
  </r>
  <r>
    <s v="FN-00225"/>
    <x v="41"/>
    <s v="C0187"/>
    <x v="5"/>
    <x v="0"/>
    <x v="1"/>
    <n v="2200"/>
    <n v="5.1299999999999998E-2"/>
    <n v="60"/>
    <s v="OFF-JAH-2"/>
    <x v="0"/>
    <d v="2026-02-17T00:00:00"/>
    <x v="1"/>
    <s v="Non-Kuwaiti"/>
    <n v="55"/>
    <s v="45+"/>
    <n v="6"/>
    <n v="1"/>
    <n v="2200"/>
    <n v="112.86"/>
  </r>
  <r>
    <s v="FN-00139"/>
    <x v="42"/>
    <s v="C0130"/>
    <x v="3"/>
    <x v="0"/>
    <x v="0"/>
    <n v="17200"/>
    <n v="6.6100000000000006E-2"/>
    <n v="12"/>
    <s v="OFF-FAR-3"/>
    <x v="0"/>
    <d v="2026-02-18T00:00:00"/>
    <x v="0"/>
    <s v="Non-Kuwaiti"/>
    <n v="45"/>
    <s v="45+"/>
    <n v="6"/>
    <n v="1"/>
    <n v="17200"/>
    <n v="1136.92"/>
  </r>
  <r>
    <s v="FN-00188"/>
    <x v="42"/>
    <s v="C0327"/>
    <x v="3"/>
    <x v="1"/>
    <x v="0"/>
    <n v="98900"/>
    <n v="3.8899999999999997E-2"/>
    <n v="120"/>
    <s v="OFF-FAR-3"/>
    <x v="0"/>
    <d v="2026-02-22T00:00:00"/>
    <x v="0"/>
    <s v="Kuwaiti"/>
    <n v="57"/>
    <s v="45+"/>
    <n v="10"/>
    <n v="1"/>
    <n v="98900"/>
    <n v="3847.2099999999996"/>
  </r>
  <r>
    <s v="FN-00195"/>
    <x v="42"/>
    <s v="C0361"/>
    <x v="3"/>
    <x v="2"/>
    <x v="0"/>
    <n v="8500"/>
    <n v="4.41E-2"/>
    <n v="36"/>
    <s v="OFF-FAR-1"/>
    <x v="1"/>
    <d v="2026-02-14T00:00:00"/>
    <x v="1"/>
    <s v="Non-Kuwaiti"/>
    <n v="28"/>
    <s v="Under 30"/>
    <n v="2"/>
    <n v="0"/>
    <n v="0"/>
    <n v="0"/>
  </r>
  <r>
    <s v="FN-00196"/>
    <x v="42"/>
    <s v="C0339"/>
    <x v="1"/>
    <x v="2"/>
    <x v="2"/>
    <n v="10200"/>
    <n v="4.36E-2"/>
    <n v="60"/>
    <s v="OFF-HAW-1"/>
    <x v="1"/>
    <d v="2026-02-17T00:00:00"/>
    <x v="0"/>
    <s v="Kuwaiti"/>
    <n v="35"/>
    <s v="30-44"/>
    <n v="5"/>
    <n v="0"/>
    <n v="0"/>
    <n v="0"/>
  </r>
  <r>
    <s v="FN-00129"/>
    <x v="43"/>
    <s v="C0311"/>
    <x v="1"/>
    <x v="2"/>
    <x v="0"/>
    <n v="10100"/>
    <n v="4.1099999999999998E-2"/>
    <n v="60"/>
    <s v="OFF-HAW-2"/>
    <x v="0"/>
    <d v="2026-02-14T00:00:00"/>
    <x v="1"/>
    <s v="Non-Kuwaiti"/>
    <n v="47"/>
    <s v="45+"/>
    <n v="1"/>
    <n v="1"/>
    <n v="10100"/>
    <n v="415.10999999999996"/>
  </r>
  <r>
    <s v="FN-00138"/>
    <x v="43"/>
    <s v="C0829"/>
    <x v="1"/>
    <x v="3"/>
    <x v="2"/>
    <n v="140000"/>
    <n v="7.1999999999999995E-2"/>
    <n v="84"/>
    <s v="OFF-HAW-1"/>
    <x v="0"/>
    <d v="2026-03-03T00:00:00"/>
    <x v="0"/>
    <s v="Kuwaiti"/>
    <n v="22"/>
    <s v="Under 30"/>
    <n v="18"/>
    <n v="1"/>
    <n v="140000"/>
    <n v="10080"/>
  </r>
  <r>
    <s v="FN-00165"/>
    <x v="43"/>
    <s v="C0038"/>
    <x v="2"/>
    <x v="2"/>
    <x v="0"/>
    <n v="14800"/>
    <n v="4.9099999999999998E-2"/>
    <n v="48"/>
    <s v="OFF-SAL-2"/>
    <x v="0"/>
    <d v="2026-02-16T00:00:00"/>
    <x v="1"/>
    <s v="Kuwaiti"/>
    <n v="22"/>
    <s v="Under 30"/>
    <n v="3"/>
    <n v="1"/>
    <n v="14800"/>
    <n v="726.68"/>
  </r>
  <r>
    <s v="FN-00186"/>
    <x v="43"/>
    <s v="C0435"/>
    <x v="5"/>
    <x v="0"/>
    <x v="0"/>
    <n v="5100"/>
    <n v="5.5599999999999997E-2"/>
    <n v="24"/>
    <s v="OFF-JAH-3"/>
    <x v="0"/>
    <d v="2026-02-19T00:00:00"/>
    <x v="1"/>
    <s v="Kuwaiti"/>
    <n v="60"/>
    <s v="45+"/>
    <n v="6"/>
    <n v="1"/>
    <n v="5100"/>
    <n v="283.56"/>
  </r>
  <r>
    <s v="FN-00190"/>
    <x v="43"/>
    <s v="C0574"/>
    <x v="2"/>
    <x v="0"/>
    <x v="1"/>
    <n v="24700"/>
    <n v="6.54E-2"/>
    <n v="12"/>
    <s v="OFF-SAL-2"/>
    <x v="0"/>
    <d v="2026-02-18T00:00:00"/>
    <x v="1"/>
    <s v="Non-Kuwaiti"/>
    <n v="50"/>
    <s v="45+"/>
    <n v="5"/>
    <n v="1"/>
    <n v="24700"/>
    <n v="1615.3799999999999"/>
  </r>
  <r>
    <s v="FN-00205"/>
    <x v="43"/>
    <s v="C0160"/>
    <x v="1"/>
    <x v="2"/>
    <x v="1"/>
    <n v="14000"/>
    <n v="3.7100000000000001E-2"/>
    <n v="48"/>
    <s v="OFF-HAW-1"/>
    <x v="0"/>
    <d v="2026-02-14T00:00:00"/>
    <x v="1"/>
    <s v="Kuwaiti"/>
    <n v="39"/>
    <s v="30-44"/>
    <n v="1"/>
    <n v="1"/>
    <n v="14000"/>
    <n v="519.4"/>
  </r>
  <r>
    <s v="FN-00232"/>
    <x v="43"/>
    <s v="C0672"/>
    <x v="0"/>
    <x v="3"/>
    <x v="0"/>
    <n v="28900"/>
    <n v="7.9899999999999999E-2"/>
    <n v="60"/>
    <s v="OFF-KUW-1"/>
    <x v="1"/>
    <d v="2026-03-02T00:00:00"/>
    <x v="0"/>
    <s v="Non-Kuwaiti"/>
    <n v="27"/>
    <s v="Under 30"/>
    <n v="17"/>
    <n v="0"/>
    <n v="0"/>
    <n v="0"/>
  </r>
  <r>
    <s v="FN-00192"/>
    <x v="44"/>
    <s v="C0743"/>
    <x v="1"/>
    <x v="1"/>
    <x v="2"/>
    <n v="131800"/>
    <n v="4.1099999999999998E-2"/>
    <n v="120"/>
    <s v="OFF-HAW-2"/>
    <x v="1"/>
    <d v="2026-03-11T00:00:00"/>
    <x v="1"/>
    <s v="Kuwaiti"/>
    <n v="40"/>
    <s v="30-44"/>
    <n v="25"/>
    <n v="0"/>
    <n v="0"/>
    <n v="0"/>
  </r>
  <r>
    <s v="FN-00146"/>
    <x v="45"/>
    <s v="C0331"/>
    <x v="0"/>
    <x v="3"/>
    <x v="2"/>
    <n v="134300"/>
    <n v="7.6300000000000007E-2"/>
    <n v="36"/>
    <s v="OFF-KUW-1"/>
    <x v="1"/>
    <d v="2026-03-01T00:00:00"/>
    <x v="1"/>
    <s v="Kuwaiti"/>
    <n v="43"/>
    <s v="30-44"/>
    <n v="14"/>
    <n v="0"/>
    <n v="0"/>
    <n v="0"/>
  </r>
  <r>
    <s v="FN-00168"/>
    <x v="45"/>
    <s v="C0859"/>
    <x v="4"/>
    <x v="0"/>
    <x v="2"/>
    <n v="18900"/>
    <n v="6.4000000000000001E-2"/>
    <n v="24"/>
    <s v="OFF-AHM-3"/>
    <x v="0"/>
    <d v="2026-02-16T00:00:00"/>
    <x v="1"/>
    <s v="Non-Kuwaiti"/>
    <n v="42"/>
    <s v="30-44"/>
    <n v="1"/>
    <n v="1"/>
    <n v="18900"/>
    <n v="1209.6000000000001"/>
  </r>
  <r>
    <s v="FN-00194"/>
    <x v="45"/>
    <s v="C0357"/>
    <x v="2"/>
    <x v="0"/>
    <x v="0"/>
    <n v="9800"/>
    <n v="6.2399999999999997E-2"/>
    <n v="60"/>
    <s v="OFF-SAL-1"/>
    <x v="0"/>
    <d v="2026-02-21T00:00:00"/>
    <x v="1"/>
    <s v="Kuwaiti"/>
    <n v="41"/>
    <s v="30-44"/>
    <n v="6"/>
    <n v="1"/>
    <n v="9800"/>
    <n v="611.52"/>
  </r>
  <r>
    <s v="FN-00241"/>
    <x v="45"/>
    <s v="C0826"/>
    <x v="4"/>
    <x v="3"/>
    <x v="1"/>
    <n v="92500"/>
    <n v="7.6700000000000004E-2"/>
    <n v="36"/>
    <s v="OFF-AHM-2"/>
    <x v="0"/>
    <d v="2026-02-28T00:00:00"/>
    <x v="1"/>
    <s v="Non-Kuwaiti"/>
    <n v="28"/>
    <s v="Under 30"/>
    <n v="13"/>
    <n v="1"/>
    <n v="92500"/>
    <n v="7094.75"/>
  </r>
  <r>
    <s v="FN-00141"/>
    <x v="46"/>
    <s v="C0127"/>
    <x v="2"/>
    <x v="2"/>
    <x v="0"/>
    <n v="8400"/>
    <n v="3.85E-2"/>
    <n v="48"/>
    <s v="OFF-SAL-3"/>
    <x v="0"/>
    <d v="2026-02-17T00:00:00"/>
    <x v="1"/>
    <s v="Kuwaiti"/>
    <n v="53"/>
    <s v="45+"/>
    <n v="1"/>
    <n v="1"/>
    <n v="8400"/>
    <n v="323.39999999999998"/>
  </r>
  <r>
    <s v="FN-00176"/>
    <x v="46"/>
    <s v="C0735"/>
    <x v="0"/>
    <x v="2"/>
    <x v="1"/>
    <n v="4400"/>
    <n v="3.56E-2"/>
    <n v="60"/>
    <s v="OFF-KUW-1"/>
    <x v="0"/>
    <d v="2026-02-20T00:00:00"/>
    <x v="1"/>
    <s v="Kuwaiti"/>
    <n v="36"/>
    <s v="30-44"/>
    <n v="4"/>
    <n v="1"/>
    <n v="4400"/>
    <n v="156.63999999999999"/>
  </r>
  <r>
    <s v="FN-00193"/>
    <x v="46"/>
    <s v="C0027"/>
    <x v="3"/>
    <x v="0"/>
    <x v="0"/>
    <n v="21200"/>
    <n v="5.6000000000000001E-2"/>
    <n v="12"/>
    <s v="OFF-FAR-1"/>
    <x v="0"/>
    <d v="2026-02-17T00:00:00"/>
    <x v="1"/>
    <s v="Non-Kuwaiti"/>
    <n v="30"/>
    <s v="30-44"/>
    <n v="1"/>
    <n v="1"/>
    <n v="21200"/>
    <n v="1187.2"/>
  </r>
  <r>
    <s v="FN-00198"/>
    <x v="46"/>
    <s v="C0941"/>
    <x v="2"/>
    <x v="2"/>
    <x v="0"/>
    <n v="11100"/>
    <n v="3.85E-2"/>
    <n v="48"/>
    <s v="OFF-SAL-3"/>
    <x v="0"/>
    <d v="2026-02-18T00:00:00"/>
    <x v="0"/>
    <s v="Kuwaiti"/>
    <n v="40"/>
    <s v="30-44"/>
    <n v="2"/>
    <n v="1"/>
    <n v="11100"/>
    <n v="427.35"/>
  </r>
  <r>
    <s v="FN-00211"/>
    <x v="46"/>
    <s v="C0222"/>
    <x v="3"/>
    <x v="2"/>
    <x v="0"/>
    <n v="5500"/>
    <n v="4.65E-2"/>
    <n v="36"/>
    <s v="OFF-FAR-1"/>
    <x v="0"/>
    <d v="2026-02-17T00:00:00"/>
    <x v="1"/>
    <s v="Kuwaiti"/>
    <n v="54"/>
    <s v="45+"/>
    <n v="1"/>
    <n v="1"/>
    <n v="5500"/>
    <n v="255.75"/>
  </r>
  <r>
    <s v="FN-00216"/>
    <x v="46"/>
    <s v="C0154"/>
    <x v="0"/>
    <x v="2"/>
    <x v="0"/>
    <n v="7500"/>
    <n v="4.3999999999999997E-2"/>
    <n v="60"/>
    <s v="OFF-KUW-1"/>
    <x v="1"/>
    <d v="2026-02-20T00:00:00"/>
    <x v="1"/>
    <s v="Kuwaiti"/>
    <n v="37"/>
    <s v="30-44"/>
    <n v="4"/>
    <n v="0"/>
    <n v="0"/>
    <n v="0"/>
  </r>
  <r>
    <s v="FN-00233"/>
    <x v="46"/>
    <s v="C0290"/>
    <x v="1"/>
    <x v="3"/>
    <x v="0"/>
    <n v="40600"/>
    <n v="7.9600000000000004E-2"/>
    <n v="36"/>
    <s v="OFF-HAW-2"/>
    <x v="1"/>
    <d v="2026-02-27T00:00:00"/>
    <x v="1"/>
    <s v="Kuwaiti"/>
    <n v="36"/>
    <s v="30-44"/>
    <n v="11"/>
    <n v="0"/>
    <n v="0"/>
    <n v="0"/>
  </r>
  <r>
    <s v="FN-00239"/>
    <x v="46"/>
    <s v="C0921"/>
    <x v="3"/>
    <x v="2"/>
    <x v="0"/>
    <n v="17200"/>
    <n v="3.5200000000000002E-2"/>
    <n v="36"/>
    <s v="OFF-FAR-2"/>
    <x v="0"/>
    <d v="2026-02-18T00:00:00"/>
    <x v="0"/>
    <s v="Kuwaiti"/>
    <n v="43"/>
    <s v="30-44"/>
    <n v="2"/>
    <n v="1"/>
    <n v="17200"/>
    <n v="605.44000000000005"/>
  </r>
  <r>
    <s v="FN-00242"/>
    <x v="46"/>
    <s v="C0061"/>
    <x v="0"/>
    <x v="3"/>
    <x v="0"/>
    <n v="131900"/>
    <n v="6.9500000000000006E-2"/>
    <n v="60"/>
    <s v="OFF-KUW-1"/>
    <x v="0"/>
    <d v="2026-03-01T00:00:00"/>
    <x v="0"/>
    <s v="Kuwaiti"/>
    <n v="24"/>
    <s v="Under 30"/>
    <n v="13"/>
    <n v="1"/>
    <n v="131900"/>
    <n v="9167.0500000000011"/>
  </r>
  <r>
    <s v="FN-00128"/>
    <x v="47"/>
    <s v="C0814"/>
    <x v="5"/>
    <x v="1"/>
    <x v="0"/>
    <n v="177000"/>
    <n v="3.44E-2"/>
    <n v="180"/>
    <s v="OFF-JAH-2"/>
    <x v="0"/>
    <d v="2026-03-13T00:00:00"/>
    <x v="0"/>
    <s v="Kuwaiti"/>
    <n v="52"/>
    <s v="45+"/>
    <n v="24"/>
    <n v="1"/>
    <n v="177000"/>
    <n v="6088.8"/>
  </r>
  <r>
    <s v="FN-00178"/>
    <x v="47"/>
    <s v="C0877"/>
    <x v="1"/>
    <x v="0"/>
    <x v="0"/>
    <n v="13100"/>
    <n v="6.8199999999999997E-2"/>
    <n v="60"/>
    <s v="OFF-HAW-3"/>
    <x v="0"/>
    <d v="2026-02-23T00:00:00"/>
    <x v="1"/>
    <s v="Kuwaiti"/>
    <n v="43"/>
    <s v="30-44"/>
    <n v="6"/>
    <n v="1"/>
    <n v="13100"/>
    <n v="893.42"/>
  </r>
  <r>
    <s v="FN-00221"/>
    <x v="47"/>
    <s v="C0033"/>
    <x v="2"/>
    <x v="0"/>
    <x v="2"/>
    <n v="15200"/>
    <n v="0.05"/>
    <n v="12"/>
    <s v="OFF-SAL-3"/>
    <x v="0"/>
    <d v="2026-02-19T00:00:00"/>
    <x v="0"/>
    <s v="Kuwaiti"/>
    <n v="35"/>
    <s v="30-44"/>
    <n v="2"/>
    <n v="1"/>
    <n v="15200"/>
    <n v="760"/>
  </r>
  <r>
    <s v="FN-00149"/>
    <x v="48"/>
    <s v="C0322"/>
    <x v="4"/>
    <x v="3"/>
    <x v="2"/>
    <n v="33500"/>
    <n v="6.4299999999999996E-2"/>
    <n v="60"/>
    <s v="OFF-AHM-2"/>
    <x v="1"/>
    <d v="2026-03-05T00:00:00"/>
    <x v="1"/>
    <s v="Kuwaiti"/>
    <n v="55"/>
    <s v="45+"/>
    <n v="15"/>
    <n v="0"/>
    <n v="0"/>
    <n v="0"/>
  </r>
  <r>
    <s v="FN-00152"/>
    <x v="48"/>
    <s v="C0669"/>
    <x v="2"/>
    <x v="1"/>
    <x v="0"/>
    <n v="111000"/>
    <n v="3.7999999999999999E-2"/>
    <n v="180"/>
    <s v="OFF-SAL-1"/>
    <x v="0"/>
    <d v="2026-03-03T00:00:00"/>
    <x v="1"/>
    <s v="Non-Kuwaiti"/>
    <n v="33"/>
    <s v="30-44"/>
    <n v="13"/>
    <n v="1"/>
    <n v="111000"/>
    <n v="4218"/>
  </r>
  <r>
    <s v="FN-00162"/>
    <x v="48"/>
    <s v="C0615"/>
    <x v="4"/>
    <x v="2"/>
    <x v="0"/>
    <n v="7600"/>
    <n v="3.8300000000000001E-2"/>
    <n v="36"/>
    <s v="OFF-AHM-2"/>
    <x v="0"/>
    <d v="2026-02-20T00:00:00"/>
    <x v="1"/>
    <s v="Kuwaiti"/>
    <n v="56"/>
    <s v="45+"/>
    <n v="2"/>
    <n v="1"/>
    <n v="7600"/>
    <n v="291.08"/>
  </r>
  <r>
    <s v="FN-00199"/>
    <x v="48"/>
    <s v="C0216"/>
    <x v="2"/>
    <x v="2"/>
    <x v="2"/>
    <n v="22300"/>
    <n v="4.2599999999999999E-2"/>
    <n v="36"/>
    <s v="OFF-SAL-1"/>
    <x v="0"/>
    <d v="2026-02-21T00:00:00"/>
    <x v="2"/>
    <s v="Kuwaiti"/>
    <n v="46"/>
    <s v="45+"/>
    <n v="3"/>
    <n v="1"/>
    <n v="22300"/>
    <n v="949.98"/>
  </r>
  <r>
    <s v="FN-00240"/>
    <x v="48"/>
    <s v="C0531"/>
    <x v="0"/>
    <x v="0"/>
    <x v="1"/>
    <n v="25000"/>
    <n v="6.6500000000000004E-2"/>
    <n v="24"/>
    <s v="OFF-KUW-3"/>
    <x v="1"/>
    <d v="2026-02-21T00:00:00"/>
    <x v="0"/>
    <s v="Non-Kuwaiti"/>
    <n v="42"/>
    <s v="30-44"/>
    <n v="3"/>
    <n v="0"/>
    <n v="0"/>
    <n v="0"/>
  </r>
  <r>
    <s v="FN-00243"/>
    <x v="48"/>
    <s v="C0910"/>
    <x v="1"/>
    <x v="2"/>
    <x v="0"/>
    <n v="14500"/>
    <n v="3.9199999999999999E-2"/>
    <n v="36"/>
    <s v="OFF-HAW-1"/>
    <x v="0"/>
    <d v="2026-02-22T00:00:00"/>
    <x v="1"/>
    <s v="Non-Kuwaiti"/>
    <n v="56"/>
    <s v="45+"/>
    <n v="4"/>
    <n v="1"/>
    <n v="14500"/>
    <n v="568.4"/>
  </r>
  <r>
    <s v="FN-00245"/>
    <x v="48"/>
    <s v="C0267"/>
    <x v="2"/>
    <x v="2"/>
    <x v="0"/>
    <n v="9100"/>
    <n v="4.5699999999999998E-2"/>
    <n v="48"/>
    <s v="OFF-SAL-1"/>
    <x v="0"/>
    <d v="2026-02-23T00:00:00"/>
    <x v="1"/>
    <s v="Kuwaiti"/>
    <n v="29"/>
    <s v="Under 30"/>
    <n v="5"/>
    <n v="1"/>
    <n v="9100"/>
    <n v="415.87"/>
  </r>
  <r>
    <s v="FN-00158"/>
    <x v="49"/>
    <s v="C0462"/>
    <x v="0"/>
    <x v="2"/>
    <x v="0"/>
    <n v="11600"/>
    <n v="3.6600000000000001E-2"/>
    <n v="60"/>
    <s v="OFF-KUW-1"/>
    <x v="0"/>
    <d v="2026-02-23T00:00:00"/>
    <x v="1"/>
    <s v="Non-Kuwaiti"/>
    <n v="61"/>
    <s v="45+"/>
    <n v="4"/>
    <n v="1"/>
    <n v="11600"/>
    <n v="424.56"/>
  </r>
  <r>
    <s v="FN-00189"/>
    <x v="49"/>
    <s v="C0773"/>
    <x v="0"/>
    <x v="3"/>
    <x v="1"/>
    <n v="58900"/>
    <n v="6.9699999999999998E-2"/>
    <n v="60"/>
    <s v="OFF-KUW-3"/>
    <x v="1"/>
    <d v="2026-03-02T00:00:00"/>
    <x v="0"/>
    <s v="Non-Kuwaiti"/>
    <n v="50"/>
    <s v="45+"/>
    <n v="11"/>
    <n v="0"/>
    <n v="0"/>
    <n v="0"/>
  </r>
  <r>
    <s v="FN-00231"/>
    <x v="49"/>
    <s v="C0713"/>
    <x v="2"/>
    <x v="2"/>
    <x v="0"/>
    <n v="8300"/>
    <n v="3.6700000000000003E-2"/>
    <n v="48"/>
    <s v="OFF-SAL-1"/>
    <x v="0"/>
    <d v="2026-02-23T00:00:00"/>
    <x v="0"/>
    <s v="Kuwaiti"/>
    <n v="44"/>
    <s v="30-44"/>
    <n v="4"/>
    <n v="1"/>
    <n v="8300"/>
    <n v="304.61"/>
  </r>
  <r>
    <s v="FN-00130"/>
    <x v="50"/>
    <s v="C0886"/>
    <x v="3"/>
    <x v="3"/>
    <x v="0"/>
    <n v="135300"/>
    <n v="6.8900000000000003E-2"/>
    <n v="24"/>
    <s v="OFF-FAR-3"/>
    <x v="1"/>
    <d v="2026-03-12T00:00:00"/>
    <x v="0"/>
    <s v="Non-Kuwaiti"/>
    <n v="59"/>
    <s v="45+"/>
    <n v="20"/>
    <n v="0"/>
    <n v="0"/>
    <n v="0"/>
  </r>
  <r>
    <s v="FN-00161"/>
    <x v="50"/>
    <s v="C0423"/>
    <x v="2"/>
    <x v="0"/>
    <x v="0"/>
    <n v="25000"/>
    <n v="6.2199999999999998E-2"/>
    <n v="48"/>
    <s v="OFF-SAL-2"/>
    <x v="0"/>
    <d v="2026-02-22T00:00:00"/>
    <x v="2"/>
    <s v="Kuwaiti"/>
    <n v="51"/>
    <s v="45+"/>
    <n v="2"/>
    <n v="1"/>
    <n v="25000"/>
    <n v="1555"/>
  </r>
  <r>
    <s v="FN-00177"/>
    <x v="50"/>
    <s v="C0405"/>
    <x v="0"/>
    <x v="0"/>
    <x v="0"/>
    <n v="25000"/>
    <n v="5.6800000000000003E-2"/>
    <n v="48"/>
    <s v="OFF-KUW-2"/>
    <x v="0"/>
    <d v="2026-02-22T00:00:00"/>
    <x v="2"/>
    <s v="Kuwaiti"/>
    <n v="23"/>
    <s v="Under 30"/>
    <n v="2"/>
    <n v="1"/>
    <n v="25000"/>
    <n v="1420"/>
  </r>
  <r>
    <s v="FN-00213"/>
    <x v="50"/>
    <s v="C0432"/>
    <x v="3"/>
    <x v="2"/>
    <x v="0"/>
    <n v="6000"/>
    <n v="3.8300000000000001E-2"/>
    <n v="60"/>
    <s v="OFF-FAR-1"/>
    <x v="0"/>
    <d v="2026-02-21T00:00:00"/>
    <x v="0"/>
    <s v="Kuwaiti"/>
    <n v="23"/>
    <s v="Under 30"/>
    <n v="1"/>
    <n v="1"/>
    <n v="6000"/>
    <n v="229.8"/>
  </r>
  <r>
    <s v="FN-00219"/>
    <x v="50"/>
    <s v="C0700"/>
    <x v="1"/>
    <x v="0"/>
    <x v="0"/>
    <n v="7300"/>
    <n v="5.1799999999999999E-2"/>
    <n v="12"/>
    <s v="OFF-HAW-1"/>
    <x v="0"/>
    <d v="2026-02-27T00:00:00"/>
    <x v="1"/>
    <s v="Kuwaiti"/>
    <n v="38"/>
    <s v="30-44"/>
    <n v="7"/>
    <n v="1"/>
    <n v="7300"/>
    <n v="378.14"/>
  </r>
  <r>
    <s v="FN-00236"/>
    <x v="50"/>
    <s v="C0348"/>
    <x v="1"/>
    <x v="3"/>
    <x v="0"/>
    <n v="33600"/>
    <n v="6.4000000000000001E-2"/>
    <n v="24"/>
    <s v="OFF-HAW-2"/>
    <x v="0"/>
    <d v="2026-03-07T00:00:00"/>
    <x v="1"/>
    <s v="Kuwaiti"/>
    <n v="26"/>
    <s v="Under 30"/>
    <n v="15"/>
    <n v="1"/>
    <n v="33600"/>
    <n v="2150.4"/>
  </r>
  <r>
    <s v="FN-00123"/>
    <x v="51"/>
    <s v="C0802"/>
    <x v="5"/>
    <x v="1"/>
    <x v="0"/>
    <n v="61200"/>
    <n v="3.3000000000000002E-2"/>
    <n v="240"/>
    <s v="OFF-JAH-2"/>
    <x v="1"/>
    <d v="2026-03-22T00:00:00"/>
    <x v="1"/>
    <s v="Kuwaiti"/>
    <n v="40"/>
    <s v="30-44"/>
    <n v="29"/>
    <n v="0"/>
    <n v="0"/>
    <n v="0"/>
  </r>
  <r>
    <s v="FN-00208"/>
    <x v="51"/>
    <s v="C0398"/>
    <x v="4"/>
    <x v="2"/>
    <x v="0"/>
    <n v="5100"/>
    <n v="4.5499999999999999E-2"/>
    <n v="60"/>
    <s v="OFF-AHM-3"/>
    <x v="1"/>
    <d v="2026-02-23T00:00:00"/>
    <x v="1"/>
    <s v="Kuwaiti"/>
    <n v="49"/>
    <s v="45+"/>
    <n v="2"/>
    <n v="0"/>
    <n v="0"/>
    <n v="0"/>
  </r>
  <r>
    <s v="FN-00223"/>
    <x v="51"/>
    <s v="C0045"/>
    <x v="0"/>
    <x v="0"/>
    <x v="0"/>
    <n v="21200"/>
    <n v="6.2E-2"/>
    <n v="12"/>
    <s v="OFF-KUW-3"/>
    <x v="0"/>
    <d v="2026-02-22T00:00:00"/>
    <x v="1"/>
    <s v="Non-Kuwaiti"/>
    <n v="71"/>
    <s v="45+"/>
    <n v="1"/>
    <n v="1"/>
    <n v="21200"/>
    <n v="1314.4"/>
  </r>
  <r>
    <s v="FN-00140"/>
    <x v="52"/>
    <s v="C0566"/>
    <x v="5"/>
    <x v="1"/>
    <x v="0"/>
    <n v="110900"/>
    <n v="4.07E-2"/>
    <n v="120"/>
    <s v="OFF-JAH-3"/>
    <x v="1"/>
    <d v="2026-03-16T00:00:00"/>
    <x v="1"/>
    <s v="Kuwaiti"/>
    <n v="44"/>
    <s v="30-44"/>
    <n v="21"/>
    <n v="0"/>
    <n v="0"/>
    <n v="0"/>
  </r>
  <r>
    <s v="FN-00157"/>
    <x v="52"/>
    <s v="C0006"/>
    <x v="4"/>
    <x v="2"/>
    <x v="0"/>
    <n v="13300"/>
    <n v="3.9800000000000002E-2"/>
    <n v="36"/>
    <s v="OFF-AHM-1"/>
    <x v="0"/>
    <d v="2026-02-26T00:00:00"/>
    <x v="1"/>
    <s v="Kuwaiti"/>
    <n v="36"/>
    <s v="30-44"/>
    <n v="3"/>
    <n v="1"/>
    <n v="13300"/>
    <n v="529.34"/>
  </r>
  <r>
    <s v="FN-00163"/>
    <x v="52"/>
    <s v="C0879"/>
    <x v="1"/>
    <x v="1"/>
    <x v="2"/>
    <n v="131700"/>
    <n v="3.9800000000000002E-2"/>
    <n v="180"/>
    <s v="OFF-HAW-2"/>
    <x v="1"/>
    <d v="2026-03-11T00:00:00"/>
    <x v="1"/>
    <s v="Kuwaiti"/>
    <n v="27"/>
    <s v="Under 30"/>
    <n v="16"/>
    <n v="0"/>
    <n v="0"/>
    <n v="0"/>
  </r>
  <r>
    <s v="FN-00169"/>
    <x v="52"/>
    <s v="C0321"/>
    <x v="2"/>
    <x v="0"/>
    <x v="1"/>
    <n v="25000"/>
    <n v="5.9400000000000001E-2"/>
    <n v="12"/>
    <s v="OFF-SAL-1"/>
    <x v="0"/>
    <d v="2026-02-26T00:00:00"/>
    <x v="2"/>
    <s v="Kuwaiti"/>
    <n v="48"/>
    <s v="45+"/>
    <n v="3"/>
    <n v="1"/>
    <n v="25000"/>
    <n v="1485"/>
  </r>
  <r>
    <s v="FN-00174"/>
    <x v="52"/>
    <s v="C0008"/>
    <x v="3"/>
    <x v="0"/>
    <x v="0"/>
    <n v="11500"/>
    <n v="6.4899999999999999E-2"/>
    <n v="36"/>
    <s v="OFF-FAR-1"/>
    <x v="0"/>
    <d v="2026-02-25T00:00:00"/>
    <x v="1"/>
    <s v="Kuwaiti"/>
    <n v="36"/>
    <s v="30-44"/>
    <n v="2"/>
    <n v="1"/>
    <n v="11500"/>
    <n v="746.35"/>
  </r>
  <r>
    <s v="FN-00121"/>
    <x v="53"/>
    <s v="C0670"/>
    <x v="3"/>
    <x v="3"/>
    <x v="0"/>
    <n v="26400"/>
    <n v="6.9199999999999998E-2"/>
    <n v="84"/>
    <s v="OFF-FAR-1"/>
    <x v="1"/>
    <d v="2026-03-04T00:00:00"/>
    <x v="0"/>
    <s v="Kuwaiti"/>
    <n v="50"/>
    <s v="45+"/>
    <n v="8"/>
    <n v="0"/>
    <n v="0"/>
    <n v="0"/>
  </r>
  <r>
    <s v="FN-00145"/>
    <x v="53"/>
    <s v="C0753"/>
    <x v="2"/>
    <x v="2"/>
    <x v="0"/>
    <n v="6700"/>
    <n v="4.1799999999999997E-2"/>
    <n v="36"/>
    <s v="OFF-SAL-1"/>
    <x v="0"/>
    <d v="2026-02-28T00:00:00"/>
    <x v="0"/>
    <s v="Kuwaiti"/>
    <n v="31"/>
    <s v="30-44"/>
    <n v="4"/>
    <n v="1"/>
    <n v="6700"/>
    <n v="280.06"/>
  </r>
  <r>
    <s v="FN-00153"/>
    <x v="53"/>
    <s v="C0819"/>
    <x v="5"/>
    <x v="3"/>
    <x v="0"/>
    <n v="50700"/>
    <n v="5.9499999999999997E-2"/>
    <n v="60"/>
    <s v="OFF-JAH-3"/>
    <x v="1"/>
    <d v="2026-03-15T00:00:00"/>
    <x v="1"/>
    <s v="Kuwaiti"/>
    <n v="40"/>
    <s v="30-44"/>
    <n v="19"/>
    <n v="0"/>
    <n v="0"/>
    <n v="0"/>
  </r>
  <r>
    <s v="FN-00170"/>
    <x v="54"/>
    <s v="C0925"/>
    <x v="2"/>
    <x v="3"/>
    <x v="1"/>
    <n v="101400"/>
    <n v="7.6399999999999996E-2"/>
    <n v="24"/>
    <s v="OFF-SAL-1"/>
    <x v="1"/>
    <d v="2026-03-10T00:00:00"/>
    <x v="0"/>
    <s v="Kuwaiti"/>
    <n v="53"/>
    <s v="45+"/>
    <n v="13"/>
    <n v="0"/>
    <n v="0"/>
    <n v="0"/>
  </r>
  <r>
    <s v="FN-00187"/>
    <x v="54"/>
    <s v="C0771"/>
    <x v="4"/>
    <x v="3"/>
    <x v="0"/>
    <n v="215800"/>
    <n v="6.0199999999999997E-2"/>
    <n v="24"/>
    <s v="OFF-AHM-2"/>
    <x v="0"/>
    <d v="2026-03-10T00:00:00"/>
    <x v="2"/>
    <s v="Non-Kuwaiti"/>
    <n v="24"/>
    <s v="Under 30"/>
    <n v="13"/>
    <n v="1"/>
    <n v="215800"/>
    <n v="12991.16"/>
  </r>
  <r>
    <s v="FN-00191"/>
    <x v="54"/>
    <s v="C0169"/>
    <x v="2"/>
    <x v="2"/>
    <x v="0"/>
    <n v="6500"/>
    <n v="4.6699999999999998E-2"/>
    <n v="48"/>
    <s v="OFF-SAL-2"/>
    <x v="0"/>
    <d v="2026-02-26T00:00:00"/>
    <x v="1"/>
    <s v="Kuwaiti"/>
    <n v="68"/>
    <s v="45+"/>
    <n v="1"/>
    <n v="1"/>
    <n v="6500"/>
    <n v="303.55"/>
  </r>
  <r>
    <s v="FN-00200"/>
    <x v="54"/>
    <s v="C0366"/>
    <x v="2"/>
    <x v="3"/>
    <x v="0"/>
    <n v="30200"/>
    <n v="7.6899999999999996E-2"/>
    <n v="36"/>
    <s v="OFF-SAL-2"/>
    <x v="0"/>
    <d v="2026-03-17T00:00:00"/>
    <x v="1"/>
    <s v="Kuwaiti"/>
    <n v="34"/>
    <s v="30-44"/>
    <n v="20"/>
    <n v="1"/>
    <n v="30200"/>
    <n v="2322.38"/>
  </r>
  <r>
    <s v="FN-00224"/>
    <x v="54"/>
    <s v="C0724"/>
    <x v="5"/>
    <x v="2"/>
    <x v="2"/>
    <n v="14000"/>
    <n v="4.9399999999999999E-2"/>
    <n v="48"/>
    <s v="OFF-JAH-2"/>
    <x v="1"/>
    <d v="2026-02-28T00:00:00"/>
    <x v="1"/>
    <s v="Kuwaiti"/>
    <n v="31"/>
    <s v="30-44"/>
    <n v="3"/>
    <n v="0"/>
    <n v="0"/>
    <n v="0"/>
  </r>
  <r>
    <s v="FN-00227"/>
    <x v="54"/>
    <s v="C0806"/>
    <x v="5"/>
    <x v="2"/>
    <x v="0"/>
    <n v="16400"/>
    <n v="4.24E-2"/>
    <n v="60"/>
    <s v="OFF-JAH-3"/>
    <x v="0"/>
    <d v="2026-02-27T00:00:00"/>
    <x v="0"/>
    <s v="Kuwaiti"/>
    <n v="35"/>
    <s v="30-44"/>
    <n v="2"/>
    <n v="1"/>
    <n v="16400"/>
    <n v="695.36"/>
  </r>
  <r>
    <s v="FN-00237"/>
    <x v="54"/>
    <s v="C0283"/>
    <x v="5"/>
    <x v="2"/>
    <x v="2"/>
    <n v="11900"/>
    <n v="4.3999999999999997E-2"/>
    <n v="48"/>
    <s v="OFF-JAH-2"/>
    <x v="0"/>
    <d v="2026-02-27T00:00:00"/>
    <x v="1"/>
    <s v="Non-Kuwaiti"/>
    <n v="44"/>
    <s v="30-44"/>
    <n v="2"/>
    <n v="1"/>
    <n v="11900"/>
    <n v="523.6"/>
  </r>
  <r>
    <s v="FN-00133"/>
    <x v="55"/>
    <s v="C0312"/>
    <x v="1"/>
    <x v="2"/>
    <x v="0"/>
    <n v="12200"/>
    <n v="4.82E-2"/>
    <n v="48"/>
    <s v="OFF-HAW-3"/>
    <x v="0"/>
    <d v="2026-03-03T00:00:00"/>
    <x v="1"/>
    <s v="Kuwaiti"/>
    <n v="40"/>
    <s v="30-44"/>
    <n v="5"/>
    <n v="1"/>
    <n v="12200"/>
    <n v="588.04"/>
  </r>
  <r>
    <s v="FN-00179"/>
    <x v="55"/>
    <s v="C0376"/>
    <x v="3"/>
    <x v="1"/>
    <x v="1"/>
    <n v="153900"/>
    <n v="4.1000000000000002E-2"/>
    <n v="180"/>
    <s v="OFF-FAR-1"/>
    <x v="0"/>
    <d v="2026-03-14T00:00:00"/>
    <x v="1"/>
    <s v="Kuwaiti"/>
    <n v="41"/>
    <s v="30-44"/>
    <n v="16"/>
    <n v="1"/>
    <n v="153900"/>
    <n v="6309.9000000000005"/>
  </r>
  <r>
    <s v="FN-00127"/>
    <x v="56"/>
    <s v="C0666"/>
    <x v="1"/>
    <x v="2"/>
    <x v="0"/>
    <n v="10600"/>
    <n v="4.6699999999999998E-2"/>
    <n v="60"/>
    <s v="OFF-HAW-1"/>
    <x v="0"/>
    <d v="2026-03-02T00:00:00"/>
    <x v="1"/>
    <s v="Kuwaiti"/>
    <n v="71"/>
    <s v="45+"/>
    <n v="3"/>
    <n v="1"/>
    <n v="10600"/>
    <n v="495.02"/>
  </r>
  <r>
    <s v="FN-00142"/>
    <x v="56"/>
    <s v="C0456"/>
    <x v="2"/>
    <x v="3"/>
    <x v="0"/>
    <n v="90100"/>
    <n v="6.7199999999999996E-2"/>
    <n v="36"/>
    <s v="OFF-SAL-2"/>
    <x v="1"/>
    <d v="2026-03-17T00:00:00"/>
    <x v="1"/>
    <s v="Kuwaiti"/>
    <n v="54"/>
    <s v="45+"/>
    <n v="18"/>
    <n v="0"/>
    <n v="0"/>
    <n v="0"/>
  </r>
  <r>
    <s v="FN-00164"/>
    <x v="56"/>
    <s v="C0067"/>
    <x v="0"/>
    <x v="3"/>
    <x v="0"/>
    <n v="43400"/>
    <n v="6.6600000000000006E-2"/>
    <n v="84"/>
    <s v="OFF-KUW-1"/>
    <x v="1"/>
    <d v="2026-03-20T00:00:00"/>
    <x v="1"/>
    <s v="Non-Kuwaiti"/>
    <n v="57"/>
    <s v="45+"/>
    <n v="21"/>
    <n v="0"/>
    <n v="0"/>
    <n v="0"/>
  </r>
  <r>
    <s v="FN-00134"/>
    <x v="57"/>
    <s v="C0568"/>
    <x v="2"/>
    <x v="0"/>
    <x v="0"/>
    <n v="8300"/>
    <n v="6.7699999999999996E-2"/>
    <n v="12"/>
    <s v="OFF-SAL-3"/>
    <x v="1"/>
    <d v="2026-03-03T00:00:00"/>
    <x v="1"/>
    <s v="Kuwaiti"/>
    <n v="57"/>
    <s v="45+"/>
    <n v="3"/>
    <n v="0"/>
    <n v="0"/>
    <n v="0"/>
  </r>
  <r>
    <s v="FN-00155"/>
    <x v="57"/>
    <s v="C0556"/>
    <x v="2"/>
    <x v="3"/>
    <x v="0"/>
    <n v="44900"/>
    <n v="7.8E-2"/>
    <n v="84"/>
    <s v="OFF-SAL-2"/>
    <x v="0"/>
    <d v="2026-03-09T00:00:00"/>
    <x v="0"/>
    <s v="Kuwaiti"/>
    <n v="31"/>
    <s v="30-44"/>
    <n v="9"/>
    <n v="1"/>
    <n v="44900"/>
    <n v="3502.2"/>
  </r>
  <r>
    <s v="FN-00175"/>
    <x v="57"/>
    <s v="C0398"/>
    <x v="2"/>
    <x v="0"/>
    <x v="0"/>
    <n v="15000"/>
    <n v="5.1499999999999997E-2"/>
    <n v="60"/>
    <s v="OFF-SAL-1"/>
    <x v="0"/>
    <d v="2026-03-03T00:00:00"/>
    <x v="1"/>
    <s v="Kuwaiti"/>
    <n v="49"/>
    <s v="45+"/>
    <n v="3"/>
    <n v="1"/>
    <n v="15000"/>
    <n v="772.5"/>
  </r>
  <r>
    <s v="FN-00185"/>
    <x v="57"/>
    <s v="C0853"/>
    <x v="4"/>
    <x v="3"/>
    <x v="0"/>
    <n v="52500"/>
    <n v="6.5100000000000005E-2"/>
    <n v="36"/>
    <s v="OFF-AHM-2"/>
    <x v="0"/>
    <d v="2026-03-13T00:00:00"/>
    <x v="0"/>
    <s v="Non-Kuwaiti"/>
    <n v="29"/>
    <s v="Under 30"/>
    <n v="13"/>
    <n v="1"/>
    <n v="52500"/>
    <n v="3417.7500000000005"/>
  </r>
  <r>
    <s v="FN-00215"/>
    <x v="57"/>
    <s v="C0695"/>
    <x v="1"/>
    <x v="2"/>
    <x v="0"/>
    <n v="14900"/>
    <n v="4.4600000000000001E-2"/>
    <n v="48"/>
    <s v="OFF-HAW-3"/>
    <x v="0"/>
    <d v="2026-03-05T00:00:00"/>
    <x v="1"/>
    <s v="Kuwaiti"/>
    <n v="51"/>
    <s v="45+"/>
    <n v="5"/>
    <n v="1"/>
    <n v="14900"/>
    <n v="664.54"/>
  </r>
  <r>
    <s v="FN-00265"/>
    <x v="58"/>
    <s v="C0620"/>
    <x v="0"/>
    <x v="0"/>
    <x v="1"/>
    <n v="4600"/>
    <n v="6.7599999999999993E-2"/>
    <n v="36"/>
    <s v="OFF-KUW-3"/>
    <x v="0"/>
    <d v="2026-03-02T00:00:00"/>
    <x v="0"/>
    <s v="Kuwaiti"/>
    <n v="45"/>
    <s v="45+"/>
    <n v="1"/>
    <n v="1"/>
    <n v="4600"/>
    <n v="310.95999999999998"/>
  </r>
  <r>
    <s v="FN-00321"/>
    <x v="58"/>
    <s v="C0415"/>
    <x v="5"/>
    <x v="0"/>
    <x v="0"/>
    <n v="5400"/>
    <n v="6.0999999999999999E-2"/>
    <n v="24"/>
    <s v="OFF-JAH-1"/>
    <x v="0"/>
    <d v="2026-03-06T00:00:00"/>
    <x v="1"/>
    <s v="Kuwaiti"/>
    <n v="32"/>
    <s v="30-44"/>
    <n v="5"/>
    <n v="1"/>
    <n v="5400"/>
    <n v="329.4"/>
  </r>
  <r>
    <s v="FN-00336"/>
    <x v="58"/>
    <s v="C0320"/>
    <x v="0"/>
    <x v="0"/>
    <x v="2"/>
    <n v="11200"/>
    <n v="6.9000000000000006E-2"/>
    <n v="60"/>
    <s v="OFF-KUW-1"/>
    <x v="0"/>
    <d v="2026-03-07T00:00:00"/>
    <x v="1"/>
    <s v="Non-Kuwaiti"/>
    <n v="62"/>
    <s v="45+"/>
    <n v="6"/>
    <n v="1"/>
    <n v="11200"/>
    <n v="772.80000000000007"/>
  </r>
  <r>
    <s v="FN-00315"/>
    <x v="59"/>
    <s v="C0564"/>
    <x v="3"/>
    <x v="2"/>
    <x v="0"/>
    <n v="12400"/>
    <n v="3.7999999999999999E-2"/>
    <n v="60"/>
    <s v="OFF-FAR-3"/>
    <x v="0"/>
    <d v="2026-03-04T00:00:00"/>
    <x v="1"/>
    <s v="Non-Kuwaiti"/>
    <n v="37"/>
    <s v="30-44"/>
    <n v="2"/>
    <n v="1"/>
    <n v="12400"/>
    <n v="471.2"/>
  </r>
  <r>
    <s v="FN-00317"/>
    <x v="59"/>
    <s v="C0371"/>
    <x v="3"/>
    <x v="0"/>
    <x v="0"/>
    <n v="24500"/>
    <n v="6.7900000000000002E-2"/>
    <n v="24"/>
    <s v="OFF-FAR-3"/>
    <x v="0"/>
    <d v="2026-03-07T00:00:00"/>
    <x v="0"/>
    <s v="Kuwaiti"/>
    <n v="30"/>
    <s v="30-44"/>
    <n v="5"/>
    <n v="1"/>
    <n v="24500"/>
    <n v="1663.55"/>
  </r>
  <r>
    <s v="FN-00355"/>
    <x v="59"/>
    <s v="C0572"/>
    <x v="3"/>
    <x v="1"/>
    <x v="1"/>
    <n v="123300"/>
    <n v="4.2900000000000001E-2"/>
    <n v="120"/>
    <s v="OFF-FAR-1"/>
    <x v="0"/>
    <d v="2026-03-15T00:00:00"/>
    <x v="1"/>
    <s v="Kuwaiti"/>
    <n v="30"/>
    <s v="30-44"/>
    <n v="13"/>
    <n v="1"/>
    <n v="123300"/>
    <n v="5289.57"/>
  </r>
  <r>
    <s v="FN-00359"/>
    <x v="59"/>
    <s v="C0745"/>
    <x v="2"/>
    <x v="0"/>
    <x v="1"/>
    <n v="11300"/>
    <n v="6.2100000000000002E-2"/>
    <n v="36"/>
    <s v="OFF-SAL-3"/>
    <x v="1"/>
    <d v="2026-03-05T00:00:00"/>
    <x v="0"/>
    <s v="Kuwaiti"/>
    <n v="24"/>
    <s v="Under 30"/>
    <n v="3"/>
    <n v="0"/>
    <n v="0"/>
    <n v="0"/>
  </r>
  <r>
    <s v="FN-00398"/>
    <x v="59"/>
    <s v="C0738"/>
    <x v="1"/>
    <x v="3"/>
    <x v="2"/>
    <n v="139000"/>
    <n v="7.8700000000000006E-2"/>
    <n v="24"/>
    <s v="OFF-HAW-3"/>
    <x v="1"/>
    <d v="2026-03-10T00:00:00"/>
    <x v="1"/>
    <s v="Kuwaiti"/>
    <n v="40"/>
    <s v="30-44"/>
    <n v="8"/>
    <n v="0"/>
    <n v="0"/>
    <n v="0"/>
  </r>
  <r>
    <s v="FN-00277"/>
    <x v="60"/>
    <s v="C0781"/>
    <x v="0"/>
    <x v="2"/>
    <x v="0"/>
    <n v="6900"/>
    <n v="4.5499999999999999E-2"/>
    <n v="36"/>
    <s v="OFF-KUW-3"/>
    <x v="0"/>
    <d v="2026-03-06T00:00:00"/>
    <x v="1"/>
    <s v="Non-Kuwaiti"/>
    <n v="36"/>
    <s v="30-44"/>
    <n v="3"/>
    <n v="1"/>
    <n v="6900"/>
    <n v="313.95"/>
  </r>
  <r>
    <s v="FN-00314"/>
    <x v="60"/>
    <s v="C0144"/>
    <x v="0"/>
    <x v="2"/>
    <x v="0"/>
    <n v="7300"/>
    <n v="4.7699999999999999E-2"/>
    <n v="48"/>
    <s v="OFF-KUW-3"/>
    <x v="0"/>
    <d v="2026-03-06T00:00:00"/>
    <x v="1"/>
    <s v="Kuwaiti"/>
    <n v="27"/>
    <s v="Under 30"/>
    <n v="3"/>
    <n v="1"/>
    <n v="7300"/>
    <n v="348.21"/>
  </r>
  <r>
    <s v="FN-00328"/>
    <x v="60"/>
    <s v="C0565"/>
    <x v="2"/>
    <x v="2"/>
    <x v="0"/>
    <n v="9600"/>
    <n v="3.8600000000000002E-2"/>
    <n v="60"/>
    <s v="OFF-SAL-1"/>
    <x v="0"/>
    <d v="2026-03-06T00:00:00"/>
    <x v="0"/>
    <s v="Kuwaiti"/>
    <n v="39"/>
    <s v="30-44"/>
    <n v="3"/>
    <n v="1"/>
    <n v="9600"/>
    <n v="370.56"/>
  </r>
  <r>
    <s v="FN-00302"/>
    <x v="61"/>
    <s v="C0814"/>
    <x v="0"/>
    <x v="0"/>
    <x v="1"/>
    <n v="20100"/>
    <n v="5.4600000000000003E-2"/>
    <n v="48"/>
    <s v="OFF-KUW-3"/>
    <x v="0"/>
    <d v="2026-03-05T00:00:00"/>
    <x v="0"/>
    <s v="Kuwaiti"/>
    <n v="52"/>
    <s v="45+"/>
    <n v="1"/>
    <n v="1"/>
    <n v="20100"/>
    <n v="1097.46"/>
  </r>
  <r>
    <s v="FN-00316"/>
    <x v="61"/>
    <s v="C0744"/>
    <x v="3"/>
    <x v="2"/>
    <x v="0"/>
    <n v="12000"/>
    <n v="3.7400000000000003E-2"/>
    <n v="36"/>
    <s v="OFF-FAR-2"/>
    <x v="0"/>
    <d v="2026-03-05T00:00:00"/>
    <x v="1"/>
    <s v="Non-Kuwaiti"/>
    <n v="35"/>
    <s v="30-44"/>
    <n v="1"/>
    <n v="1"/>
    <n v="12000"/>
    <n v="448.8"/>
  </r>
  <r>
    <s v="FN-00391"/>
    <x v="61"/>
    <s v="C0420"/>
    <x v="3"/>
    <x v="2"/>
    <x v="2"/>
    <n v="13600"/>
    <n v="4.82E-2"/>
    <n v="60"/>
    <s v="OFF-FAR-2"/>
    <x v="0"/>
    <d v="2026-03-08T00:00:00"/>
    <x v="1"/>
    <s v="Kuwaiti"/>
    <n v="30"/>
    <s v="30-44"/>
    <n v="4"/>
    <n v="1"/>
    <n v="13600"/>
    <n v="655.52"/>
  </r>
  <r>
    <s v="FN-00399"/>
    <x v="61"/>
    <s v="C0482"/>
    <x v="3"/>
    <x v="3"/>
    <x v="0"/>
    <n v="147800"/>
    <n v="5.7500000000000002E-2"/>
    <n v="24"/>
    <s v="OFF-FAR-2"/>
    <x v="1"/>
    <d v="2026-03-14T00:00:00"/>
    <x v="1"/>
    <s v="Kuwaiti"/>
    <n v="50"/>
    <s v="45+"/>
    <n v="10"/>
    <n v="0"/>
    <n v="0"/>
    <n v="0"/>
  </r>
  <r>
    <s v="FN-00333"/>
    <x v="62"/>
    <s v="C0013"/>
    <x v="2"/>
    <x v="2"/>
    <x v="0"/>
    <n v="13300"/>
    <n v="3.7699999999999997E-2"/>
    <n v="48"/>
    <s v="OFF-SAL-1"/>
    <x v="0"/>
    <d v="2026-03-07T00:00:00"/>
    <x v="0"/>
    <s v="Kuwaiti"/>
    <n v="33"/>
    <s v="30-44"/>
    <n v="2"/>
    <n v="1"/>
    <n v="13300"/>
    <n v="501.40999999999997"/>
  </r>
  <r>
    <s v="FN-00375"/>
    <x v="62"/>
    <s v="C0780"/>
    <x v="3"/>
    <x v="1"/>
    <x v="1"/>
    <n v="73700"/>
    <n v="3.6400000000000002E-2"/>
    <n v="300"/>
    <s v="OFF-FAR-3"/>
    <x v="0"/>
    <d v="2026-04-01T00:00:00"/>
    <x v="1"/>
    <s v="Non-Kuwaiti"/>
    <n v="25"/>
    <s v="Under 30"/>
    <n v="27"/>
    <n v="1"/>
    <n v="73700"/>
    <n v="2682.6800000000003"/>
  </r>
  <r>
    <s v="FN-00249"/>
    <x v="63"/>
    <s v="C0908"/>
    <x v="3"/>
    <x v="0"/>
    <x v="0"/>
    <n v="22900"/>
    <n v="5.4699999999999999E-2"/>
    <n v="48"/>
    <s v="OFF-FAR-1"/>
    <x v="0"/>
    <d v="2026-03-08T00:00:00"/>
    <x v="1"/>
    <s v="Non-Kuwaiti"/>
    <n v="29"/>
    <s v="Under 30"/>
    <n v="2"/>
    <n v="1"/>
    <n v="22900"/>
    <n v="1252.6299999999999"/>
  </r>
  <r>
    <s v="FN-00274"/>
    <x v="63"/>
    <s v="C0088"/>
    <x v="3"/>
    <x v="0"/>
    <x v="1"/>
    <n v="4000"/>
    <n v="5.8299999999999998E-2"/>
    <n v="60"/>
    <s v="OFF-FAR-3"/>
    <x v="0"/>
    <d v="2026-03-10T00:00:00"/>
    <x v="0"/>
    <s v="Kuwaiti"/>
    <n v="63"/>
    <s v="45+"/>
    <n v="4"/>
    <n v="1"/>
    <n v="4000"/>
    <n v="233.2"/>
  </r>
  <r>
    <s v="FN-00346"/>
    <x v="63"/>
    <s v="C0249"/>
    <x v="1"/>
    <x v="2"/>
    <x v="1"/>
    <n v="10400"/>
    <n v="3.6400000000000002E-2"/>
    <n v="36"/>
    <s v="OFF-HAW-1"/>
    <x v="0"/>
    <d v="2026-03-09T00:00:00"/>
    <x v="1"/>
    <s v="Kuwaiti"/>
    <n v="29"/>
    <s v="Under 30"/>
    <n v="3"/>
    <n v="1"/>
    <n v="10400"/>
    <n v="378.56"/>
  </r>
  <r>
    <s v="FN-00256"/>
    <x v="64"/>
    <s v="C0525"/>
    <x v="1"/>
    <x v="0"/>
    <x v="1"/>
    <n v="7300"/>
    <n v="6.2700000000000006E-2"/>
    <n v="60"/>
    <s v="OFF-HAW-2"/>
    <x v="0"/>
    <d v="2026-03-07T00:00:00"/>
    <x v="1"/>
    <s v="Kuwaiti"/>
    <n v="31"/>
    <s v="30-44"/>
    <n v="0"/>
    <n v="1"/>
    <n v="7300"/>
    <n v="457.71000000000004"/>
  </r>
  <r>
    <s v="FN-00269"/>
    <x v="64"/>
    <s v="C0527"/>
    <x v="4"/>
    <x v="0"/>
    <x v="0"/>
    <n v="13300"/>
    <n v="6.6600000000000006E-2"/>
    <n v="48"/>
    <s v="OFF-AHM-2"/>
    <x v="0"/>
    <d v="2026-03-08T00:00:00"/>
    <x v="0"/>
    <s v="Non-Kuwaiti"/>
    <n v="29"/>
    <s v="Under 30"/>
    <n v="1"/>
    <n v="1"/>
    <n v="13300"/>
    <n v="885.78000000000009"/>
  </r>
  <r>
    <s v="FN-00286"/>
    <x v="64"/>
    <s v="C0924"/>
    <x v="4"/>
    <x v="0"/>
    <x v="2"/>
    <n v="25000"/>
    <n v="5.6500000000000002E-2"/>
    <n v="48"/>
    <s v="OFF-AHM-3"/>
    <x v="0"/>
    <d v="2026-03-12T00:00:00"/>
    <x v="0"/>
    <s v="Kuwaiti"/>
    <n v="66"/>
    <s v="45+"/>
    <n v="5"/>
    <n v="1"/>
    <n v="25000"/>
    <n v="1412.5"/>
  </r>
  <r>
    <s v="FN-00325"/>
    <x v="64"/>
    <s v="C0182"/>
    <x v="0"/>
    <x v="1"/>
    <x v="0"/>
    <n v="216800"/>
    <n v="4.41E-2"/>
    <n v="300"/>
    <s v="OFF-KUW-3"/>
    <x v="0"/>
    <d v="2026-03-29T00:00:00"/>
    <x v="0"/>
    <s v="Kuwaiti"/>
    <n v="30"/>
    <s v="30-44"/>
    <n v="22"/>
    <n v="1"/>
    <n v="216800"/>
    <n v="9560.8799999999992"/>
  </r>
  <r>
    <s v="FN-00397"/>
    <x v="64"/>
    <s v="C0527"/>
    <x v="1"/>
    <x v="0"/>
    <x v="2"/>
    <n v="15500"/>
    <n v="6.7900000000000002E-2"/>
    <n v="60"/>
    <s v="OFF-HAW-3"/>
    <x v="0"/>
    <d v="2026-03-10T00:00:00"/>
    <x v="0"/>
    <s v="Non-Kuwaiti"/>
    <n v="29"/>
    <s v="Under 30"/>
    <n v="3"/>
    <n v="1"/>
    <n v="15500"/>
    <n v="1052.45"/>
  </r>
  <r>
    <s v="FN-00410"/>
    <x v="64"/>
    <s v="C0408"/>
    <x v="0"/>
    <x v="1"/>
    <x v="0"/>
    <n v="62300"/>
    <n v="4.2700000000000002E-2"/>
    <n v="120"/>
    <s v="OFF-KUW-1"/>
    <x v="0"/>
    <d v="2026-03-30T00:00:00"/>
    <x v="1"/>
    <s v="Non-Kuwaiti"/>
    <n v="54"/>
    <s v="45+"/>
    <n v="23"/>
    <n v="1"/>
    <n v="62300"/>
    <n v="2660.21"/>
  </r>
  <r>
    <s v="FN-00248"/>
    <x v="65"/>
    <s v="C0571"/>
    <x v="1"/>
    <x v="0"/>
    <x v="0"/>
    <n v="24400"/>
    <n v="5.8400000000000001E-2"/>
    <n v="24"/>
    <s v="OFF-HAW-2"/>
    <x v="0"/>
    <d v="2026-03-12T00:00:00"/>
    <x v="1"/>
    <s v="Non-Kuwaiti"/>
    <n v="69"/>
    <s v="45+"/>
    <n v="4"/>
    <n v="1"/>
    <n v="24400"/>
    <n v="1424.96"/>
  </r>
  <r>
    <s v="FN-00270"/>
    <x v="65"/>
    <s v="C0446"/>
    <x v="3"/>
    <x v="3"/>
    <x v="0"/>
    <n v="106100"/>
    <n v="6.7299999999999999E-2"/>
    <n v="60"/>
    <s v="OFF-FAR-3"/>
    <x v="0"/>
    <d v="2026-03-20T00:00:00"/>
    <x v="1"/>
    <s v="Kuwaiti"/>
    <n v="50"/>
    <s v="45+"/>
    <n v="12"/>
    <n v="1"/>
    <n v="106100"/>
    <n v="7140.53"/>
  </r>
  <r>
    <s v="FN-00281"/>
    <x v="65"/>
    <s v="C0771"/>
    <x v="5"/>
    <x v="0"/>
    <x v="0"/>
    <n v="25000"/>
    <n v="5.5300000000000002E-2"/>
    <n v="48"/>
    <s v="OFF-JAH-3"/>
    <x v="0"/>
    <d v="2026-03-09T00:00:00"/>
    <x v="2"/>
    <s v="Non-Kuwaiti"/>
    <n v="24"/>
    <s v="Under 30"/>
    <n v="1"/>
    <n v="1"/>
    <n v="25000"/>
    <n v="1382.5"/>
  </r>
  <r>
    <s v="FN-00311"/>
    <x v="65"/>
    <s v="C0150"/>
    <x v="0"/>
    <x v="0"/>
    <x v="2"/>
    <n v="2500"/>
    <n v="5.4600000000000003E-2"/>
    <n v="48"/>
    <s v="OFF-KUW-3"/>
    <x v="0"/>
    <d v="2026-03-15T00:00:00"/>
    <x v="1"/>
    <s v="Non-Kuwaiti"/>
    <n v="34"/>
    <s v="30-44"/>
    <n v="7"/>
    <n v="1"/>
    <n v="2500"/>
    <n v="136.5"/>
  </r>
  <r>
    <s v="FN-00313"/>
    <x v="65"/>
    <s v="C0870"/>
    <x v="2"/>
    <x v="2"/>
    <x v="0"/>
    <n v="6100"/>
    <n v="3.7600000000000001E-2"/>
    <n v="48"/>
    <s v="OFF-SAL-1"/>
    <x v="1"/>
    <d v="2026-03-09T00:00:00"/>
    <x v="1"/>
    <s v="Kuwaiti"/>
    <n v="35"/>
    <s v="30-44"/>
    <n v="1"/>
    <n v="0"/>
    <n v="0"/>
    <n v="0"/>
  </r>
  <r>
    <s v="FN-00327"/>
    <x v="65"/>
    <s v="C0114"/>
    <x v="0"/>
    <x v="2"/>
    <x v="0"/>
    <n v="6700"/>
    <n v="4.3700000000000003E-2"/>
    <n v="60"/>
    <s v="OFF-KUW-1"/>
    <x v="0"/>
    <d v="2026-03-09T00:00:00"/>
    <x v="2"/>
    <s v="Kuwaiti"/>
    <n v="29"/>
    <s v="Under 30"/>
    <n v="1"/>
    <n v="1"/>
    <n v="6700"/>
    <n v="292.79000000000002"/>
  </r>
  <r>
    <s v="FN-00331"/>
    <x v="65"/>
    <s v="C0198"/>
    <x v="4"/>
    <x v="2"/>
    <x v="0"/>
    <n v="14200"/>
    <n v="3.6799999999999999E-2"/>
    <n v="36"/>
    <s v="OFF-AHM-2"/>
    <x v="1"/>
    <d v="2026-03-09T00:00:00"/>
    <x v="1"/>
    <s v="Kuwaiti"/>
    <n v="69"/>
    <s v="45+"/>
    <n v="1"/>
    <n v="0"/>
    <n v="0"/>
    <n v="0"/>
  </r>
  <r>
    <s v="FN-00367"/>
    <x v="65"/>
    <s v="C0516"/>
    <x v="2"/>
    <x v="0"/>
    <x v="0"/>
    <n v="25000"/>
    <n v="6.7699999999999996E-2"/>
    <n v="12"/>
    <s v="OFF-SAL-1"/>
    <x v="0"/>
    <d v="2026-03-09T00:00:00"/>
    <x v="2"/>
    <s v="Kuwaiti"/>
    <n v="51"/>
    <s v="45+"/>
    <n v="1"/>
    <n v="1"/>
    <n v="25000"/>
    <n v="1692.5"/>
  </r>
  <r>
    <s v="FN-00255"/>
    <x v="66"/>
    <s v="C0077"/>
    <x v="0"/>
    <x v="2"/>
    <x v="1"/>
    <n v="10100"/>
    <n v="3.9899999999999998E-2"/>
    <n v="60"/>
    <s v="OFF-KUW-3"/>
    <x v="0"/>
    <d v="2026-03-12T00:00:00"/>
    <x v="1"/>
    <s v="Non-Kuwaiti"/>
    <n v="25"/>
    <s v="Under 30"/>
    <n v="3"/>
    <n v="1"/>
    <n v="10100"/>
    <n v="402.98999999999995"/>
  </r>
  <r>
    <s v="FN-00272"/>
    <x v="66"/>
    <s v="C0332"/>
    <x v="0"/>
    <x v="3"/>
    <x v="0"/>
    <n v="137600"/>
    <n v="6.6100000000000006E-2"/>
    <n v="24"/>
    <s v="OFF-KUW-1"/>
    <x v="0"/>
    <d v="2026-03-25T00:00:00"/>
    <x v="1"/>
    <s v="Non-Kuwaiti"/>
    <n v="43"/>
    <s v="30-44"/>
    <n v="16"/>
    <n v="1"/>
    <n v="137600"/>
    <n v="9095.36"/>
  </r>
  <r>
    <s v="FN-00289"/>
    <x v="66"/>
    <s v="C0154"/>
    <x v="0"/>
    <x v="0"/>
    <x v="1"/>
    <n v="20400"/>
    <n v="6.7400000000000002E-2"/>
    <n v="36"/>
    <s v="OFF-KUW-3"/>
    <x v="0"/>
    <d v="2026-03-13T00:00:00"/>
    <x v="1"/>
    <s v="Kuwaiti"/>
    <n v="37"/>
    <s v="30-44"/>
    <n v="4"/>
    <n v="1"/>
    <n v="20400"/>
    <n v="1374.96"/>
  </r>
  <r>
    <s v="FN-00349"/>
    <x v="66"/>
    <s v="C0594"/>
    <x v="4"/>
    <x v="3"/>
    <x v="0"/>
    <n v="224700"/>
    <n v="7.8100000000000003E-2"/>
    <n v="60"/>
    <s v="OFF-AHM-1"/>
    <x v="0"/>
    <d v="2026-03-20T00:00:00"/>
    <x v="2"/>
    <s v="Kuwaiti"/>
    <n v="45"/>
    <s v="45+"/>
    <n v="11"/>
    <n v="1"/>
    <n v="224700"/>
    <n v="17549.07"/>
  </r>
  <r>
    <s v="FN-00366"/>
    <x v="66"/>
    <s v="C0636"/>
    <x v="1"/>
    <x v="0"/>
    <x v="0"/>
    <n v="15300"/>
    <n v="5.7500000000000002E-2"/>
    <n v="24"/>
    <s v="OFF-HAW-2"/>
    <x v="1"/>
    <d v="2026-03-13T00:00:00"/>
    <x v="1"/>
    <s v="Kuwaiti"/>
    <n v="26"/>
    <s v="Under 30"/>
    <n v="4"/>
    <n v="0"/>
    <n v="0"/>
    <n v="0"/>
  </r>
  <r>
    <s v="FN-00408"/>
    <x v="66"/>
    <s v="C0645"/>
    <x v="5"/>
    <x v="0"/>
    <x v="0"/>
    <n v="20100"/>
    <n v="6.1899999999999997E-2"/>
    <n v="48"/>
    <s v="OFF-JAH-1"/>
    <x v="0"/>
    <d v="2026-03-16T00:00:00"/>
    <x v="1"/>
    <s v="Kuwaiti"/>
    <n v="37"/>
    <s v="30-44"/>
    <n v="7"/>
    <n v="1"/>
    <n v="20100"/>
    <n v="1244.1899999999998"/>
  </r>
  <r>
    <s v="FN-00271"/>
    <x v="67"/>
    <s v="C0212"/>
    <x v="4"/>
    <x v="3"/>
    <x v="0"/>
    <n v="66300"/>
    <n v="7.8100000000000003E-2"/>
    <n v="24"/>
    <s v="OFF-AHM-3"/>
    <x v="0"/>
    <d v="2026-03-19T00:00:00"/>
    <x v="1"/>
    <s v="Kuwaiti"/>
    <n v="41"/>
    <s v="30-44"/>
    <n v="9"/>
    <n v="1"/>
    <n v="66300"/>
    <n v="5178.03"/>
  </r>
  <r>
    <s v="FN-00285"/>
    <x v="67"/>
    <s v="C0114"/>
    <x v="5"/>
    <x v="0"/>
    <x v="2"/>
    <n v="5400"/>
    <n v="6.6699999999999995E-2"/>
    <n v="60"/>
    <s v="OFF-JAH-3"/>
    <x v="0"/>
    <d v="2026-03-17T00:00:00"/>
    <x v="2"/>
    <s v="Kuwaiti"/>
    <n v="29"/>
    <s v="Under 30"/>
    <n v="7"/>
    <n v="1"/>
    <n v="5400"/>
    <n v="360.17999999999995"/>
  </r>
  <r>
    <s v="FN-00362"/>
    <x v="67"/>
    <s v="C0602"/>
    <x v="5"/>
    <x v="3"/>
    <x v="0"/>
    <n v="33300"/>
    <n v="7.22E-2"/>
    <n v="36"/>
    <s v="OFF-JAH-1"/>
    <x v="1"/>
    <d v="2026-03-19T00:00:00"/>
    <x v="0"/>
    <s v="Non-Kuwaiti"/>
    <n v="25"/>
    <s v="Under 30"/>
    <n v="9"/>
    <n v="0"/>
    <n v="0"/>
    <n v="0"/>
  </r>
  <r>
    <s v="FN-00390"/>
    <x v="67"/>
    <s v="C0594"/>
    <x v="2"/>
    <x v="2"/>
    <x v="0"/>
    <n v="20000"/>
    <n v="3.9800000000000002E-2"/>
    <n v="36"/>
    <s v="OFF-SAL-3"/>
    <x v="0"/>
    <d v="2026-03-13T00:00:00"/>
    <x v="2"/>
    <s v="Kuwaiti"/>
    <n v="45"/>
    <s v="45+"/>
    <n v="3"/>
    <n v="1"/>
    <n v="20000"/>
    <n v="796"/>
  </r>
  <r>
    <s v="FN-00300"/>
    <x v="68"/>
    <s v="C0141"/>
    <x v="0"/>
    <x v="3"/>
    <x v="0"/>
    <n v="185900"/>
    <n v="7.6999999999999999E-2"/>
    <n v="84"/>
    <s v="OFF-KUW-1"/>
    <x v="0"/>
    <d v="2026-03-30T00:00:00"/>
    <x v="2"/>
    <s v="Non-Kuwaiti"/>
    <n v="22"/>
    <s v="Under 30"/>
    <n v="19"/>
    <n v="1"/>
    <n v="185900"/>
    <n v="14314.3"/>
  </r>
  <r>
    <s v="FN-00319"/>
    <x v="68"/>
    <s v="C0031"/>
    <x v="0"/>
    <x v="1"/>
    <x v="0"/>
    <n v="226400"/>
    <n v="4.3299999999999998E-2"/>
    <n v="180"/>
    <s v="OFF-KUW-1"/>
    <x v="0"/>
    <d v="2026-04-06T00:00:00"/>
    <x v="0"/>
    <s v="Kuwaiti"/>
    <n v="50"/>
    <s v="45+"/>
    <n v="26"/>
    <n v="1"/>
    <n v="226400"/>
    <n v="9803.119999999999"/>
  </r>
  <r>
    <s v="FN-00348"/>
    <x v="68"/>
    <s v="C0005"/>
    <x v="0"/>
    <x v="3"/>
    <x v="0"/>
    <n v="38100"/>
    <n v="7.3700000000000002E-2"/>
    <n v="24"/>
    <s v="OFF-KUW-3"/>
    <x v="0"/>
    <d v="2026-03-31T00:00:00"/>
    <x v="1"/>
    <s v="Kuwaiti"/>
    <n v="42"/>
    <s v="30-44"/>
    <n v="20"/>
    <n v="1"/>
    <n v="38100"/>
    <n v="2807.9700000000003"/>
  </r>
  <r>
    <s v="FN-00389"/>
    <x v="68"/>
    <s v="C0704"/>
    <x v="0"/>
    <x v="0"/>
    <x v="0"/>
    <n v="10600"/>
    <n v="6.2799999999999995E-2"/>
    <n v="60"/>
    <s v="OFF-KUW-1"/>
    <x v="0"/>
    <d v="2026-03-17T00:00:00"/>
    <x v="1"/>
    <s v="Non-Kuwaiti"/>
    <n v="40"/>
    <s v="30-44"/>
    <n v="6"/>
    <n v="1"/>
    <n v="10600"/>
    <n v="665.68"/>
  </r>
  <r>
    <s v="FN-00393"/>
    <x v="68"/>
    <s v="C0412"/>
    <x v="4"/>
    <x v="0"/>
    <x v="0"/>
    <n v="23100"/>
    <n v="6.4500000000000002E-2"/>
    <n v="36"/>
    <s v="OFF-AHM-1"/>
    <x v="0"/>
    <d v="2026-03-13T00:00:00"/>
    <x v="1"/>
    <s v="Kuwaiti"/>
    <n v="34"/>
    <s v="30-44"/>
    <n v="2"/>
    <n v="1"/>
    <n v="23100"/>
    <n v="1489.95"/>
  </r>
  <r>
    <s v="FN-00402"/>
    <x v="68"/>
    <s v="C0703"/>
    <x v="3"/>
    <x v="3"/>
    <x v="0"/>
    <n v="23700"/>
    <n v="5.8400000000000001E-2"/>
    <n v="60"/>
    <s v="OFF-FAR-2"/>
    <x v="0"/>
    <d v="2026-03-26T00:00:00"/>
    <x v="1"/>
    <s v="Kuwaiti"/>
    <n v="22"/>
    <s v="Under 30"/>
    <n v="15"/>
    <n v="1"/>
    <n v="23700"/>
    <n v="1384.08"/>
  </r>
  <r>
    <s v="FN-00403"/>
    <x v="68"/>
    <s v="C0013"/>
    <x v="5"/>
    <x v="0"/>
    <x v="1"/>
    <n v="12000"/>
    <n v="6.6400000000000001E-2"/>
    <n v="48"/>
    <s v="OFF-JAH-1"/>
    <x v="0"/>
    <d v="2026-03-17T00:00:00"/>
    <x v="0"/>
    <s v="Kuwaiti"/>
    <n v="33"/>
    <s v="30-44"/>
    <n v="6"/>
    <n v="1"/>
    <n v="12000"/>
    <n v="796.8"/>
  </r>
  <r>
    <s v="FN-00409"/>
    <x v="68"/>
    <s v="C0109"/>
    <x v="4"/>
    <x v="0"/>
    <x v="0"/>
    <n v="17900"/>
    <n v="6.4600000000000005E-2"/>
    <n v="48"/>
    <s v="OFF-AHM-1"/>
    <x v="0"/>
    <d v="2026-03-12T00:00:00"/>
    <x v="1"/>
    <s v="Kuwaiti"/>
    <n v="49"/>
    <s v="45+"/>
    <n v="1"/>
    <n v="1"/>
    <n v="17900"/>
    <n v="1156.3400000000001"/>
  </r>
  <r>
    <s v="FN-00252"/>
    <x v="69"/>
    <s v="C0259"/>
    <x v="0"/>
    <x v="3"/>
    <x v="2"/>
    <n v="28400"/>
    <n v="7.7100000000000002E-2"/>
    <n v="84"/>
    <s v="OFF-KUW-1"/>
    <x v="0"/>
    <d v="2026-03-24T00:00:00"/>
    <x v="1"/>
    <s v="Kuwaiti"/>
    <n v="41"/>
    <s v="30-44"/>
    <n v="12"/>
    <n v="1"/>
    <n v="28400"/>
    <n v="2189.64"/>
  </r>
  <r>
    <s v="FN-00257"/>
    <x v="69"/>
    <s v="C0485"/>
    <x v="1"/>
    <x v="2"/>
    <x v="2"/>
    <n v="13500"/>
    <n v="3.56E-2"/>
    <n v="36"/>
    <s v="OFF-HAW-2"/>
    <x v="0"/>
    <d v="2026-03-17T00:00:00"/>
    <x v="0"/>
    <s v="Non-Kuwaiti"/>
    <n v="26"/>
    <s v="Under 30"/>
    <n v="5"/>
    <n v="1"/>
    <n v="13500"/>
    <n v="480.6"/>
  </r>
  <r>
    <s v="FN-00344"/>
    <x v="69"/>
    <s v="C0142"/>
    <x v="5"/>
    <x v="3"/>
    <x v="1"/>
    <n v="70300"/>
    <n v="7.0000000000000007E-2"/>
    <n v="24"/>
    <s v="OFF-JAH-2"/>
    <x v="0"/>
    <d v="2026-03-22T00:00:00"/>
    <x v="0"/>
    <s v="Kuwaiti"/>
    <n v="58"/>
    <s v="45+"/>
    <n v="10"/>
    <n v="1"/>
    <n v="70300"/>
    <n v="4921.0000000000009"/>
  </r>
  <r>
    <s v="FN-00371"/>
    <x v="69"/>
    <s v="C0228"/>
    <x v="5"/>
    <x v="0"/>
    <x v="2"/>
    <n v="12000"/>
    <n v="5.4399999999999997E-2"/>
    <n v="60"/>
    <s v="OFF-JAH-2"/>
    <x v="1"/>
    <d v="2026-03-16T00:00:00"/>
    <x v="0"/>
    <s v="Kuwaiti"/>
    <n v="41"/>
    <s v="30-44"/>
    <n v="4"/>
    <n v="0"/>
    <n v="0"/>
    <n v="0"/>
  </r>
  <r>
    <s v="FN-00378"/>
    <x v="69"/>
    <s v="C0737"/>
    <x v="0"/>
    <x v="0"/>
    <x v="0"/>
    <n v="16200"/>
    <n v="5.3900000000000003E-2"/>
    <n v="24"/>
    <s v="OFF-KUW-3"/>
    <x v="0"/>
    <d v="2026-03-14T00:00:00"/>
    <x v="1"/>
    <s v="Kuwaiti"/>
    <n v="29"/>
    <s v="Under 30"/>
    <n v="2"/>
    <n v="1"/>
    <n v="16200"/>
    <n v="873.18000000000006"/>
  </r>
  <r>
    <s v="FN-00407"/>
    <x v="69"/>
    <s v="C0236"/>
    <x v="3"/>
    <x v="0"/>
    <x v="0"/>
    <n v="4400"/>
    <n v="5.7299999999999997E-2"/>
    <n v="48"/>
    <s v="OFF-FAR-3"/>
    <x v="0"/>
    <d v="2026-03-14T00:00:00"/>
    <x v="1"/>
    <s v="Kuwaiti"/>
    <n v="29"/>
    <s v="Under 30"/>
    <n v="2"/>
    <n v="1"/>
    <n v="4400"/>
    <n v="252.11999999999998"/>
  </r>
  <r>
    <s v="FN-00262"/>
    <x v="70"/>
    <s v="C0633"/>
    <x v="0"/>
    <x v="0"/>
    <x v="0"/>
    <n v="15200"/>
    <n v="5.9400000000000001E-2"/>
    <n v="60"/>
    <s v="OFF-KUW-3"/>
    <x v="0"/>
    <d v="2026-03-16T00:00:00"/>
    <x v="1"/>
    <s v="Kuwaiti"/>
    <n v="49"/>
    <s v="45+"/>
    <n v="3"/>
    <n v="1"/>
    <n v="15200"/>
    <n v="902.88"/>
  </r>
  <r>
    <s v="FN-00330"/>
    <x v="70"/>
    <s v="C0590"/>
    <x v="3"/>
    <x v="1"/>
    <x v="1"/>
    <n v="194600"/>
    <n v="3.5700000000000003E-2"/>
    <n v="180"/>
    <s v="OFF-FAR-3"/>
    <x v="1"/>
    <d v="2026-03-28T00:00:00"/>
    <x v="1"/>
    <s v="Kuwaiti"/>
    <n v="42"/>
    <s v="30-44"/>
    <n v="15"/>
    <n v="0"/>
    <n v="0"/>
    <n v="0"/>
  </r>
  <r>
    <s v="FN-00382"/>
    <x v="70"/>
    <s v="C0745"/>
    <x v="4"/>
    <x v="0"/>
    <x v="0"/>
    <n v="23600"/>
    <n v="5.5800000000000002E-2"/>
    <n v="48"/>
    <s v="OFF-AHM-1"/>
    <x v="1"/>
    <d v="2026-03-15T00:00:00"/>
    <x v="0"/>
    <s v="Kuwaiti"/>
    <n v="24"/>
    <s v="Under 30"/>
    <n v="2"/>
    <n v="0"/>
    <n v="0"/>
    <n v="0"/>
  </r>
  <r>
    <s v="FN-00318"/>
    <x v="71"/>
    <s v="C0666"/>
    <x v="3"/>
    <x v="3"/>
    <x v="0"/>
    <n v="149000"/>
    <n v="7.9100000000000004E-2"/>
    <n v="84"/>
    <s v="OFF-FAR-1"/>
    <x v="0"/>
    <d v="2026-03-28T00:00:00"/>
    <x v="1"/>
    <s v="Kuwaiti"/>
    <n v="71"/>
    <s v="45+"/>
    <n v="14"/>
    <n v="1"/>
    <n v="149000"/>
    <n v="11785.9"/>
  </r>
  <r>
    <s v="FN-00368"/>
    <x v="71"/>
    <s v="C0138"/>
    <x v="0"/>
    <x v="0"/>
    <x v="0"/>
    <n v="14500"/>
    <n v="6.4199999999999993E-2"/>
    <n v="48"/>
    <s v="OFF-KUW-3"/>
    <x v="0"/>
    <d v="2026-03-15T00:00:00"/>
    <x v="0"/>
    <s v="Kuwaiti"/>
    <n v="24"/>
    <s v="Under 30"/>
    <n v="1"/>
    <n v="1"/>
    <n v="14500"/>
    <n v="930.89999999999986"/>
  </r>
  <r>
    <s v="FN-00283"/>
    <x v="72"/>
    <s v="C0373"/>
    <x v="3"/>
    <x v="3"/>
    <x v="0"/>
    <n v="145700"/>
    <n v="6.1699999999999998E-2"/>
    <n v="24"/>
    <s v="OFF-FAR-3"/>
    <x v="1"/>
    <d v="2026-04-05T00:00:00"/>
    <x v="1"/>
    <s v="Kuwaiti"/>
    <n v="57"/>
    <s v="45+"/>
    <n v="21"/>
    <n v="0"/>
    <n v="0"/>
    <n v="0"/>
  </r>
  <r>
    <s v="FN-00290"/>
    <x v="72"/>
    <s v="C0558"/>
    <x v="1"/>
    <x v="0"/>
    <x v="0"/>
    <n v="4600"/>
    <n v="6.4500000000000002E-2"/>
    <n v="24"/>
    <s v="OFF-HAW-3"/>
    <x v="0"/>
    <d v="2026-03-16T00:00:00"/>
    <x v="0"/>
    <s v="Kuwaiti"/>
    <n v="39"/>
    <s v="30-44"/>
    <n v="1"/>
    <n v="1"/>
    <n v="4600"/>
    <n v="296.7"/>
  </r>
  <r>
    <s v="FN-00297"/>
    <x v="72"/>
    <s v="C0832"/>
    <x v="2"/>
    <x v="2"/>
    <x v="2"/>
    <n v="7100"/>
    <n v="3.9100000000000003E-2"/>
    <n v="60"/>
    <s v="OFF-SAL-1"/>
    <x v="0"/>
    <d v="2026-03-16T00:00:00"/>
    <x v="1"/>
    <s v="Kuwaiti"/>
    <n v="42"/>
    <s v="30-44"/>
    <n v="1"/>
    <n v="1"/>
    <n v="7100"/>
    <n v="277.61"/>
  </r>
  <r>
    <s v="FN-00347"/>
    <x v="72"/>
    <s v="C0261"/>
    <x v="4"/>
    <x v="2"/>
    <x v="0"/>
    <n v="9100"/>
    <n v="4.9200000000000001E-2"/>
    <n v="60"/>
    <s v="OFF-AHM-1"/>
    <x v="1"/>
    <d v="2026-03-17T00:00:00"/>
    <x v="1"/>
    <s v="Kuwaiti"/>
    <n v="39"/>
    <s v="30-44"/>
    <n v="2"/>
    <n v="0"/>
    <n v="0"/>
    <n v="0"/>
  </r>
  <r>
    <s v="FN-00396"/>
    <x v="72"/>
    <s v="C0502"/>
    <x v="0"/>
    <x v="0"/>
    <x v="0"/>
    <n v="7500"/>
    <n v="6.6900000000000001E-2"/>
    <n v="60"/>
    <s v="OFF-KUW-1"/>
    <x v="0"/>
    <d v="2026-03-19T00:00:00"/>
    <x v="0"/>
    <s v="Kuwaiti"/>
    <n v="42"/>
    <s v="30-44"/>
    <n v="4"/>
    <n v="1"/>
    <n v="7500"/>
    <n v="501.75"/>
  </r>
  <r>
    <s v="FN-00401"/>
    <x v="72"/>
    <s v="C0093"/>
    <x v="5"/>
    <x v="1"/>
    <x v="0"/>
    <n v="293200"/>
    <n v="4.1099999999999998E-2"/>
    <n v="120"/>
    <s v="OFF-JAH-1"/>
    <x v="0"/>
    <d v="2026-04-12T00:00:00"/>
    <x v="2"/>
    <s v="Kuwaiti"/>
    <n v="32"/>
    <s v="30-44"/>
    <n v="28"/>
    <n v="1"/>
    <n v="293200"/>
    <n v="12050.519999999999"/>
  </r>
  <r>
    <s v="FN-00404"/>
    <x v="72"/>
    <s v="C0119"/>
    <x v="3"/>
    <x v="1"/>
    <x v="2"/>
    <n v="124200"/>
    <n v="3.1099999999999999E-2"/>
    <n v="180"/>
    <s v="OFF-FAR-3"/>
    <x v="1"/>
    <d v="2026-03-27T00:00:00"/>
    <x v="0"/>
    <s v="Kuwaiti"/>
    <n v="68"/>
    <s v="45+"/>
    <n v="12"/>
    <n v="0"/>
    <n v="0"/>
    <n v="0"/>
  </r>
  <r>
    <s v="FN-00264"/>
    <x v="73"/>
    <s v="C0822"/>
    <x v="2"/>
    <x v="1"/>
    <x v="2"/>
    <n v="116400"/>
    <n v="3.6499999999999998E-2"/>
    <n v="180"/>
    <s v="OFF-SAL-1"/>
    <x v="1"/>
    <d v="2026-04-14T00:00:00"/>
    <x v="0"/>
    <s v="Kuwaiti"/>
    <n v="29"/>
    <s v="Under 30"/>
    <n v="29"/>
    <n v="0"/>
    <n v="0"/>
    <n v="0"/>
  </r>
  <r>
    <s v="FN-00278"/>
    <x v="73"/>
    <s v="C0455"/>
    <x v="3"/>
    <x v="2"/>
    <x v="0"/>
    <n v="21900"/>
    <n v="4.7699999999999999E-2"/>
    <n v="36"/>
    <s v="OFF-FAR-3"/>
    <x v="0"/>
    <d v="2026-03-17T00:00:00"/>
    <x v="2"/>
    <s v="Kuwaiti"/>
    <n v="46"/>
    <s v="45+"/>
    <n v="1"/>
    <n v="1"/>
    <n v="21900"/>
    <n v="1044.6299999999999"/>
  </r>
  <r>
    <s v="FN-00282"/>
    <x v="73"/>
    <s v="C0793"/>
    <x v="0"/>
    <x v="0"/>
    <x v="0"/>
    <n v="8000"/>
    <n v="6.1800000000000001E-2"/>
    <n v="24"/>
    <s v="OFF-KUW-1"/>
    <x v="0"/>
    <d v="2026-03-18T00:00:00"/>
    <x v="1"/>
    <s v="Kuwaiti"/>
    <n v="59"/>
    <s v="45+"/>
    <n v="2"/>
    <n v="1"/>
    <n v="8000"/>
    <n v="494.40000000000003"/>
  </r>
  <r>
    <s v="FN-00287"/>
    <x v="73"/>
    <s v="C0552"/>
    <x v="0"/>
    <x v="0"/>
    <x v="0"/>
    <n v="24600"/>
    <n v="6.6900000000000001E-2"/>
    <n v="12"/>
    <s v="OFF-KUW-3"/>
    <x v="0"/>
    <d v="2026-03-22T00:00:00"/>
    <x v="0"/>
    <s v="Kuwaiti"/>
    <n v="54"/>
    <s v="45+"/>
    <n v="6"/>
    <n v="1"/>
    <n v="24600"/>
    <n v="1645.74"/>
  </r>
  <r>
    <s v="FN-00343"/>
    <x v="73"/>
    <s v="C0714"/>
    <x v="3"/>
    <x v="2"/>
    <x v="0"/>
    <n v="6700"/>
    <n v="4.82E-2"/>
    <n v="48"/>
    <s v="OFF-FAR-2"/>
    <x v="0"/>
    <d v="2026-03-18T00:00:00"/>
    <x v="0"/>
    <s v="Kuwaiti"/>
    <n v="41"/>
    <s v="30-44"/>
    <n v="2"/>
    <n v="1"/>
    <n v="6700"/>
    <n v="322.94"/>
  </r>
  <r>
    <s v="FN-00363"/>
    <x v="73"/>
    <s v="C0941"/>
    <x v="2"/>
    <x v="2"/>
    <x v="1"/>
    <n v="11200"/>
    <n v="4.6300000000000001E-2"/>
    <n v="48"/>
    <s v="OFF-SAL-3"/>
    <x v="0"/>
    <d v="2026-03-16T00:00:00"/>
    <x v="0"/>
    <s v="Kuwaiti"/>
    <n v="40"/>
    <s v="30-44"/>
    <n v="0"/>
    <n v="1"/>
    <n v="11200"/>
    <n v="518.56000000000006"/>
  </r>
  <r>
    <s v="FN-00372"/>
    <x v="73"/>
    <s v="C0743"/>
    <x v="0"/>
    <x v="0"/>
    <x v="1"/>
    <n v="7100"/>
    <n v="5.1900000000000002E-2"/>
    <n v="36"/>
    <s v="OFF-KUW-2"/>
    <x v="0"/>
    <d v="2026-03-21T00:00:00"/>
    <x v="1"/>
    <s v="Kuwaiti"/>
    <n v="40"/>
    <s v="30-44"/>
    <n v="5"/>
    <n v="1"/>
    <n v="7100"/>
    <n v="368.49"/>
  </r>
  <r>
    <s v="FN-00379"/>
    <x v="73"/>
    <s v="C0373"/>
    <x v="5"/>
    <x v="0"/>
    <x v="1"/>
    <n v="11900"/>
    <n v="5.9700000000000003E-2"/>
    <n v="24"/>
    <s v="OFF-JAH-1"/>
    <x v="0"/>
    <d v="2026-03-22T00:00:00"/>
    <x v="1"/>
    <s v="Kuwaiti"/>
    <n v="57"/>
    <s v="45+"/>
    <n v="6"/>
    <n v="1"/>
    <n v="11900"/>
    <n v="710.43000000000006"/>
  </r>
  <r>
    <s v="FN-00268"/>
    <x v="74"/>
    <s v="C0902"/>
    <x v="3"/>
    <x v="0"/>
    <x v="0"/>
    <n v="11900"/>
    <n v="5.9299999999999999E-2"/>
    <n v="48"/>
    <s v="OFF-FAR-1"/>
    <x v="0"/>
    <d v="2026-03-19T00:00:00"/>
    <x v="0"/>
    <s v="Non-Kuwaiti"/>
    <n v="48"/>
    <s v="45+"/>
    <n v="2"/>
    <n v="1"/>
    <n v="11900"/>
    <n v="705.67"/>
  </r>
  <r>
    <s v="FN-00284"/>
    <x v="74"/>
    <s v="C0482"/>
    <x v="3"/>
    <x v="3"/>
    <x v="0"/>
    <n v="138300"/>
    <n v="7.0599999999999996E-2"/>
    <n v="84"/>
    <s v="OFF-FAR-1"/>
    <x v="0"/>
    <d v="2026-04-06T00:00:00"/>
    <x v="1"/>
    <s v="Kuwaiti"/>
    <n v="50"/>
    <s v="45+"/>
    <n v="20"/>
    <n v="1"/>
    <n v="138300"/>
    <n v="9763.98"/>
  </r>
  <r>
    <s v="FN-00305"/>
    <x v="74"/>
    <s v="C0598"/>
    <x v="3"/>
    <x v="0"/>
    <x v="0"/>
    <n v="25000"/>
    <n v="6.9099999999999995E-2"/>
    <n v="60"/>
    <s v="OFF-FAR-1"/>
    <x v="0"/>
    <d v="2026-03-18T00:00:00"/>
    <x v="0"/>
    <s v="Non-Kuwaiti"/>
    <n v="24"/>
    <s v="Under 30"/>
    <n v="1"/>
    <n v="1"/>
    <n v="25000"/>
    <n v="1727.4999999999998"/>
  </r>
  <r>
    <s v="FN-00320"/>
    <x v="74"/>
    <s v="C0101"/>
    <x v="5"/>
    <x v="2"/>
    <x v="0"/>
    <n v="8800"/>
    <n v="4.9399999999999999E-2"/>
    <n v="48"/>
    <s v="OFF-JAH-1"/>
    <x v="0"/>
    <d v="2026-03-18T00:00:00"/>
    <x v="2"/>
    <s v="Kuwaiti"/>
    <n v="26"/>
    <s v="Under 30"/>
    <n v="1"/>
    <n v="1"/>
    <n v="8800"/>
    <n v="434.71999999999997"/>
  </r>
  <r>
    <s v="FN-00341"/>
    <x v="74"/>
    <s v="C0198"/>
    <x v="4"/>
    <x v="0"/>
    <x v="0"/>
    <n v="21400"/>
    <n v="6.6199999999999995E-2"/>
    <n v="36"/>
    <s v="OFF-AHM-2"/>
    <x v="1"/>
    <d v="2026-03-21T00:00:00"/>
    <x v="1"/>
    <s v="Kuwaiti"/>
    <n v="69"/>
    <s v="45+"/>
    <n v="4"/>
    <n v="0"/>
    <n v="0"/>
    <n v="0"/>
  </r>
  <r>
    <s v="FN-00387"/>
    <x v="74"/>
    <s v="C0632"/>
    <x v="2"/>
    <x v="3"/>
    <x v="0"/>
    <n v="50800"/>
    <n v="6.5199999999999994E-2"/>
    <n v="36"/>
    <s v="OFF-SAL-2"/>
    <x v="0"/>
    <d v="2026-04-06T00:00:00"/>
    <x v="1"/>
    <s v="Kuwaiti"/>
    <n v="29"/>
    <s v="Under 30"/>
    <n v="20"/>
    <n v="1"/>
    <n v="50800"/>
    <n v="3312.16"/>
  </r>
  <r>
    <s v="FN-00392"/>
    <x v="74"/>
    <s v="C0509"/>
    <x v="4"/>
    <x v="0"/>
    <x v="2"/>
    <n v="23300"/>
    <n v="6.7799999999999999E-2"/>
    <n v="36"/>
    <s v="OFF-AHM-2"/>
    <x v="0"/>
    <d v="2026-03-22T00:00:00"/>
    <x v="0"/>
    <s v="Non-Kuwaiti"/>
    <n v="39"/>
    <s v="30-44"/>
    <n v="5"/>
    <n v="1"/>
    <n v="23300"/>
    <n v="1579.74"/>
  </r>
  <r>
    <s v="FN-00406"/>
    <x v="74"/>
    <s v="C0136"/>
    <x v="1"/>
    <x v="0"/>
    <x v="0"/>
    <n v="3100"/>
    <n v="5.4100000000000002E-2"/>
    <n v="36"/>
    <s v="OFF-HAW-1"/>
    <x v="0"/>
    <d v="2026-03-19T00:00:00"/>
    <x v="0"/>
    <s v="Kuwaiti"/>
    <n v="28"/>
    <s v="Under 30"/>
    <n v="2"/>
    <n v="1"/>
    <n v="3100"/>
    <n v="167.71"/>
  </r>
  <r>
    <s v="FN-00259"/>
    <x v="75"/>
    <s v="C0554"/>
    <x v="0"/>
    <x v="0"/>
    <x v="1"/>
    <n v="5700"/>
    <n v="6.13E-2"/>
    <n v="24"/>
    <s v="OFF-KUW-1"/>
    <x v="0"/>
    <d v="2026-03-18T00:00:00"/>
    <x v="1"/>
    <s v="Kuwaiti"/>
    <n v="23"/>
    <s v="Under 30"/>
    <n v="0"/>
    <n v="1"/>
    <n v="5700"/>
    <n v="349.41"/>
  </r>
  <r>
    <s v="FN-00350"/>
    <x v="75"/>
    <s v="C0062"/>
    <x v="3"/>
    <x v="3"/>
    <x v="2"/>
    <n v="98900"/>
    <n v="7.3599999999999999E-2"/>
    <n v="36"/>
    <s v="OFF-FAR-1"/>
    <x v="1"/>
    <d v="2026-03-28T00:00:00"/>
    <x v="1"/>
    <s v="Kuwaiti"/>
    <n v="49"/>
    <s v="45+"/>
    <n v="10"/>
    <n v="0"/>
    <n v="0"/>
    <n v="0"/>
  </r>
  <r>
    <s v="FN-00356"/>
    <x v="75"/>
    <s v="C0174"/>
    <x v="0"/>
    <x v="0"/>
    <x v="0"/>
    <n v="2100"/>
    <n v="5.0700000000000002E-2"/>
    <n v="12"/>
    <s v="OFF-KUW-2"/>
    <x v="1"/>
    <d v="2026-03-25T00:00:00"/>
    <x v="1"/>
    <s v="Non-Kuwaiti"/>
    <n v="55"/>
    <s v="45+"/>
    <n v="7"/>
    <n v="0"/>
    <n v="0"/>
    <n v="0"/>
  </r>
  <r>
    <s v="FN-00395"/>
    <x v="75"/>
    <s v="C0337"/>
    <x v="4"/>
    <x v="0"/>
    <x v="1"/>
    <n v="23700"/>
    <n v="5.5599999999999997E-2"/>
    <n v="24"/>
    <s v="OFF-AHM-3"/>
    <x v="1"/>
    <d v="2026-03-24T00:00:00"/>
    <x v="1"/>
    <s v="Kuwaiti"/>
    <n v="41"/>
    <s v="30-44"/>
    <n v="6"/>
    <n v="0"/>
    <n v="0"/>
    <n v="0"/>
  </r>
  <r>
    <s v="FN-00254"/>
    <x v="76"/>
    <s v="C0562"/>
    <x v="2"/>
    <x v="2"/>
    <x v="0"/>
    <n v="7100"/>
    <n v="4.1399999999999999E-2"/>
    <n v="60"/>
    <s v="OFF-SAL-3"/>
    <x v="0"/>
    <d v="2026-03-22T00:00:00"/>
    <x v="1"/>
    <s v="Kuwaiti"/>
    <n v="53"/>
    <s v="45+"/>
    <n v="3"/>
    <n v="1"/>
    <n v="7100"/>
    <n v="293.94"/>
  </r>
  <r>
    <s v="FN-00292"/>
    <x v="76"/>
    <s v="C0877"/>
    <x v="1"/>
    <x v="0"/>
    <x v="0"/>
    <n v="9500"/>
    <n v="6.4799999999999996E-2"/>
    <n v="12"/>
    <s v="OFF-HAW-1"/>
    <x v="0"/>
    <d v="2026-03-21T00:00:00"/>
    <x v="1"/>
    <s v="Kuwaiti"/>
    <n v="43"/>
    <s v="30-44"/>
    <n v="2"/>
    <n v="1"/>
    <n v="9500"/>
    <n v="615.6"/>
  </r>
  <r>
    <s v="FN-00294"/>
    <x v="76"/>
    <s v="C0632"/>
    <x v="2"/>
    <x v="3"/>
    <x v="0"/>
    <n v="98300"/>
    <n v="6.2300000000000001E-2"/>
    <n v="84"/>
    <s v="OFF-SAL-2"/>
    <x v="1"/>
    <d v="2026-04-05T00:00:00"/>
    <x v="1"/>
    <s v="Kuwaiti"/>
    <n v="29"/>
    <s v="Under 30"/>
    <n v="17"/>
    <n v="0"/>
    <n v="0"/>
    <n v="0"/>
  </r>
  <r>
    <s v="FN-00322"/>
    <x v="76"/>
    <s v="C0136"/>
    <x v="0"/>
    <x v="0"/>
    <x v="0"/>
    <n v="21000"/>
    <n v="6.4500000000000002E-2"/>
    <n v="48"/>
    <s v="OFF-KUW-2"/>
    <x v="0"/>
    <d v="2026-03-22T00:00:00"/>
    <x v="0"/>
    <s v="Kuwaiti"/>
    <n v="28"/>
    <s v="Under 30"/>
    <n v="3"/>
    <n v="1"/>
    <n v="21000"/>
    <n v="1354.5"/>
  </r>
  <r>
    <s v="FN-00351"/>
    <x v="76"/>
    <s v="C0463"/>
    <x v="2"/>
    <x v="0"/>
    <x v="0"/>
    <n v="4600"/>
    <n v="5.8999999999999997E-2"/>
    <n v="60"/>
    <s v="OFF-SAL-3"/>
    <x v="0"/>
    <d v="2026-03-22T00:00:00"/>
    <x v="1"/>
    <s v="Non-Kuwaiti"/>
    <n v="26"/>
    <s v="Under 30"/>
    <n v="3"/>
    <n v="1"/>
    <n v="4600"/>
    <n v="271.39999999999998"/>
  </r>
  <r>
    <s v="FN-00388"/>
    <x v="76"/>
    <s v="C0865"/>
    <x v="0"/>
    <x v="1"/>
    <x v="1"/>
    <n v="105200"/>
    <n v="3.3799999999999997E-2"/>
    <n v="240"/>
    <s v="OFF-KUW-2"/>
    <x v="0"/>
    <d v="2026-03-31T00:00:00"/>
    <x v="1"/>
    <s v="Kuwaiti"/>
    <n v="54"/>
    <s v="45+"/>
    <n v="12"/>
    <n v="1"/>
    <n v="105200"/>
    <n v="3555.7599999999998"/>
  </r>
  <r>
    <s v="FN-00394"/>
    <x v="76"/>
    <s v="C0250"/>
    <x v="0"/>
    <x v="0"/>
    <x v="0"/>
    <n v="7300"/>
    <n v="6.2899999999999998E-2"/>
    <n v="48"/>
    <s v="OFF-KUW-1"/>
    <x v="0"/>
    <d v="2026-03-21T00:00:00"/>
    <x v="0"/>
    <s v="Kuwaiti"/>
    <n v="25"/>
    <s v="Under 30"/>
    <n v="2"/>
    <n v="1"/>
    <n v="7300"/>
    <n v="459.16999999999996"/>
  </r>
  <r>
    <s v="FN-00296"/>
    <x v="77"/>
    <s v="C0743"/>
    <x v="3"/>
    <x v="0"/>
    <x v="1"/>
    <n v="3400"/>
    <n v="5.96E-2"/>
    <n v="48"/>
    <s v="OFF-FAR-2"/>
    <x v="0"/>
    <d v="2026-03-24T00:00:00"/>
    <x v="1"/>
    <s v="Kuwaiti"/>
    <n v="40"/>
    <s v="30-44"/>
    <n v="4"/>
    <n v="1"/>
    <n v="3400"/>
    <n v="202.64000000000001"/>
  </r>
  <r>
    <s v="FN-00329"/>
    <x v="77"/>
    <s v="C0724"/>
    <x v="1"/>
    <x v="0"/>
    <x v="0"/>
    <n v="10700"/>
    <n v="6.13E-2"/>
    <n v="24"/>
    <s v="OFF-HAW-1"/>
    <x v="0"/>
    <d v="2026-03-24T00:00:00"/>
    <x v="1"/>
    <s v="Kuwaiti"/>
    <n v="31"/>
    <s v="30-44"/>
    <n v="4"/>
    <n v="1"/>
    <n v="10700"/>
    <n v="655.91"/>
  </r>
  <r>
    <s v="FN-00260"/>
    <x v="78"/>
    <s v="C0116"/>
    <x v="4"/>
    <x v="3"/>
    <x v="1"/>
    <n v="87900"/>
    <n v="5.5300000000000002E-2"/>
    <n v="24"/>
    <s v="OFF-AHM-1"/>
    <x v="1"/>
    <d v="2026-04-04T00:00:00"/>
    <x v="1"/>
    <s v="Kuwaiti"/>
    <n v="38"/>
    <s v="30-44"/>
    <n v="14"/>
    <n v="0"/>
    <n v="0"/>
    <n v="0"/>
  </r>
  <r>
    <s v="FN-00288"/>
    <x v="78"/>
    <s v="C0683"/>
    <x v="2"/>
    <x v="0"/>
    <x v="2"/>
    <n v="10100"/>
    <n v="5.8700000000000002E-2"/>
    <n v="12"/>
    <s v="OFF-SAL-2"/>
    <x v="0"/>
    <d v="2026-03-22T00:00:00"/>
    <x v="0"/>
    <s v="Kuwaiti"/>
    <n v="61"/>
    <s v="45+"/>
    <n v="1"/>
    <n v="1"/>
    <n v="10100"/>
    <n v="592.87"/>
  </r>
  <r>
    <s v="FN-00295"/>
    <x v="78"/>
    <s v="C0778"/>
    <x v="3"/>
    <x v="3"/>
    <x v="0"/>
    <n v="148700"/>
    <n v="7.3099999999999998E-2"/>
    <n v="24"/>
    <s v="OFF-FAR-2"/>
    <x v="0"/>
    <d v="2026-04-10T00:00:00"/>
    <x v="1"/>
    <s v="Non-Kuwaiti"/>
    <n v="62"/>
    <s v="45+"/>
    <n v="20"/>
    <n v="1"/>
    <n v="148700"/>
    <n v="10869.97"/>
  </r>
  <r>
    <s v="FN-00301"/>
    <x v="78"/>
    <s v="C0113"/>
    <x v="5"/>
    <x v="0"/>
    <x v="0"/>
    <n v="3500"/>
    <n v="6.9099999999999995E-2"/>
    <n v="12"/>
    <s v="OFF-JAH-3"/>
    <x v="0"/>
    <d v="2026-03-28T00:00:00"/>
    <x v="0"/>
    <s v="Kuwaiti"/>
    <n v="31"/>
    <s v="30-44"/>
    <n v="7"/>
    <n v="1"/>
    <n v="3500"/>
    <n v="241.85"/>
  </r>
  <r>
    <s v="FN-00303"/>
    <x v="78"/>
    <s v="C0637"/>
    <x v="0"/>
    <x v="0"/>
    <x v="0"/>
    <n v="16300"/>
    <n v="6.9500000000000006E-2"/>
    <n v="48"/>
    <s v="OFF-KUW-3"/>
    <x v="0"/>
    <d v="2026-03-26T00:00:00"/>
    <x v="1"/>
    <s v="Non-Kuwaiti"/>
    <n v="54"/>
    <s v="45+"/>
    <n v="5"/>
    <n v="1"/>
    <n v="16300"/>
    <n v="1132.8500000000001"/>
  </r>
  <r>
    <s v="FN-00323"/>
    <x v="78"/>
    <s v="C0092"/>
    <x v="1"/>
    <x v="0"/>
    <x v="0"/>
    <n v="24000"/>
    <n v="5.6300000000000003E-2"/>
    <n v="48"/>
    <s v="OFF-HAW-3"/>
    <x v="1"/>
    <d v="2026-03-24T00:00:00"/>
    <x v="1"/>
    <s v="Kuwaiti"/>
    <n v="30"/>
    <s v="30-44"/>
    <n v="3"/>
    <n v="0"/>
    <n v="0"/>
    <n v="0"/>
  </r>
  <r>
    <s v="FN-00340"/>
    <x v="78"/>
    <s v="C0814"/>
    <x v="0"/>
    <x v="0"/>
    <x v="1"/>
    <n v="17700"/>
    <n v="5.9700000000000003E-2"/>
    <n v="36"/>
    <s v="OFF-KUW-2"/>
    <x v="0"/>
    <d v="2026-03-21T00:00:00"/>
    <x v="0"/>
    <s v="Kuwaiti"/>
    <n v="52"/>
    <s v="45+"/>
    <n v="0"/>
    <n v="1"/>
    <n v="17700"/>
    <n v="1056.69"/>
  </r>
  <r>
    <s v="FN-00357"/>
    <x v="78"/>
    <s v="C0343"/>
    <x v="2"/>
    <x v="0"/>
    <x v="1"/>
    <n v="19300"/>
    <n v="6.88E-2"/>
    <n v="12"/>
    <s v="OFF-SAL-1"/>
    <x v="0"/>
    <d v="2026-03-24T00:00:00"/>
    <x v="0"/>
    <s v="Kuwaiti"/>
    <n v="36"/>
    <s v="30-44"/>
    <n v="3"/>
    <n v="1"/>
    <n v="19300"/>
    <n v="1327.84"/>
  </r>
  <r>
    <s v="FN-00361"/>
    <x v="78"/>
    <s v="C0352"/>
    <x v="4"/>
    <x v="0"/>
    <x v="0"/>
    <n v="25000"/>
    <n v="5.8200000000000002E-2"/>
    <n v="60"/>
    <s v="OFF-AHM-1"/>
    <x v="0"/>
    <d v="2026-03-25T00:00:00"/>
    <x v="2"/>
    <s v="Non-Kuwaiti"/>
    <n v="58"/>
    <s v="45+"/>
    <n v="4"/>
    <n v="1"/>
    <n v="25000"/>
    <n v="1455"/>
  </r>
  <r>
    <s v="FN-00369"/>
    <x v="78"/>
    <s v="C0484"/>
    <x v="2"/>
    <x v="3"/>
    <x v="2"/>
    <n v="135100"/>
    <n v="5.8500000000000003E-2"/>
    <n v="24"/>
    <s v="OFF-SAL-1"/>
    <x v="0"/>
    <d v="2026-04-11T00:00:00"/>
    <x v="1"/>
    <s v="Kuwaiti"/>
    <n v="39"/>
    <s v="30-44"/>
    <n v="21"/>
    <n v="1"/>
    <n v="135100"/>
    <n v="7903.35"/>
  </r>
  <r>
    <s v="FN-00381"/>
    <x v="78"/>
    <s v="C0108"/>
    <x v="1"/>
    <x v="0"/>
    <x v="0"/>
    <n v="22600"/>
    <n v="6.0499999999999998E-2"/>
    <n v="48"/>
    <s v="OFF-HAW-2"/>
    <x v="0"/>
    <d v="2026-03-28T00:00:00"/>
    <x v="1"/>
    <s v="Non-Kuwaiti"/>
    <n v="49"/>
    <s v="45+"/>
    <n v="7"/>
    <n v="1"/>
    <n v="22600"/>
    <n v="1367.3"/>
  </r>
  <r>
    <s v="FN-00386"/>
    <x v="78"/>
    <s v="C0033"/>
    <x v="2"/>
    <x v="0"/>
    <x v="0"/>
    <n v="20700"/>
    <n v="5.8299999999999998E-2"/>
    <n v="48"/>
    <s v="OFF-SAL-1"/>
    <x v="0"/>
    <d v="2026-03-27T00:00:00"/>
    <x v="0"/>
    <s v="Kuwaiti"/>
    <n v="35"/>
    <s v="30-44"/>
    <n v="6"/>
    <n v="1"/>
    <n v="20700"/>
    <n v="1206.81"/>
  </r>
  <r>
    <s v="FN-00273"/>
    <x v="79"/>
    <s v="C0664"/>
    <x v="2"/>
    <x v="0"/>
    <x v="1"/>
    <n v="12200"/>
    <n v="6.0999999999999999E-2"/>
    <n v="60"/>
    <s v="OFF-SAL-3"/>
    <x v="1"/>
    <d v="2026-03-23T00:00:00"/>
    <x v="1"/>
    <s v="Kuwaiti"/>
    <n v="38"/>
    <s v="30-44"/>
    <n v="1"/>
    <n v="0"/>
    <n v="0"/>
    <n v="0"/>
  </r>
  <r>
    <s v="FN-00279"/>
    <x v="79"/>
    <s v="C0175"/>
    <x v="0"/>
    <x v="0"/>
    <x v="0"/>
    <n v="18600"/>
    <n v="5.67E-2"/>
    <n v="36"/>
    <s v="OFF-KUW-3"/>
    <x v="0"/>
    <d v="2026-03-23T00:00:00"/>
    <x v="1"/>
    <s v="Kuwaiti"/>
    <n v="27"/>
    <s v="Under 30"/>
    <n v="1"/>
    <n v="1"/>
    <n v="18600"/>
    <n v="1054.6200000000001"/>
  </r>
  <r>
    <s v="FN-00324"/>
    <x v="79"/>
    <s v="C0838"/>
    <x v="0"/>
    <x v="2"/>
    <x v="0"/>
    <n v="19100"/>
    <n v="3.6799999999999999E-2"/>
    <n v="48"/>
    <s v="OFF-KUW-3"/>
    <x v="0"/>
    <d v="2026-03-27T00:00:00"/>
    <x v="2"/>
    <s v="Non-Kuwaiti"/>
    <n v="33"/>
    <s v="30-44"/>
    <n v="5"/>
    <n v="1"/>
    <n v="19100"/>
    <n v="702.88"/>
  </r>
  <r>
    <s v="FN-00326"/>
    <x v="79"/>
    <s v="C0081"/>
    <x v="1"/>
    <x v="1"/>
    <x v="0"/>
    <n v="67800"/>
    <n v="4.2099999999999999E-2"/>
    <n v="240"/>
    <s v="OFF-HAW-3"/>
    <x v="0"/>
    <d v="2026-04-10T00:00:00"/>
    <x v="1"/>
    <s v="Kuwaiti"/>
    <n v="67"/>
    <s v="45+"/>
    <n v="19"/>
    <n v="1"/>
    <n v="67800"/>
    <n v="2854.38"/>
  </r>
  <r>
    <s v="FN-00345"/>
    <x v="79"/>
    <s v="C0105"/>
    <x v="0"/>
    <x v="1"/>
    <x v="0"/>
    <n v="201200"/>
    <n v="3.3700000000000001E-2"/>
    <n v="300"/>
    <s v="OFF-KUW-1"/>
    <x v="1"/>
    <d v="2026-04-16T00:00:00"/>
    <x v="1"/>
    <s v="Kuwaiti"/>
    <n v="42"/>
    <s v="30-44"/>
    <n v="25"/>
    <n v="0"/>
    <n v="0"/>
    <n v="0"/>
  </r>
  <r>
    <s v="FN-00353"/>
    <x v="79"/>
    <s v="C0009"/>
    <x v="0"/>
    <x v="2"/>
    <x v="0"/>
    <n v="6600"/>
    <n v="4.19E-2"/>
    <n v="60"/>
    <s v="OFF-KUW-3"/>
    <x v="0"/>
    <d v="2026-03-25T00:00:00"/>
    <x v="0"/>
    <s v="Kuwaiti"/>
    <n v="36"/>
    <s v="30-44"/>
    <n v="3"/>
    <n v="1"/>
    <n v="6600"/>
    <n v="276.54000000000002"/>
  </r>
  <r>
    <s v="FN-00250"/>
    <x v="80"/>
    <s v="C0593"/>
    <x v="3"/>
    <x v="0"/>
    <x v="0"/>
    <n v="5500"/>
    <n v="5.9900000000000002E-2"/>
    <n v="60"/>
    <s v="OFF-FAR-2"/>
    <x v="1"/>
    <d v="2026-03-30T00:00:00"/>
    <x v="2"/>
    <s v="Kuwaiti"/>
    <n v="35"/>
    <s v="30-44"/>
    <n v="7"/>
    <n v="0"/>
    <n v="0"/>
    <n v="0"/>
  </r>
  <r>
    <s v="FN-00267"/>
    <x v="80"/>
    <s v="C0799"/>
    <x v="3"/>
    <x v="0"/>
    <x v="2"/>
    <n v="19500"/>
    <n v="6.0900000000000003E-2"/>
    <n v="60"/>
    <s v="OFF-FAR-1"/>
    <x v="0"/>
    <d v="2026-03-24T00:00:00"/>
    <x v="1"/>
    <s v="Non-Kuwaiti"/>
    <n v="51"/>
    <s v="45+"/>
    <n v="1"/>
    <n v="1"/>
    <n v="19500"/>
    <n v="1187.55"/>
  </r>
  <r>
    <s v="FN-00310"/>
    <x v="80"/>
    <s v="C0421"/>
    <x v="0"/>
    <x v="0"/>
    <x v="0"/>
    <n v="3300"/>
    <n v="5.5500000000000001E-2"/>
    <n v="36"/>
    <s v="OFF-KUW-2"/>
    <x v="0"/>
    <d v="2026-03-25T00:00:00"/>
    <x v="2"/>
    <s v="Kuwaiti"/>
    <n v="23"/>
    <s v="Under 30"/>
    <n v="2"/>
    <n v="1"/>
    <n v="3300"/>
    <n v="183.15"/>
  </r>
  <r>
    <s v="FN-00360"/>
    <x v="80"/>
    <s v="C0379"/>
    <x v="0"/>
    <x v="3"/>
    <x v="0"/>
    <n v="80100"/>
    <n v="7.4300000000000005E-2"/>
    <n v="84"/>
    <s v="OFF-KUW-3"/>
    <x v="1"/>
    <d v="2026-04-05T00:00:00"/>
    <x v="0"/>
    <s v="Kuwaiti"/>
    <n v="22"/>
    <s v="Under 30"/>
    <n v="13"/>
    <n v="0"/>
    <n v="0"/>
    <n v="0"/>
  </r>
  <r>
    <s v="FN-00364"/>
    <x v="80"/>
    <s v="C0778"/>
    <x v="1"/>
    <x v="0"/>
    <x v="0"/>
    <n v="16800"/>
    <n v="5.04E-2"/>
    <n v="12"/>
    <s v="OFF-HAW-2"/>
    <x v="0"/>
    <d v="2026-03-28T00:00:00"/>
    <x v="1"/>
    <s v="Non-Kuwaiti"/>
    <n v="62"/>
    <s v="45+"/>
    <n v="5"/>
    <n v="1"/>
    <n v="16800"/>
    <n v="846.72"/>
  </r>
  <r>
    <s v="FN-00373"/>
    <x v="80"/>
    <s v="C0145"/>
    <x v="4"/>
    <x v="1"/>
    <x v="2"/>
    <n v="151600"/>
    <n v="3.5799999999999998E-2"/>
    <n v="240"/>
    <s v="OFF-AHM-2"/>
    <x v="0"/>
    <d v="2026-04-18T00:00:00"/>
    <x v="1"/>
    <s v="Kuwaiti"/>
    <n v="41"/>
    <s v="30-44"/>
    <n v="26"/>
    <n v="1"/>
    <n v="151600"/>
    <n v="5427.28"/>
  </r>
  <r>
    <s v="FN-00251"/>
    <x v="81"/>
    <s v="C0374"/>
    <x v="2"/>
    <x v="2"/>
    <x v="2"/>
    <n v="5300"/>
    <n v="3.61E-2"/>
    <n v="48"/>
    <s v="OFF-SAL-2"/>
    <x v="0"/>
    <d v="2026-03-25T00:00:00"/>
    <x v="1"/>
    <s v="Non-Kuwaiti"/>
    <n v="34"/>
    <s v="30-44"/>
    <n v="1"/>
    <n v="1"/>
    <n v="5300"/>
    <n v="191.33"/>
  </r>
  <r>
    <s v="FN-00307"/>
    <x v="81"/>
    <s v="C0549"/>
    <x v="3"/>
    <x v="0"/>
    <x v="2"/>
    <n v="6500"/>
    <n v="6.2600000000000003E-2"/>
    <n v="60"/>
    <s v="OFF-FAR-1"/>
    <x v="1"/>
    <d v="2026-03-28T00:00:00"/>
    <x v="0"/>
    <s v="Kuwaiti"/>
    <n v="38"/>
    <s v="30-44"/>
    <n v="4"/>
    <n v="0"/>
    <n v="0"/>
    <n v="0"/>
  </r>
  <r>
    <s v="FN-00312"/>
    <x v="81"/>
    <s v="C0606"/>
    <x v="3"/>
    <x v="2"/>
    <x v="1"/>
    <n v="6500"/>
    <n v="4.6800000000000001E-2"/>
    <n v="36"/>
    <s v="OFF-FAR-1"/>
    <x v="1"/>
    <d v="2026-03-25T00:00:00"/>
    <x v="1"/>
    <s v="Kuwaiti"/>
    <n v="23"/>
    <s v="Under 30"/>
    <n v="1"/>
    <n v="0"/>
    <n v="0"/>
    <n v="0"/>
  </r>
  <r>
    <s v="FN-00352"/>
    <x v="81"/>
    <s v="C0563"/>
    <x v="1"/>
    <x v="1"/>
    <x v="0"/>
    <n v="150400"/>
    <n v="3.5400000000000001E-2"/>
    <n v="240"/>
    <s v="OFF-HAW-3"/>
    <x v="1"/>
    <d v="2026-04-15T00:00:00"/>
    <x v="0"/>
    <s v="Non-Kuwaiti"/>
    <n v="56"/>
    <s v="45+"/>
    <n v="22"/>
    <n v="0"/>
    <n v="0"/>
    <n v="0"/>
  </r>
  <r>
    <s v="FN-00370"/>
    <x v="81"/>
    <s v="C0024"/>
    <x v="0"/>
    <x v="0"/>
    <x v="0"/>
    <n v="24400"/>
    <n v="5.6300000000000003E-2"/>
    <n v="60"/>
    <s v="OFF-KUW-2"/>
    <x v="0"/>
    <d v="2026-03-25T00:00:00"/>
    <x v="1"/>
    <s v="Kuwaiti"/>
    <n v="57"/>
    <s v="45+"/>
    <n v="1"/>
    <n v="1"/>
    <n v="24400"/>
    <n v="1373.72"/>
  </r>
  <r>
    <s v="FN-00376"/>
    <x v="81"/>
    <s v="C0491"/>
    <x v="1"/>
    <x v="3"/>
    <x v="1"/>
    <n v="68800"/>
    <n v="7.1800000000000003E-2"/>
    <n v="24"/>
    <s v="OFF-HAW-2"/>
    <x v="0"/>
    <d v="2026-04-13T00:00:00"/>
    <x v="1"/>
    <s v="Kuwaiti"/>
    <n v="30"/>
    <s v="30-44"/>
    <n v="20"/>
    <n v="1"/>
    <n v="68800"/>
    <n v="4939.84"/>
  </r>
  <r>
    <s v="FN-00263"/>
    <x v="82"/>
    <s v="C0245"/>
    <x v="1"/>
    <x v="0"/>
    <x v="2"/>
    <n v="24300"/>
    <n v="6.9000000000000006E-2"/>
    <n v="12"/>
    <s v="OFF-HAW-3"/>
    <x v="0"/>
    <d v="2026-04-01T00:00:00"/>
    <x v="1"/>
    <s v="Kuwaiti"/>
    <n v="40"/>
    <s v="30-44"/>
    <n v="7"/>
    <n v="1"/>
    <n v="24300"/>
    <n v="1676.7"/>
  </r>
  <r>
    <s v="FN-00304"/>
    <x v="82"/>
    <s v="C0272"/>
    <x v="1"/>
    <x v="0"/>
    <x v="0"/>
    <n v="6900"/>
    <n v="5.0099999999999999E-2"/>
    <n v="24"/>
    <s v="OFF-HAW-1"/>
    <x v="0"/>
    <d v="2026-04-01T00:00:00"/>
    <x v="1"/>
    <s v="Non-Kuwaiti"/>
    <n v="71"/>
    <s v="45+"/>
    <n v="7"/>
    <n v="1"/>
    <n v="6900"/>
    <n v="345.69"/>
  </r>
  <r>
    <s v="FN-00309"/>
    <x v="82"/>
    <s v="C0921"/>
    <x v="1"/>
    <x v="0"/>
    <x v="0"/>
    <n v="7600"/>
    <n v="5.6800000000000003E-2"/>
    <n v="48"/>
    <s v="OFF-HAW-1"/>
    <x v="0"/>
    <d v="2026-03-29T00:00:00"/>
    <x v="0"/>
    <s v="Kuwaiti"/>
    <n v="43"/>
    <s v="30-44"/>
    <n v="4"/>
    <n v="1"/>
    <n v="7600"/>
    <n v="431.68"/>
  </r>
  <r>
    <s v="FN-00338"/>
    <x v="82"/>
    <s v="C0424"/>
    <x v="3"/>
    <x v="1"/>
    <x v="1"/>
    <n v="232900"/>
    <n v="3.2000000000000001E-2"/>
    <n v="120"/>
    <s v="OFF-FAR-1"/>
    <x v="0"/>
    <d v="2026-04-04T00:00:00"/>
    <x v="2"/>
    <s v="Non-Kuwaiti"/>
    <n v="56"/>
    <s v="45+"/>
    <n v="10"/>
    <n v="1"/>
    <n v="232900"/>
    <n v="7452.8"/>
  </r>
  <r>
    <s v="FN-00374"/>
    <x v="82"/>
    <s v="C0039"/>
    <x v="1"/>
    <x v="2"/>
    <x v="2"/>
    <n v="4800"/>
    <n v="4.0399999999999998E-2"/>
    <n v="48"/>
    <s v="OFF-HAW-1"/>
    <x v="0"/>
    <d v="2026-03-28T00:00:00"/>
    <x v="0"/>
    <s v="Non-Kuwaiti"/>
    <n v="28"/>
    <s v="Under 30"/>
    <n v="3"/>
    <n v="1"/>
    <n v="4800"/>
    <n v="193.92"/>
  </r>
  <r>
    <s v="FN-00380"/>
    <x v="82"/>
    <s v="C0631"/>
    <x v="2"/>
    <x v="2"/>
    <x v="0"/>
    <n v="12100"/>
    <n v="3.95E-2"/>
    <n v="48"/>
    <s v="OFF-SAL-3"/>
    <x v="0"/>
    <d v="2026-03-28T00:00:00"/>
    <x v="1"/>
    <s v="Kuwaiti"/>
    <n v="38"/>
    <s v="30-44"/>
    <n v="3"/>
    <n v="1"/>
    <n v="12100"/>
    <n v="477.95"/>
  </r>
  <r>
    <s v="FN-00385"/>
    <x v="82"/>
    <s v="C0590"/>
    <x v="1"/>
    <x v="0"/>
    <x v="0"/>
    <n v="3200"/>
    <n v="6.4399999999999999E-2"/>
    <n v="24"/>
    <s v="OFF-HAW-3"/>
    <x v="0"/>
    <d v="2026-03-28T00:00:00"/>
    <x v="1"/>
    <s v="Kuwaiti"/>
    <n v="42"/>
    <s v="30-44"/>
    <n v="3"/>
    <n v="1"/>
    <n v="3200"/>
    <n v="206.07999999999998"/>
  </r>
  <r>
    <s v="FN-00306"/>
    <x v="83"/>
    <s v="C0439"/>
    <x v="0"/>
    <x v="2"/>
    <x v="0"/>
    <n v="7400"/>
    <n v="4.0300000000000002E-2"/>
    <n v="48"/>
    <s v="OFF-KUW-1"/>
    <x v="0"/>
    <d v="2026-03-29T00:00:00"/>
    <x v="1"/>
    <s v="Kuwaiti"/>
    <n v="39"/>
    <s v="30-44"/>
    <n v="3"/>
    <n v="1"/>
    <n v="7400"/>
    <n v="298.22000000000003"/>
  </r>
  <r>
    <s v="FN-00308"/>
    <x v="83"/>
    <s v="C0712"/>
    <x v="0"/>
    <x v="1"/>
    <x v="1"/>
    <n v="127300"/>
    <n v="3.5299999999999998E-2"/>
    <n v="300"/>
    <s v="OFF-KUW-3"/>
    <x v="0"/>
    <d v="2026-04-17T00:00:00"/>
    <x v="1"/>
    <s v="Kuwaiti"/>
    <n v="46"/>
    <s v="45+"/>
    <n v="22"/>
    <n v="1"/>
    <n v="127300"/>
    <n v="4493.6899999999996"/>
  </r>
  <r>
    <s v="FN-00335"/>
    <x v="83"/>
    <s v="C0922"/>
    <x v="2"/>
    <x v="2"/>
    <x v="0"/>
    <n v="10700"/>
    <n v="4.5600000000000002E-2"/>
    <n v="48"/>
    <s v="OFF-SAL-1"/>
    <x v="0"/>
    <d v="2026-03-30T00:00:00"/>
    <x v="0"/>
    <s v="Kuwaiti"/>
    <n v="43"/>
    <s v="30-44"/>
    <n v="4"/>
    <n v="1"/>
    <n v="10700"/>
    <n v="487.92"/>
  </r>
  <r>
    <s v="FN-00253"/>
    <x v="84"/>
    <s v="C0877"/>
    <x v="0"/>
    <x v="0"/>
    <x v="2"/>
    <n v="22100"/>
    <n v="6.2300000000000001E-2"/>
    <n v="24"/>
    <s v="OFF-KUW-2"/>
    <x v="0"/>
    <d v="2026-03-31T00:00:00"/>
    <x v="1"/>
    <s v="Kuwaiti"/>
    <n v="43"/>
    <s v="30-44"/>
    <n v="4"/>
    <n v="1"/>
    <n v="22100"/>
    <n v="1376.83"/>
  </r>
  <r>
    <s v="FN-00261"/>
    <x v="84"/>
    <s v="C0085"/>
    <x v="0"/>
    <x v="3"/>
    <x v="0"/>
    <n v="29800"/>
    <n v="6.9500000000000006E-2"/>
    <n v="84"/>
    <s v="OFF-KUW-1"/>
    <x v="0"/>
    <d v="2026-04-14T00:00:00"/>
    <x v="1"/>
    <s v="Non-Kuwaiti"/>
    <n v="31"/>
    <s v="30-44"/>
    <n v="18"/>
    <n v="1"/>
    <n v="29800"/>
    <n v="2071.1000000000004"/>
  </r>
  <r>
    <s v="FN-00276"/>
    <x v="84"/>
    <s v="C0012"/>
    <x v="1"/>
    <x v="1"/>
    <x v="1"/>
    <n v="246900"/>
    <n v="3.5499999999999997E-2"/>
    <n v="180"/>
    <s v="OFF-HAW-1"/>
    <x v="1"/>
    <d v="2026-04-06T00:00:00"/>
    <x v="1"/>
    <s v="Non-Kuwaiti"/>
    <n v="39"/>
    <s v="30-44"/>
    <n v="10"/>
    <n v="0"/>
    <n v="0"/>
    <n v="0"/>
  </r>
  <r>
    <s v="FN-00334"/>
    <x v="84"/>
    <s v="C0772"/>
    <x v="3"/>
    <x v="0"/>
    <x v="0"/>
    <n v="11600"/>
    <n v="5.9400000000000001E-2"/>
    <n v="60"/>
    <s v="OFF-FAR-2"/>
    <x v="0"/>
    <d v="2026-03-28T00:00:00"/>
    <x v="1"/>
    <s v="Kuwaiti"/>
    <n v="47"/>
    <s v="45+"/>
    <n v="1"/>
    <n v="1"/>
    <n v="11600"/>
    <n v="689.04"/>
  </r>
  <r>
    <s v="FN-00342"/>
    <x v="84"/>
    <s v="C0429"/>
    <x v="0"/>
    <x v="3"/>
    <x v="0"/>
    <n v="83900"/>
    <n v="6.6299999999999998E-2"/>
    <n v="84"/>
    <s v="OFF-KUW-3"/>
    <x v="1"/>
    <d v="2026-04-17T00:00:00"/>
    <x v="1"/>
    <s v="Non-Kuwaiti"/>
    <n v="70"/>
    <s v="45+"/>
    <n v="21"/>
    <n v="0"/>
    <n v="0"/>
    <n v="0"/>
  </r>
  <r>
    <s v="FN-00358"/>
    <x v="84"/>
    <s v="C0275"/>
    <x v="4"/>
    <x v="2"/>
    <x v="1"/>
    <n v="14600"/>
    <n v="4.6300000000000001E-2"/>
    <n v="36"/>
    <s v="OFF-AHM-3"/>
    <x v="0"/>
    <d v="2026-03-31T00:00:00"/>
    <x v="1"/>
    <s v="Non-Kuwaiti"/>
    <n v="34"/>
    <s v="30-44"/>
    <n v="4"/>
    <n v="1"/>
    <n v="14600"/>
    <n v="675.98"/>
  </r>
  <r>
    <s v="FN-00365"/>
    <x v="84"/>
    <s v="C0602"/>
    <x v="2"/>
    <x v="2"/>
    <x v="0"/>
    <n v="9300"/>
    <n v="3.85E-2"/>
    <n v="36"/>
    <s v="OFF-SAL-2"/>
    <x v="0"/>
    <d v="2026-03-30T00:00:00"/>
    <x v="0"/>
    <s v="Non-Kuwaiti"/>
    <n v="25"/>
    <s v="Under 30"/>
    <n v="3"/>
    <n v="1"/>
    <n v="9300"/>
    <n v="358.05"/>
  </r>
  <r>
    <s v="FN-00405"/>
    <x v="84"/>
    <s v="C0495"/>
    <x v="4"/>
    <x v="1"/>
    <x v="2"/>
    <n v="190900"/>
    <n v="3.8300000000000001E-2"/>
    <n v="300"/>
    <s v="OFF-AHM-1"/>
    <x v="0"/>
    <d v="2026-04-16T00:00:00"/>
    <x v="0"/>
    <s v="Kuwaiti"/>
    <n v="26"/>
    <s v="Under 30"/>
    <n v="20"/>
    <n v="1"/>
    <n v="190900"/>
    <n v="7311.47"/>
  </r>
  <r>
    <s v="FN-00299"/>
    <x v="85"/>
    <s v="C0515"/>
    <x v="4"/>
    <x v="0"/>
    <x v="0"/>
    <n v="24500"/>
    <n v="6.13E-2"/>
    <n v="12"/>
    <s v="OFF-AHM-3"/>
    <x v="0"/>
    <d v="2026-04-04T00:00:00"/>
    <x v="0"/>
    <s v="Kuwaiti"/>
    <n v="30"/>
    <s v="30-44"/>
    <n v="7"/>
    <n v="1"/>
    <n v="24500"/>
    <n v="1501.85"/>
  </r>
  <r>
    <s v="FN-00337"/>
    <x v="85"/>
    <s v="C0366"/>
    <x v="1"/>
    <x v="3"/>
    <x v="0"/>
    <n v="39000"/>
    <n v="7.5999999999999998E-2"/>
    <n v="84"/>
    <s v="OFF-HAW-2"/>
    <x v="0"/>
    <d v="2026-04-16T00:00:00"/>
    <x v="1"/>
    <s v="Kuwaiti"/>
    <n v="34"/>
    <s v="30-44"/>
    <n v="19"/>
    <n v="1"/>
    <n v="39000"/>
    <n v="2964"/>
  </r>
  <r>
    <s v="FN-00354"/>
    <x v="85"/>
    <s v="C0502"/>
    <x v="4"/>
    <x v="3"/>
    <x v="0"/>
    <n v="64000"/>
    <n v="6.4399999999999999E-2"/>
    <n v="60"/>
    <s v="OFF-AHM-1"/>
    <x v="0"/>
    <d v="2026-04-12T00:00:00"/>
    <x v="0"/>
    <s v="Kuwaiti"/>
    <n v="42"/>
    <s v="30-44"/>
    <n v="15"/>
    <n v="1"/>
    <n v="64000"/>
    <n v="4121.6000000000004"/>
  </r>
  <r>
    <s v="FN-00383"/>
    <x v="85"/>
    <s v="C0188"/>
    <x v="4"/>
    <x v="0"/>
    <x v="1"/>
    <n v="17100"/>
    <n v="6.2799999999999995E-2"/>
    <n v="24"/>
    <s v="OFF-AHM-2"/>
    <x v="0"/>
    <d v="2026-04-04T00:00:00"/>
    <x v="0"/>
    <s v="Non-Kuwaiti"/>
    <n v="34"/>
    <s v="30-44"/>
    <n v="7"/>
    <n v="1"/>
    <n v="17100"/>
    <n v="1073.8799999999999"/>
  </r>
  <r>
    <s v="FN-00400"/>
    <x v="85"/>
    <s v="C0723"/>
    <x v="0"/>
    <x v="1"/>
    <x v="1"/>
    <n v="134100"/>
    <n v="3.0800000000000001E-2"/>
    <n v="180"/>
    <s v="OFF-KUW-1"/>
    <x v="1"/>
    <d v="2026-04-06T00:00:00"/>
    <x v="1"/>
    <s v="Kuwaiti"/>
    <n v="50"/>
    <s v="45+"/>
    <n v="9"/>
    <n v="0"/>
    <n v="0"/>
    <n v="0"/>
  </r>
  <r>
    <s v="FN-00258"/>
    <x v="86"/>
    <s v="C0898"/>
    <x v="1"/>
    <x v="0"/>
    <x v="0"/>
    <n v="9500"/>
    <n v="6.8699999999999997E-2"/>
    <n v="60"/>
    <s v="OFF-HAW-1"/>
    <x v="0"/>
    <d v="2026-04-02T00:00:00"/>
    <x v="2"/>
    <s v="Kuwaiti"/>
    <n v="41"/>
    <s v="30-44"/>
    <n v="4"/>
    <n v="1"/>
    <n v="9500"/>
    <n v="652.65"/>
  </r>
  <r>
    <s v="FN-00275"/>
    <x v="86"/>
    <s v="C0784"/>
    <x v="2"/>
    <x v="1"/>
    <x v="0"/>
    <n v="209500"/>
    <n v="3.4000000000000002E-2"/>
    <n v="180"/>
    <s v="OFF-SAL-2"/>
    <x v="0"/>
    <d v="2026-04-12T00:00:00"/>
    <x v="1"/>
    <s v="Kuwaiti"/>
    <n v="31"/>
    <s v="30-44"/>
    <n v="14"/>
    <n v="1"/>
    <n v="209500"/>
    <n v="7123.0000000000009"/>
  </r>
  <r>
    <s v="FN-00384"/>
    <x v="86"/>
    <s v="C0225"/>
    <x v="3"/>
    <x v="0"/>
    <x v="0"/>
    <n v="14200"/>
    <n v="0.06"/>
    <n v="24"/>
    <s v="OFF-FAR-1"/>
    <x v="0"/>
    <d v="2026-04-04T00:00:00"/>
    <x v="1"/>
    <s v="Non-Kuwaiti"/>
    <n v="56"/>
    <s v="45+"/>
    <n v="6"/>
    <n v="1"/>
    <n v="14200"/>
    <n v="852"/>
  </r>
  <r>
    <s v="FN-00247"/>
    <x v="87"/>
    <s v="C0941"/>
    <x v="1"/>
    <x v="3"/>
    <x v="0"/>
    <n v="102700"/>
    <n v="6.2E-2"/>
    <n v="60"/>
    <s v="OFF-HAW-2"/>
    <x v="1"/>
    <d v="2026-04-12T00:00:00"/>
    <x v="0"/>
    <s v="Kuwaiti"/>
    <n v="40"/>
    <s v="30-44"/>
    <n v="13"/>
    <n v="0"/>
    <n v="0"/>
    <n v="0"/>
  </r>
  <r>
    <s v="FN-00266"/>
    <x v="87"/>
    <s v="C0611"/>
    <x v="0"/>
    <x v="0"/>
    <x v="0"/>
    <n v="18900"/>
    <n v="5.2200000000000003E-2"/>
    <n v="48"/>
    <s v="OFF-KUW-1"/>
    <x v="0"/>
    <d v="2026-04-01T00:00:00"/>
    <x v="1"/>
    <s v="Kuwaiti"/>
    <n v="33"/>
    <s v="30-44"/>
    <n v="2"/>
    <n v="1"/>
    <n v="18900"/>
    <n v="986.58"/>
  </r>
  <r>
    <s v="FN-00280"/>
    <x v="87"/>
    <s v="C0090"/>
    <x v="1"/>
    <x v="1"/>
    <x v="0"/>
    <n v="114000"/>
    <n v="4.48E-2"/>
    <n v="240"/>
    <s v="OFF-HAW-1"/>
    <x v="1"/>
    <d v="2026-04-21T00:00:00"/>
    <x v="1"/>
    <s v="Non-Kuwaiti"/>
    <n v="22"/>
    <s v="Under 30"/>
    <n v="22"/>
    <n v="0"/>
    <n v="0"/>
    <n v="0"/>
  </r>
  <r>
    <s v="FN-00293"/>
    <x v="87"/>
    <s v="C0015"/>
    <x v="2"/>
    <x v="0"/>
    <x v="0"/>
    <n v="19900"/>
    <n v="5.5300000000000002E-2"/>
    <n v="36"/>
    <s v="OFF-SAL-3"/>
    <x v="0"/>
    <d v="2026-04-02T00:00:00"/>
    <x v="0"/>
    <s v="Kuwaiti"/>
    <n v="56"/>
    <s v="45+"/>
    <n v="3"/>
    <n v="1"/>
    <n v="19900"/>
    <n v="1100.47"/>
  </r>
  <r>
    <s v="FN-00298"/>
    <x v="87"/>
    <s v="C0722"/>
    <x v="1"/>
    <x v="0"/>
    <x v="2"/>
    <n v="21900"/>
    <n v="6.9599999999999995E-2"/>
    <n v="48"/>
    <s v="OFF-HAW-1"/>
    <x v="1"/>
    <d v="2026-04-02T00:00:00"/>
    <x v="1"/>
    <s v="Non-Kuwaiti"/>
    <n v="61"/>
    <s v="45+"/>
    <n v="3"/>
    <n v="0"/>
    <n v="0"/>
    <n v="0"/>
  </r>
  <r>
    <s v="FN-00339"/>
    <x v="87"/>
    <s v="C0390"/>
    <x v="3"/>
    <x v="3"/>
    <x v="2"/>
    <n v="67100"/>
    <n v="7.5499999999999998E-2"/>
    <n v="36"/>
    <s v="OFF-FAR-1"/>
    <x v="0"/>
    <d v="2026-04-15T00:00:00"/>
    <x v="1"/>
    <s v="Kuwaiti"/>
    <n v="30"/>
    <s v="30-44"/>
    <n v="16"/>
    <n v="1"/>
    <n v="67100"/>
    <n v="5066.05"/>
  </r>
  <r>
    <s v="FN-00246"/>
    <x v="88"/>
    <s v="C0721"/>
    <x v="0"/>
    <x v="0"/>
    <x v="0"/>
    <n v="10100"/>
    <n v="6.4399999999999999E-2"/>
    <n v="36"/>
    <s v="OFF-KUW-1"/>
    <x v="0"/>
    <d v="2026-04-06T00:00:00"/>
    <x v="1"/>
    <s v="Kuwaiti"/>
    <n v="50"/>
    <s v="45+"/>
    <n v="6"/>
    <n v="1"/>
    <n v="10100"/>
    <n v="650.43999999999994"/>
  </r>
  <r>
    <s v="FN-00291"/>
    <x v="88"/>
    <s v="C0806"/>
    <x v="0"/>
    <x v="0"/>
    <x v="1"/>
    <n v="10700"/>
    <n v="6.0499999999999998E-2"/>
    <n v="12"/>
    <s v="OFF-KUW-1"/>
    <x v="0"/>
    <d v="2026-04-07T00:00:00"/>
    <x v="0"/>
    <s v="Kuwaiti"/>
    <n v="35"/>
    <s v="30-44"/>
    <n v="7"/>
    <n v="1"/>
    <n v="10700"/>
    <n v="647.35"/>
  </r>
  <r>
    <s v="FN-00332"/>
    <x v="88"/>
    <s v="C0861"/>
    <x v="0"/>
    <x v="3"/>
    <x v="0"/>
    <n v="148900"/>
    <n v="5.57E-2"/>
    <n v="60"/>
    <s v="OFF-KUW-2"/>
    <x v="0"/>
    <d v="2026-04-17T00:00:00"/>
    <x v="0"/>
    <s v="Kuwaiti"/>
    <n v="23"/>
    <s v="Under 30"/>
    <n v="17"/>
    <n v="1"/>
    <n v="148900"/>
    <n v="8293.73"/>
  </r>
  <r>
    <s v="FN-00377"/>
    <x v="88"/>
    <s v="C0444"/>
    <x v="5"/>
    <x v="0"/>
    <x v="0"/>
    <n v="25000"/>
    <n v="5.57E-2"/>
    <n v="60"/>
    <s v="OFF-JAH-1"/>
    <x v="0"/>
    <d v="2026-04-07T00:00:00"/>
    <x v="2"/>
    <s v="Kuwaiti"/>
    <n v="25"/>
    <s v="Under 30"/>
    <n v="7"/>
    <n v="1"/>
    <n v="25000"/>
    <n v="1392.5"/>
  </r>
  <r>
    <s v="FN-00434"/>
    <x v="89"/>
    <s v="C0391"/>
    <x v="2"/>
    <x v="0"/>
    <x v="2"/>
    <n v="12200"/>
    <n v="5.1999999999999998E-2"/>
    <n v="12"/>
    <s v="OFF-SAL-1"/>
    <x v="1"/>
    <d v="2026-04-06T00:00:00"/>
    <x v="1"/>
    <s v="Kuwaiti"/>
    <n v="33"/>
    <s v="30-44"/>
    <n v="5"/>
    <n v="0"/>
    <n v="0"/>
    <n v="0"/>
  </r>
  <r>
    <s v="FN-00436"/>
    <x v="89"/>
    <s v="C0220"/>
    <x v="5"/>
    <x v="0"/>
    <x v="1"/>
    <n v="7900"/>
    <n v="5.8099999999999999E-2"/>
    <n v="24"/>
    <s v="OFF-JAH-2"/>
    <x v="0"/>
    <d v="2026-04-06T00:00:00"/>
    <x v="1"/>
    <s v="Non-Kuwaiti"/>
    <n v="40"/>
    <s v="30-44"/>
    <n v="5"/>
    <n v="1"/>
    <n v="7900"/>
    <n v="458.99"/>
  </r>
  <r>
    <s v="FN-00454"/>
    <x v="89"/>
    <s v="C0688"/>
    <x v="3"/>
    <x v="3"/>
    <x v="0"/>
    <n v="67700"/>
    <n v="6.4199999999999993E-2"/>
    <n v="84"/>
    <s v="OFF-FAR-2"/>
    <x v="0"/>
    <d v="2026-04-13T00:00:00"/>
    <x v="0"/>
    <s v="Kuwaiti"/>
    <n v="33"/>
    <s v="30-44"/>
    <n v="12"/>
    <n v="1"/>
    <n v="67700"/>
    <n v="4346.3399999999992"/>
  </r>
  <r>
    <s v="FN-00475"/>
    <x v="89"/>
    <s v="C0129"/>
    <x v="2"/>
    <x v="2"/>
    <x v="0"/>
    <n v="12000"/>
    <n v="4.1700000000000001E-2"/>
    <n v="36"/>
    <s v="OFF-SAL-2"/>
    <x v="0"/>
    <d v="2026-04-04T00:00:00"/>
    <x v="1"/>
    <s v="Kuwaiti"/>
    <n v="61"/>
    <s v="45+"/>
    <n v="3"/>
    <n v="1"/>
    <n v="12000"/>
    <n v="500.40000000000003"/>
  </r>
  <r>
    <s v="FN-00479"/>
    <x v="89"/>
    <s v="C0537"/>
    <x v="2"/>
    <x v="3"/>
    <x v="0"/>
    <n v="146100"/>
    <n v="5.96E-2"/>
    <n v="24"/>
    <s v="OFF-SAL-1"/>
    <x v="0"/>
    <d v="2026-04-14T00:00:00"/>
    <x v="0"/>
    <s v="Kuwaiti"/>
    <n v="26"/>
    <s v="Under 30"/>
    <n v="13"/>
    <n v="1"/>
    <n v="146100"/>
    <n v="8707.56"/>
  </r>
  <r>
    <s v="FN-00490"/>
    <x v="89"/>
    <s v="C0733"/>
    <x v="3"/>
    <x v="2"/>
    <x v="1"/>
    <n v="8600"/>
    <n v="4.1599999999999998E-2"/>
    <n v="60"/>
    <s v="OFF-FAR-1"/>
    <x v="0"/>
    <d v="2026-04-03T00:00:00"/>
    <x v="1"/>
    <s v="Non-Kuwaiti"/>
    <n v="36"/>
    <s v="30-44"/>
    <n v="2"/>
    <n v="1"/>
    <n v="8600"/>
    <n v="357.76"/>
  </r>
  <r>
    <s v="FN-00498"/>
    <x v="89"/>
    <s v="C0633"/>
    <x v="2"/>
    <x v="0"/>
    <x v="1"/>
    <n v="7400"/>
    <n v="5.0500000000000003E-2"/>
    <n v="24"/>
    <s v="OFF-SAL-3"/>
    <x v="1"/>
    <d v="2026-04-02T00:00:00"/>
    <x v="1"/>
    <s v="Kuwaiti"/>
    <n v="49"/>
    <s v="45+"/>
    <n v="1"/>
    <n v="0"/>
    <n v="0"/>
    <n v="0"/>
  </r>
  <r>
    <s v="FN-00507"/>
    <x v="89"/>
    <s v="C0614"/>
    <x v="5"/>
    <x v="0"/>
    <x v="2"/>
    <n v="25000"/>
    <n v="5.5599999999999997E-2"/>
    <n v="60"/>
    <s v="OFF-JAH-2"/>
    <x v="1"/>
    <d v="2026-04-05T00:00:00"/>
    <x v="2"/>
    <s v="Kuwaiti"/>
    <n v="49"/>
    <s v="45+"/>
    <n v="4"/>
    <n v="0"/>
    <n v="0"/>
    <n v="0"/>
  </r>
  <r>
    <s v="FN-00438"/>
    <x v="90"/>
    <s v="C0397"/>
    <x v="2"/>
    <x v="2"/>
    <x v="0"/>
    <n v="8000"/>
    <n v="4.5600000000000002E-2"/>
    <n v="36"/>
    <s v="OFF-SAL-1"/>
    <x v="0"/>
    <d v="2026-04-05T00:00:00"/>
    <x v="2"/>
    <s v="Kuwaiti"/>
    <n v="22"/>
    <s v="Under 30"/>
    <n v="3"/>
    <n v="1"/>
    <n v="8000"/>
    <n v="364.8"/>
  </r>
  <r>
    <s v="FN-00488"/>
    <x v="90"/>
    <s v="C0143"/>
    <x v="1"/>
    <x v="2"/>
    <x v="0"/>
    <n v="5000"/>
    <n v="3.56E-2"/>
    <n v="36"/>
    <s v="OFF-HAW-1"/>
    <x v="0"/>
    <d v="2026-04-06T00:00:00"/>
    <x v="0"/>
    <s v="Kuwaiti"/>
    <n v="42"/>
    <s v="30-44"/>
    <n v="4"/>
    <n v="1"/>
    <n v="5000"/>
    <n v="178"/>
  </r>
  <r>
    <s v="FN-00504"/>
    <x v="90"/>
    <s v="C0694"/>
    <x v="4"/>
    <x v="3"/>
    <x v="1"/>
    <n v="159600"/>
    <n v="6.3799999999999996E-2"/>
    <n v="24"/>
    <s v="OFF-AHM-2"/>
    <x v="1"/>
    <d v="2026-04-22T00:00:00"/>
    <x v="0"/>
    <s v="Kuwaiti"/>
    <n v="34"/>
    <s v="30-44"/>
    <n v="20"/>
    <n v="0"/>
    <n v="0"/>
    <n v="0"/>
  </r>
  <r>
    <s v="FN-00526"/>
    <x v="90"/>
    <s v="C0483"/>
    <x v="0"/>
    <x v="2"/>
    <x v="0"/>
    <n v="4200"/>
    <n v="3.61E-2"/>
    <n v="36"/>
    <s v="OFF-KUW-3"/>
    <x v="1"/>
    <d v="2026-04-04T00:00:00"/>
    <x v="1"/>
    <s v="Kuwaiti"/>
    <n v="30"/>
    <s v="30-44"/>
    <n v="2"/>
    <n v="0"/>
    <n v="0"/>
    <n v="0"/>
  </r>
  <r>
    <s v="FN-00531"/>
    <x v="90"/>
    <s v="C0241"/>
    <x v="2"/>
    <x v="2"/>
    <x v="0"/>
    <n v="9600"/>
    <n v="3.5999999999999997E-2"/>
    <n v="48"/>
    <s v="OFF-SAL-2"/>
    <x v="0"/>
    <d v="2026-04-05T00:00:00"/>
    <x v="2"/>
    <s v="Kuwaiti"/>
    <n v="37"/>
    <s v="30-44"/>
    <n v="3"/>
    <n v="1"/>
    <n v="9600"/>
    <n v="345.59999999999997"/>
  </r>
  <r>
    <s v="FN-00539"/>
    <x v="90"/>
    <s v="C0792"/>
    <x v="1"/>
    <x v="1"/>
    <x v="0"/>
    <n v="66500"/>
    <n v="3.7100000000000001E-2"/>
    <n v="120"/>
    <s v="OFF-HAW-1"/>
    <x v="0"/>
    <d v="2026-04-19T00:00:00"/>
    <x v="1"/>
    <s v="Kuwaiti"/>
    <n v="32"/>
    <s v="30-44"/>
    <n v="17"/>
    <n v="1"/>
    <n v="66500"/>
    <n v="2467.15"/>
  </r>
  <r>
    <s v="FN-00448"/>
    <x v="91"/>
    <s v="C0225"/>
    <x v="5"/>
    <x v="2"/>
    <x v="0"/>
    <n v="8300"/>
    <n v="4.4600000000000001E-2"/>
    <n v="60"/>
    <s v="OFF-JAH-3"/>
    <x v="0"/>
    <d v="2026-04-05T00:00:00"/>
    <x v="1"/>
    <s v="Non-Kuwaiti"/>
    <n v="56"/>
    <s v="45+"/>
    <n v="2"/>
    <n v="1"/>
    <n v="8300"/>
    <n v="370.18"/>
  </r>
  <r>
    <s v="FN-00517"/>
    <x v="91"/>
    <s v="C0118"/>
    <x v="1"/>
    <x v="0"/>
    <x v="0"/>
    <n v="8700"/>
    <n v="5.04E-2"/>
    <n v="60"/>
    <s v="OFF-HAW-1"/>
    <x v="1"/>
    <d v="2026-04-06T00:00:00"/>
    <x v="1"/>
    <s v="Kuwaiti"/>
    <n v="38"/>
    <s v="30-44"/>
    <n v="3"/>
    <n v="0"/>
    <n v="0"/>
    <n v="0"/>
  </r>
  <r>
    <s v="FN-00528"/>
    <x v="91"/>
    <s v="C0230"/>
    <x v="3"/>
    <x v="0"/>
    <x v="1"/>
    <n v="11200"/>
    <n v="6.7699999999999996E-2"/>
    <n v="12"/>
    <s v="OFF-FAR-1"/>
    <x v="0"/>
    <d v="2026-04-03T00:00:00"/>
    <x v="1"/>
    <s v="Kuwaiti"/>
    <n v="53"/>
    <s v="45+"/>
    <n v="0"/>
    <n v="1"/>
    <n v="11200"/>
    <n v="758.24"/>
  </r>
  <r>
    <s v="FN-00419"/>
    <x v="92"/>
    <s v="C0041"/>
    <x v="0"/>
    <x v="0"/>
    <x v="2"/>
    <n v="5100"/>
    <n v="6.2600000000000003E-2"/>
    <n v="60"/>
    <s v="OFF-KUW-3"/>
    <x v="0"/>
    <d v="2026-04-06T00:00:00"/>
    <x v="0"/>
    <s v="Kuwaiti"/>
    <n v="22"/>
    <s v="Under 30"/>
    <n v="2"/>
    <n v="1"/>
    <n v="5100"/>
    <n v="319.26"/>
  </r>
  <r>
    <s v="FN-00432"/>
    <x v="92"/>
    <s v="C0387"/>
    <x v="1"/>
    <x v="0"/>
    <x v="0"/>
    <n v="22600"/>
    <n v="5.16E-2"/>
    <n v="48"/>
    <s v="OFF-HAW-2"/>
    <x v="0"/>
    <d v="2026-04-06T00:00:00"/>
    <x v="1"/>
    <s v="Kuwaiti"/>
    <n v="34"/>
    <s v="30-44"/>
    <n v="2"/>
    <n v="1"/>
    <n v="22600"/>
    <n v="1166.1600000000001"/>
  </r>
  <r>
    <s v="FN-00447"/>
    <x v="92"/>
    <s v="C0096"/>
    <x v="3"/>
    <x v="2"/>
    <x v="0"/>
    <n v="9100"/>
    <n v="4.1700000000000001E-2"/>
    <n v="48"/>
    <s v="OFF-FAR-2"/>
    <x v="1"/>
    <d v="2026-04-05T00:00:00"/>
    <x v="0"/>
    <s v="Non-Kuwaiti"/>
    <n v="56"/>
    <s v="45+"/>
    <n v="1"/>
    <n v="0"/>
    <n v="0"/>
    <n v="0"/>
  </r>
  <r>
    <s v="FN-00449"/>
    <x v="92"/>
    <s v="C0685"/>
    <x v="5"/>
    <x v="2"/>
    <x v="0"/>
    <n v="11300"/>
    <n v="4.02E-2"/>
    <n v="48"/>
    <s v="OFF-JAH-2"/>
    <x v="0"/>
    <d v="2026-04-08T00:00:00"/>
    <x v="0"/>
    <s v="Non-Kuwaiti"/>
    <n v="22"/>
    <s v="Under 30"/>
    <n v="4"/>
    <n v="1"/>
    <n v="11300"/>
    <n v="454.26"/>
  </r>
  <r>
    <s v="FN-00456"/>
    <x v="92"/>
    <s v="C0456"/>
    <x v="5"/>
    <x v="2"/>
    <x v="0"/>
    <n v="8900"/>
    <n v="3.5400000000000001E-2"/>
    <n v="48"/>
    <s v="OFF-JAH-1"/>
    <x v="0"/>
    <d v="2026-04-05T00:00:00"/>
    <x v="1"/>
    <s v="Kuwaiti"/>
    <n v="54"/>
    <s v="45+"/>
    <n v="1"/>
    <n v="1"/>
    <n v="8900"/>
    <n v="315.06"/>
  </r>
  <r>
    <s v="FN-00534"/>
    <x v="92"/>
    <s v="C0817"/>
    <x v="5"/>
    <x v="3"/>
    <x v="0"/>
    <n v="162200"/>
    <n v="7.9899999999999999E-2"/>
    <n v="36"/>
    <s v="OFF-JAH-1"/>
    <x v="0"/>
    <d v="2026-04-23T00:00:00"/>
    <x v="0"/>
    <s v="Non-Kuwaiti"/>
    <n v="58"/>
    <s v="45+"/>
    <n v="19"/>
    <n v="1"/>
    <n v="162200"/>
    <n v="12959.78"/>
  </r>
  <r>
    <s v="FN-00535"/>
    <x v="92"/>
    <s v="C0301"/>
    <x v="4"/>
    <x v="0"/>
    <x v="1"/>
    <n v="15600"/>
    <n v="6.4899999999999999E-2"/>
    <n v="48"/>
    <s v="OFF-AHM-3"/>
    <x v="0"/>
    <d v="2026-04-07T00:00:00"/>
    <x v="0"/>
    <s v="Non-Kuwaiti"/>
    <n v="29"/>
    <s v="Under 30"/>
    <n v="3"/>
    <n v="1"/>
    <n v="15600"/>
    <n v="1012.4399999999999"/>
  </r>
  <r>
    <s v="FN-00461"/>
    <x v="93"/>
    <s v="C0473"/>
    <x v="3"/>
    <x v="3"/>
    <x v="0"/>
    <n v="72400"/>
    <n v="5.5399999999999998E-2"/>
    <n v="24"/>
    <s v="OFF-FAR-3"/>
    <x v="1"/>
    <d v="2026-04-14T00:00:00"/>
    <x v="0"/>
    <s v="Kuwaiti"/>
    <n v="53"/>
    <s v="45+"/>
    <n v="9"/>
    <n v="0"/>
    <n v="0"/>
    <n v="0"/>
  </r>
  <r>
    <s v="FN-00467"/>
    <x v="93"/>
    <s v="C0780"/>
    <x v="3"/>
    <x v="1"/>
    <x v="0"/>
    <n v="154500"/>
    <n v="3.7699999999999997E-2"/>
    <n v="300"/>
    <s v="OFF-FAR-2"/>
    <x v="0"/>
    <d v="2026-04-20T00:00:00"/>
    <x v="1"/>
    <s v="Non-Kuwaiti"/>
    <n v="25"/>
    <s v="Under 30"/>
    <n v="15"/>
    <n v="1"/>
    <n v="154500"/>
    <n v="5824.65"/>
  </r>
  <r>
    <s v="FN-00472"/>
    <x v="93"/>
    <s v="C0429"/>
    <x v="2"/>
    <x v="1"/>
    <x v="1"/>
    <n v="67500"/>
    <n v="4.4499999999999998E-2"/>
    <n v="240"/>
    <s v="OFF-SAL-3"/>
    <x v="1"/>
    <d v="2026-04-17T00:00:00"/>
    <x v="1"/>
    <s v="Non-Kuwaiti"/>
    <n v="70"/>
    <s v="45+"/>
    <n v="12"/>
    <n v="0"/>
    <n v="0"/>
    <n v="0"/>
  </r>
  <r>
    <s v="FN-00505"/>
    <x v="93"/>
    <s v="C0940"/>
    <x v="4"/>
    <x v="1"/>
    <x v="2"/>
    <n v="157100"/>
    <n v="4.19E-2"/>
    <n v="240"/>
    <s v="OFF-AHM-2"/>
    <x v="0"/>
    <d v="2026-04-28T00:00:00"/>
    <x v="0"/>
    <s v="Kuwaiti"/>
    <n v="58"/>
    <s v="45+"/>
    <n v="23"/>
    <n v="1"/>
    <n v="157100"/>
    <n v="6582.49"/>
  </r>
  <r>
    <s v="FN-00525"/>
    <x v="94"/>
    <s v="C0263"/>
    <x v="5"/>
    <x v="0"/>
    <x v="0"/>
    <n v="4000"/>
    <n v="6.9900000000000004E-2"/>
    <n v="24"/>
    <s v="OFF-JAH-1"/>
    <x v="1"/>
    <d v="2026-04-13T00:00:00"/>
    <x v="1"/>
    <s v="Kuwaiti"/>
    <n v="47"/>
    <s v="45+"/>
    <n v="7"/>
    <n v="0"/>
    <n v="0"/>
    <n v="0"/>
  </r>
  <r>
    <s v="FN-00452"/>
    <x v="95"/>
    <s v="C0841"/>
    <x v="3"/>
    <x v="0"/>
    <x v="1"/>
    <n v="17300"/>
    <n v="6.2399999999999997E-2"/>
    <n v="12"/>
    <s v="OFF-FAR-2"/>
    <x v="0"/>
    <d v="2026-04-13T00:00:00"/>
    <x v="0"/>
    <s v="Kuwaiti"/>
    <n v="68"/>
    <s v="45+"/>
    <n v="6"/>
    <n v="1"/>
    <n v="17300"/>
    <n v="1079.52"/>
  </r>
  <r>
    <s v="FN-00514"/>
    <x v="95"/>
    <s v="C0734"/>
    <x v="1"/>
    <x v="0"/>
    <x v="0"/>
    <n v="16000"/>
    <n v="5.1400000000000001E-2"/>
    <n v="36"/>
    <s v="OFF-HAW-2"/>
    <x v="0"/>
    <d v="2026-04-10T00:00:00"/>
    <x v="0"/>
    <s v="Kuwaiti"/>
    <n v="28"/>
    <s v="Under 30"/>
    <n v="3"/>
    <n v="1"/>
    <n v="16000"/>
    <n v="822.4"/>
  </r>
  <r>
    <s v="FN-00533"/>
    <x v="95"/>
    <s v="C0360"/>
    <x v="4"/>
    <x v="0"/>
    <x v="0"/>
    <n v="25000"/>
    <n v="6.0199999999999997E-2"/>
    <n v="60"/>
    <s v="OFF-AHM-2"/>
    <x v="0"/>
    <d v="2026-04-12T00:00:00"/>
    <x v="2"/>
    <s v="Kuwaiti"/>
    <n v="37"/>
    <s v="30-44"/>
    <n v="5"/>
    <n v="1"/>
    <n v="25000"/>
    <n v="1505"/>
  </r>
  <r>
    <s v="FN-00450"/>
    <x v="96"/>
    <s v="C0710"/>
    <x v="5"/>
    <x v="3"/>
    <x v="0"/>
    <n v="42000"/>
    <n v="6.7599999999999993E-2"/>
    <n v="60"/>
    <s v="OFF-JAH-3"/>
    <x v="0"/>
    <d v="2026-04-26T00:00:00"/>
    <x v="1"/>
    <s v="Non-Kuwaiti"/>
    <n v="39"/>
    <s v="30-44"/>
    <n v="18"/>
    <n v="1"/>
    <n v="42000"/>
    <n v="2839.2"/>
  </r>
  <r>
    <s v="FN-00465"/>
    <x v="96"/>
    <s v="C0597"/>
    <x v="3"/>
    <x v="2"/>
    <x v="0"/>
    <n v="6900"/>
    <n v="4.1399999999999999E-2"/>
    <n v="60"/>
    <s v="OFF-FAR-3"/>
    <x v="0"/>
    <d v="2026-04-12T00:00:00"/>
    <x v="1"/>
    <s v="Kuwaiti"/>
    <n v="45"/>
    <s v="45+"/>
    <n v="4"/>
    <n v="1"/>
    <n v="6900"/>
    <n v="285.65999999999997"/>
  </r>
  <r>
    <s v="FN-00466"/>
    <x v="96"/>
    <s v="C0063"/>
    <x v="2"/>
    <x v="2"/>
    <x v="1"/>
    <n v="12300"/>
    <n v="4.53E-2"/>
    <n v="48"/>
    <s v="OFF-SAL-1"/>
    <x v="0"/>
    <d v="2026-04-10T00:00:00"/>
    <x v="1"/>
    <s v="Kuwaiti"/>
    <n v="55"/>
    <s v="45+"/>
    <n v="2"/>
    <n v="1"/>
    <n v="12300"/>
    <n v="557.19000000000005"/>
  </r>
  <r>
    <s v="FN-00480"/>
    <x v="96"/>
    <s v="C0358"/>
    <x v="1"/>
    <x v="3"/>
    <x v="1"/>
    <n v="114500"/>
    <n v="6.4199999999999993E-2"/>
    <n v="84"/>
    <s v="OFF-HAW-3"/>
    <x v="1"/>
    <d v="2026-04-16T00:00:00"/>
    <x v="1"/>
    <s v="Non-Kuwaiti"/>
    <n v="51"/>
    <s v="45+"/>
    <n v="8"/>
    <n v="0"/>
    <n v="0"/>
    <n v="0"/>
  </r>
  <r>
    <s v="FN-00481"/>
    <x v="96"/>
    <s v="C0243"/>
    <x v="3"/>
    <x v="0"/>
    <x v="0"/>
    <n v="3500"/>
    <n v="6.1100000000000002E-2"/>
    <n v="48"/>
    <s v="OFF-FAR-1"/>
    <x v="0"/>
    <d v="2026-04-13T00:00:00"/>
    <x v="2"/>
    <s v="Non-Kuwaiti"/>
    <n v="32"/>
    <s v="30-44"/>
    <n v="5"/>
    <n v="1"/>
    <n v="3500"/>
    <n v="213.85"/>
  </r>
  <r>
    <s v="FN-00482"/>
    <x v="96"/>
    <s v="C0630"/>
    <x v="5"/>
    <x v="1"/>
    <x v="0"/>
    <n v="222800"/>
    <n v="3.8300000000000001E-2"/>
    <n v="300"/>
    <s v="OFF-JAH-1"/>
    <x v="0"/>
    <d v="2026-04-28T00:00:00"/>
    <x v="1"/>
    <s v="Kuwaiti"/>
    <n v="38"/>
    <s v="30-44"/>
    <n v="20"/>
    <n v="1"/>
    <n v="222800"/>
    <n v="8533.24"/>
  </r>
  <r>
    <s v="FN-00520"/>
    <x v="96"/>
    <s v="C0006"/>
    <x v="2"/>
    <x v="2"/>
    <x v="1"/>
    <n v="5600"/>
    <n v="3.7400000000000003E-2"/>
    <n v="60"/>
    <s v="OFF-SAL-2"/>
    <x v="0"/>
    <d v="2026-04-10T00:00:00"/>
    <x v="1"/>
    <s v="Kuwaiti"/>
    <n v="36"/>
    <s v="30-44"/>
    <n v="2"/>
    <n v="1"/>
    <n v="5600"/>
    <n v="209.44000000000003"/>
  </r>
  <r>
    <s v="FN-00506"/>
    <x v="97"/>
    <s v="C0281"/>
    <x v="2"/>
    <x v="2"/>
    <x v="0"/>
    <n v="6800"/>
    <n v="4.7600000000000003E-2"/>
    <n v="48"/>
    <s v="OFF-SAL-2"/>
    <x v="0"/>
    <d v="2026-04-13T00:00:00"/>
    <x v="0"/>
    <s v="Non-Kuwaiti"/>
    <n v="22"/>
    <s v="Under 30"/>
    <n v="4"/>
    <n v="1"/>
    <n v="6800"/>
    <n v="323.68"/>
  </r>
  <r>
    <s v="FN-00444"/>
    <x v="98"/>
    <s v="C0827"/>
    <x v="5"/>
    <x v="3"/>
    <x v="0"/>
    <n v="92800"/>
    <n v="6.2700000000000006E-2"/>
    <n v="24"/>
    <s v="OFF-JAH-1"/>
    <x v="0"/>
    <d v="2026-04-24T00:00:00"/>
    <x v="1"/>
    <s v="Kuwaiti"/>
    <n v="32"/>
    <s v="30-44"/>
    <n v="14"/>
    <n v="1"/>
    <n v="92800"/>
    <n v="5818.56"/>
  </r>
  <r>
    <s v="FN-00462"/>
    <x v="98"/>
    <s v="C0115"/>
    <x v="2"/>
    <x v="1"/>
    <x v="0"/>
    <n v="109700"/>
    <n v="4.4600000000000001E-2"/>
    <n v="300"/>
    <s v="OFF-SAL-1"/>
    <x v="1"/>
    <d v="2026-05-07T00:00:00"/>
    <x v="1"/>
    <s v="Kuwaiti"/>
    <n v="35"/>
    <s v="30-44"/>
    <n v="27"/>
    <n v="0"/>
    <n v="0"/>
    <n v="0"/>
  </r>
  <r>
    <s v="FN-00491"/>
    <x v="98"/>
    <s v="C0062"/>
    <x v="5"/>
    <x v="2"/>
    <x v="2"/>
    <n v="5500"/>
    <n v="4.1300000000000003E-2"/>
    <n v="48"/>
    <s v="OFF-JAH-1"/>
    <x v="1"/>
    <d v="2026-04-13T00:00:00"/>
    <x v="1"/>
    <s v="Kuwaiti"/>
    <n v="49"/>
    <s v="45+"/>
    <n v="3"/>
    <n v="0"/>
    <n v="0"/>
    <n v="0"/>
  </r>
  <r>
    <s v="FN-00497"/>
    <x v="98"/>
    <s v="C0165"/>
    <x v="2"/>
    <x v="0"/>
    <x v="0"/>
    <n v="23300"/>
    <n v="5.8400000000000001E-2"/>
    <n v="36"/>
    <s v="OFF-SAL-3"/>
    <x v="0"/>
    <d v="2026-04-13T00:00:00"/>
    <x v="1"/>
    <s v="Kuwaiti"/>
    <n v="43"/>
    <s v="30-44"/>
    <n v="3"/>
    <n v="1"/>
    <n v="23300"/>
    <n v="1360.72"/>
  </r>
  <r>
    <s v="FN-00501"/>
    <x v="98"/>
    <s v="C0603"/>
    <x v="2"/>
    <x v="0"/>
    <x v="0"/>
    <n v="23000"/>
    <n v="5.5100000000000003E-2"/>
    <n v="48"/>
    <s v="OFF-SAL-3"/>
    <x v="0"/>
    <d v="2026-04-12T00:00:00"/>
    <x v="1"/>
    <s v="Non-Kuwaiti"/>
    <n v="71"/>
    <s v="45+"/>
    <n v="2"/>
    <n v="1"/>
    <n v="23000"/>
    <n v="1267.3000000000002"/>
  </r>
  <r>
    <s v="FN-00515"/>
    <x v="98"/>
    <s v="C0546"/>
    <x v="1"/>
    <x v="2"/>
    <x v="2"/>
    <n v="11300"/>
    <n v="4.3200000000000002E-2"/>
    <n v="48"/>
    <s v="OFF-HAW-3"/>
    <x v="0"/>
    <d v="2026-04-15T00:00:00"/>
    <x v="0"/>
    <s v="Kuwaiti"/>
    <n v="24"/>
    <s v="Under 30"/>
    <n v="5"/>
    <n v="1"/>
    <n v="11300"/>
    <n v="488.16"/>
  </r>
  <r>
    <s v="FN-00522"/>
    <x v="98"/>
    <s v="C0424"/>
    <x v="2"/>
    <x v="2"/>
    <x v="0"/>
    <n v="18700"/>
    <n v="4.2299999999999997E-2"/>
    <n v="60"/>
    <s v="OFF-SAL-2"/>
    <x v="0"/>
    <d v="2026-04-11T00:00:00"/>
    <x v="2"/>
    <s v="Non-Kuwaiti"/>
    <n v="56"/>
    <s v="45+"/>
    <n v="1"/>
    <n v="1"/>
    <n v="18700"/>
    <n v="791.01"/>
  </r>
  <r>
    <s v="FN-00425"/>
    <x v="99"/>
    <s v="C0428"/>
    <x v="3"/>
    <x v="2"/>
    <x v="1"/>
    <n v="11600"/>
    <n v="3.7699999999999997E-2"/>
    <n v="36"/>
    <s v="OFF-FAR-1"/>
    <x v="0"/>
    <d v="2026-04-13T00:00:00"/>
    <x v="1"/>
    <s v="Kuwaiti"/>
    <n v="48"/>
    <s v="45+"/>
    <n v="2"/>
    <n v="1"/>
    <n v="11600"/>
    <n v="437.32"/>
  </r>
  <r>
    <s v="FN-00435"/>
    <x v="99"/>
    <s v="C0199"/>
    <x v="0"/>
    <x v="3"/>
    <x v="0"/>
    <n v="30500"/>
    <n v="7.5399999999999995E-2"/>
    <n v="24"/>
    <s v="OFF-KUW-1"/>
    <x v="0"/>
    <d v="2026-04-21T00:00:00"/>
    <x v="1"/>
    <s v="Kuwaiti"/>
    <n v="26"/>
    <s v="Under 30"/>
    <n v="10"/>
    <n v="1"/>
    <n v="30500"/>
    <n v="2299.6999999999998"/>
  </r>
  <r>
    <s v="FN-00443"/>
    <x v="99"/>
    <s v="C0263"/>
    <x v="3"/>
    <x v="1"/>
    <x v="0"/>
    <n v="133100"/>
    <n v="4.2900000000000001E-2"/>
    <n v="300"/>
    <s v="OFF-FAR-2"/>
    <x v="1"/>
    <d v="2026-04-21T00:00:00"/>
    <x v="1"/>
    <s v="Kuwaiti"/>
    <n v="47"/>
    <s v="45+"/>
    <n v="10"/>
    <n v="0"/>
    <n v="0"/>
    <n v="0"/>
  </r>
  <r>
    <s v="FN-00464"/>
    <x v="99"/>
    <s v="C0227"/>
    <x v="0"/>
    <x v="1"/>
    <x v="0"/>
    <n v="188600"/>
    <n v="3.3599999999999998E-2"/>
    <n v="120"/>
    <s v="OFF-KUW-1"/>
    <x v="0"/>
    <d v="2026-04-27T00:00:00"/>
    <x v="0"/>
    <s v="Kuwaiti"/>
    <n v="68"/>
    <s v="45+"/>
    <n v="16"/>
    <n v="1"/>
    <n v="188600"/>
    <n v="6336.96"/>
  </r>
  <r>
    <s v="FN-00499"/>
    <x v="99"/>
    <s v="C0534"/>
    <x v="2"/>
    <x v="2"/>
    <x v="2"/>
    <n v="13700"/>
    <n v="4.1200000000000001E-2"/>
    <n v="60"/>
    <s v="OFF-SAL-3"/>
    <x v="0"/>
    <d v="2026-04-13T00:00:00"/>
    <x v="1"/>
    <s v="Non-Kuwaiti"/>
    <n v="38"/>
    <s v="30-44"/>
    <n v="2"/>
    <n v="1"/>
    <n v="13700"/>
    <n v="564.44000000000005"/>
  </r>
  <r>
    <s v="FN-00503"/>
    <x v="99"/>
    <s v="C0889"/>
    <x v="2"/>
    <x v="1"/>
    <x v="1"/>
    <n v="173200"/>
    <n v="3.7100000000000001E-2"/>
    <n v="120"/>
    <s v="OFF-SAL-1"/>
    <x v="0"/>
    <d v="2026-05-04T00:00:00"/>
    <x v="1"/>
    <s v="Non-Kuwaiti"/>
    <n v="29"/>
    <s v="Under 30"/>
    <n v="23"/>
    <n v="1"/>
    <n v="173200"/>
    <n v="6425.72"/>
  </r>
  <r>
    <s v="FN-00512"/>
    <x v="99"/>
    <s v="C0398"/>
    <x v="5"/>
    <x v="2"/>
    <x v="1"/>
    <n v="12500"/>
    <n v="3.8199999999999998E-2"/>
    <n v="48"/>
    <s v="OFF-JAH-3"/>
    <x v="1"/>
    <d v="2026-04-13T00:00:00"/>
    <x v="1"/>
    <s v="Kuwaiti"/>
    <n v="49"/>
    <s v="45+"/>
    <n v="2"/>
    <n v="0"/>
    <n v="0"/>
    <n v="0"/>
  </r>
  <r>
    <s v="FN-00426"/>
    <x v="100"/>
    <s v="C0942"/>
    <x v="4"/>
    <x v="3"/>
    <x v="0"/>
    <n v="164800"/>
    <n v="6.6500000000000004E-2"/>
    <n v="24"/>
    <s v="OFF-AHM-3"/>
    <x v="0"/>
    <d v="2026-05-02T00:00:00"/>
    <x v="2"/>
    <s v="Kuwaiti"/>
    <n v="54"/>
    <s v="45+"/>
    <n v="20"/>
    <n v="1"/>
    <n v="164800"/>
    <n v="10959.2"/>
  </r>
  <r>
    <s v="FN-00469"/>
    <x v="100"/>
    <s v="C0253"/>
    <x v="1"/>
    <x v="0"/>
    <x v="1"/>
    <n v="10500"/>
    <n v="5.5899999999999998E-2"/>
    <n v="48"/>
    <s v="OFF-HAW-3"/>
    <x v="0"/>
    <d v="2026-04-17T00:00:00"/>
    <x v="1"/>
    <s v="Non-Kuwaiti"/>
    <n v="25"/>
    <s v="Under 30"/>
    <n v="5"/>
    <n v="1"/>
    <n v="10500"/>
    <n v="586.94999999999993"/>
  </r>
  <r>
    <s v="FN-00511"/>
    <x v="100"/>
    <s v="C0228"/>
    <x v="1"/>
    <x v="2"/>
    <x v="1"/>
    <n v="6700"/>
    <n v="3.8399999999999997E-2"/>
    <n v="36"/>
    <s v="OFF-HAW-2"/>
    <x v="0"/>
    <d v="2026-04-17T00:00:00"/>
    <x v="0"/>
    <s v="Kuwaiti"/>
    <n v="41"/>
    <s v="30-44"/>
    <n v="5"/>
    <n v="1"/>
    <n v="6700"/>
    <n v="257.27999999999997"/>
  </r>
  <r>
    <s v="FN-00420"/>
    <x v="101"/>
    <s v="C0190"/>
    <x v="2"/>
    <x v="0"/>
    <x v="0"/>
    <n v="22000"/>
    <n v="6.3600000000000004E-2"/>
    <n v="12"/>
    <s v="OFF-SAL-3"/>
    <x v="1"/>
    <d v="2026-04-17T00:00:00"/>
    <x v="1"/>
    <s v="Non-Kuwaiti"/>
    <n v="24"/>
    <s v="Under 30"/>
    <n v="4"/>
    <n v="0"/>
    <n v="0"/>
    <n v="0"/>
  </r>
  <r>
    <s v="FN-00424"/>
    <x v="101"/>
    <s v="C0056"/>
    <x v="2"/>
    <x v="3"/>
    <x v="1"/>
    <n v="55900"/>
    <n v="5.9700000000000003E-2"/>
    <n v="24"/>
    <s v="OFF-SAL-1"/>
    <x v="1"/>
    <d v="2026-04-23T00:00:00"/>
    <x v="1"/>
    <s v="Non-Kuwaiti"/>
    <n v="40"/>
    <s v="30-44"/>
    <n v="10"/>
    <n v="0"/>
    <n v="0"/>
    <n v="0"/>
  </r>
  <r>
    <s v="FN-00441"/>
    <x v="101"/>
    <s v="C0708"/>
    <x v="3"/>
    <x v="0"/>
    <x v="1"/>
    <n v="13700"/>
    <n v="5.91E-2"/>
    <n v="36"/>
    <s v="OFF-FAR-2"/>
    <x v="1"/>
    <d v="2026-04-18T00:00:00"/>
    <x v="1"/>
    <s v="Kuwaiti"/>
    <n v="27"/>
    <s v="Under 30"/>
    <n v="5"/>
    <n v="0"/>
    <n v="0"/>
    <n v="0"/>
  </r>
  <r>
    <s v="FN-00500"/>
    <x v="101"/>
    <s v="C0946"/>
    <x v="5"/>
    <x v="0"/>
    <x v="1"/>
    <n v="11400"/>
    <n v="6.5699999999999995E-2"/>
    <n v="48"/>
    <s v="OFF-JAH-2"/>
    <x v="0"/>
    <d v="2026-04-18T00:00:00"/>
    <x v="0"/>
    <s v="Kuwaiti"/>
    <n v="29"/>
    <s v="Under 30"/>
    <n v="5"/>
    <n v="1"/>
    <n v="11400"/>
    <n v="748.9799999999999"/>
  </r>
  <r>
    <s v="FN-00509"/>
    <x v="101"/>
    <s v="C0221"/>
    <x v="4"/>
    <x v="0"/>
    <x v="2"/>
    <n v="14500"/>
    <n v="6.6100000000000006E-2"/>
    <n v="24"/>
    <s v="OFF-AHM-3"/>
    <x v="0"/>
    <d v="2026-04-14T00:00:00"/>
    <x v="1"/>
    <s v="Non-Kuwaiti"/>
    <n v="34"/>
    <s v="30-44"/>
    <n v="1"/>
    <n v="1"/>
    <n v="14500"/>
    <n v="958.45"/>
  </r>
  <r>
    <s v="FN-00521"/>
    <x v="101"/>
    <s v="C0170"/>
    <x v="0"/>
    <x v="0"/>
    <x v="0"/>
    <n v="16200"/>
    <n v="5.1200000000000002E-2"/>
    <n v="60"/>
    <s v="OFF-KUW-1"/>
    <x v="0"/>
    <d v="2026-04-20T00:00:00"/>
    <x v="1"/>
    <s v="Kuwaiti"/>
    <n v="28"/>
    <s v="Under 30"/>
    <n v="7"/>
    <n v="1"/>
    <n v="16200"/>
    <n v="829.44"/>
  </r>
  <r>
    <s v="FN-00529"/>
    <x v="101"/>
    <s v="C0723"/>
    <x v="0"/>
    <x v="3"/>
    <x v="0"/>
    <n v="126100"/>
    <n v="7.7299999999999994E-2"/>
    <n v="36"/>
    <s v="OFF-KUW-3"/>
    <x v="0"/>
    <d v="2026-04-20T00:00:00"/>
    <x v="1"/>
    <s v="Kuwaiti"/>
    <n v="50"/>
    <s v="45+"/>
    <n v="7"/>
    <n v="1"/>
    <n v="126100"/>
    <n v="9747.5299999999988"/>
  </r>
  <r>
    <s v="FN-00530"/>
    <x v="101"/>
    <s v="C0033"/>
    <x v="0"/>
    <x v="2"/>
    <x v="1"/>
    <n v="15300"/>
    <n v="4.65E-2"/>
    <n v="60"/>
    <s v="OFF-KUW-3"/>
    <x v="0"/>
    <d v="2026-04-17T00:00:00"/>
    <x v="0"/>
    <s v="Kuwaiti"/>
    <n v="35"/>
    <s v="30-44"/>
    <n v="4"/>
    <n v="1"/>
    <n v="15300"/>
    <n v="711.45"/>
  </r>
  <r>
    <s v="FN-00418"/>
    <x v="102"/>
    <s v="C0086"/>
    <x v="2"/>
    <x v="1"/>
    <x v="0"/>
    <n v="77200"/>
    <n v="3.1199999999999999E-2"/>
    <n v="300"/>
    <s v="OFF-SAL-3"/>
    <x v="0"/>
    <d v="2026-04-28T00:00:00"/>
    <x v="0"/>
    <s v="Kuwaiti"/>
    <n v="48"/>
    <s v="45+"/>
    <n v="14"/>
    <n v="1"/>
    <n v="77200"/>
    <n v="2408.64"/>
  </r>
  <r>
    <s v="FN-00427"/>
    <x v="102"/>
    <s v="C0774"/>
    <x v="2"/>
    <x v="0"/>
    <x v="0"/>
    <n v="25000"/>
    <n v="6.5299999999999997E-2"/>
    <n v="60"/>
    <s v="OFF-SAL-1"/>
    <x v="1"/>
    <d v="2026-04-20T00:00:00"/>
    <x v="0"/>
    <s v="Non-Kuwaiti"/>
    <n v="47"/>
    <s v="45+"/>
    <n v="6"/>
    <n v="0"/>
    <n v="0"/>
    <n v="0"/>
  </r>
  <r>
    <s v="FN-00430"/>
    <x v="102"/>
    <s v="C0149"/>
    <x v="4"/>
    <x v="0"/>
    <x v="0"/>
    <n v="2300"/>
    <n v="6.6100000000000006E-2"/>
    <n v="48"/>
    <s v="OFF-AHM-3"/>
    <x v="1"/>
    <d v="2026-04-18T00:00:00"/>
    <x v="1"/>
    <s v="Non-Kuwaiti"/>
    <n v="44"/>
    <s v="30-44"/>
    <n v="4"/>
    <n v="0"/>
    <n v="0"/>
    <n v="0"/>
  </r>
  <r>
    <s v="FN-00453"/>
    <x v="102"/>
    <s v="C0540"/>
    <x v="3"/>
    <x v="1"/>
    <x v="0"/>
    <n v="167900"/>
    <n v="4.36E-2"/>
    <n v="300"/>
    <s v="OFF-FAR-2"/>
    <x v="0"/>
    <d v="2026-04-25T00:00:00"/>
    <x v="0"/>
    <s v="Non-Kuwaiti"/>
    <n v="43"/>
    <s v="30-44"/>
    <n v="11"/>
    <n v="1"/>
    <n v="167900"/>
    <n v="7320.44"/>
  </r>
  <r>
    <s v="FN-00476"/>
    <x v="102"/>
    <s v="C0445"/>
    <x v="1"/>
    <x v="0"/>
    <x v="0"/>
    <n v="18900"/>
    <n v="6.0299999999999999E-2"/>
    <n v="60"/>
    <s v="OFF-HAW-2"/>
    <x v="0"/>
    <d v="2026-04-17T00:00:00"/>
    <x v="0"/>
    <s v="Kuwaiti"/>
    <n v="26"/>
    <s v="Under 30"/>
    <n v="3"/>
    <n v="1"/>
    <n v="18900"/>
    <n v="1139.67"/>
  </r>
  <r>
    <s v="FN-00493"/>
    <x v="102"/>
    <s v="C0501"/>
    <x v="2"/>
    <x v="1"/>
    <x v="0"/>
    <n v="71400"/>
    <n v="4.0599999999999997E-2"/>
    <n v="300"/>
    <s v="OFF-SAL-1"/>
    <x v="0"/>
    <d v="2026-05-02T00:00:00"/>
    <x v="0"/>
    <s v="Kuwaiti"/>
    <n v="22"/>
    <s v="Under 30"/>
    <n v="18"/>
    <n v="1"/>
    <n v="71400"/>
    <n v="2898.8399999999997"/>
  </r>
  <r>
    <s v="FN-00510"/>
    <x v="102"/>
    <s v="C0481"/>
    <x v="1"/>
    <x v="2"/>
    <x v="0"/>
    <n v="9200"/>
    <n v="4.24E-2"/>
    <n v="36"/>
    <s v="OFF-HAW-2"/>
    <x v="0"/>
    <d v="2026-04-16T00:00:00"/>
    <x v="1"/>
    <s v="Non-Kuwaiti"/>
    <n v="29"/>
    <s v="Under 30"/>
    <n v="2"/>
    <n v="1"/>
    <n v="9200"/>
    <n v="390.08"/>
  </r>
  <r>
    <s v="FN-00523"/>
    <x v="103"/>
    <s v="C0566"/>
    <x v="2"/>
    <x v="0"/>
    <x v="0"/>
    <n v="17300"/>
    <n v="5.96E-2"/>
    <n v="60"/>
    <s v="OFF-SAL-1"/>
    <x v="0"/>
    <d v="2026-04-21T00:00:00"/>
    <x v="1"/>
    <s v="Kuwaiti"/>
    <n v="44"/>
    <s v="30-44"/>
    <n v="6"/>
    <n v="1"/>
    <n v="17300"/>
    <n v="1031.08"/>
  </r>
  <r>
    <s v="FN-00414"/>
    <x v="104"/>
    <s v="C0306"/>
    <x v="5"/>
    <x v="0"/>
    <x v="1"/>
    <n v="14500"/>
    <n v="5.0900000000000001E-2"/>
    <n v="48"/>
    <s v="OFF-JAH-1"/>
    <x v="0"/>
    <d v="2026-04-22T00:00:00"/>
    <x v="1"/>
    <s v="Kuwaiti"/>
    <n v="55"/>
    <s v="45+"/>
    <n v="6"/>
    <n v="1"/>
    <n v="14500"/>
    <n v="738.05000000000007"/>
  </r>
  <r>
    <s v="FN-00421"/>
    <x v="104"/>
    <s v="C0924"/>
    <x v="1"/>
    <x v="0"/>
    <x v="0"/>
    <n v="5100"/>
    <n v="6.6799999999999998E-2"/>
    <n v="48"/>
    <s v="OFF-HAW-2"/>
    <x v="0"/>
    <d v="2026-04-19T00:00:00"/>
    <x v="0"/>
    <s v="Kuwaiti"/>
    <n v="66"/>
    <s v="45+"/>
    <n v="3"/>
    <n v="1"/>
    <n v="5100"/>
    <n v="340.68"/>
  </r>
  <r>
    <s v="FN-00422"/>
    <x v="104"/>
    <s v="C0084"/>
    <x v="5"/>
    <x v="2"/>
    <x v="0"/>
    <n v="7500"/>
    <n v="4.6800000000000001E-2"/>
    <n v="48"/>
    <s v="OFF-JAH-2"/>
    <x v="0"/>
    <d v="2026-04-19T00:00:00"/>
    <x v="1"/>
    <s v="Kuwaiti"/>
    <n v="31"/>
    <s v="30-44"/>
    <n v="3"/>
    <n v="1"/>
    <n v="7500"/>
    <n v="351"/>
  </r>
  <r>
    <s v="FN-00433"/>
    <x v="104"/>
    <s v="C0285"/>
    <x v="3"/>
    <x v="1"/>
    <x v="2"/>
    <n v="153000"/>
    <n v="3.4599999999999999E-2"/>
    <n v="120"/>
    <s v="OFF-FAR-3"/>
    <x v="0"/>
    <d v="2026-05-15T00:00:00"/>
    <x v="1"/>
    <s v="Non-Kuwaiti"/>
    <n v="25"/>
    <s v="Under 30"/>
    <n v="29"/>
    <n v="1"/>
    <n v="153000"/>
    <n v="5293.8"/>
  </r>
  <r>
    <s v="FN-00457"/>
    <x v="104"/>
    <s v="C0485"/>
    <x v="0"/>
    <x v="0"/>
    <x v="0"/>
    <n v="22000"/>
    <n v="5.6000000000000001E-2"/>
    <n v="12"/>
    <s v="OFF-KUW-2"/>
    <x v="0"/>
    <d v="2026-04-20T00:00:00"/>
    <x v="0"/>
    <s v="Non-Kuwaiti"/>
    <n v="26"/>
    <s v="Under 30"/>
    <n v="4"/>
    <n v="1"/>
    <n v="22000"/>
    <n v="1232"/>
  </r>
  <r>
    <s v="FN-00460"/>
    <x v="104"/>
    <s v="C0612"/>
    <x v="0"/>
    <x v="1"/>
    <x v="1"/>
    <n v="215200"/>
    <n v="3.9800000000000002E-2"/>
    <n v="300"/>
    <s v="OFF-KUW-2"/>
    <x v="0"/>
    <d v="2026-05-08T00:00:00"/>
    <x v="1"/>
    <s v="Kuwaiti"/>
    <n v="24"/>
    <s v="Under 30"/>
    <n v="22"/>
    <n v="1"/>
    <n v="215200"/>
    <n v="8564.9600000000009"/>
  </r>
  <r>
    <s v="FN-00423"/>
    <x v="105"/>
    <s v="C0537"/>
    <x v="2"/>
    <x v="3"/>
    <x v="1"/>
    <n v="172200"/>
    <n v="6.9199999999999998E-2"/>
    <n v="84"/>
    <s v="OFF-SAL-1"/>
    <x v="0"/>
    <d v="2026-04-25T00:00:00"/>
    <x v="0"/>
    <s v="Kuwaiti"/>
    <n v="26"/>
    <s v="Under 30"/>
    <n v="8"/>
    <n v="1"/>
    <n v="172200"/>
    <n v="11916.24"/>
  </r>
  <r>
    <s v="FN-00492"/>
    <x v="105"/>
    <s v="C0547"/>
    <x v="3"/>
    <x v="2"/>
    <x v="0"/>
    <n v="9900"/>
    <n v="4.7E-2"/>
    <n v="48"/>
    <s v="OFF-FAR-2"/>
    <x v="0"/>
    <d v="2026-04-18T00:00:00"/>
    <x v="0"/>
    <s v="Kuwaiti"/>
    <n v="56"/>
    <s v="45+"/>
    <n v="1"/>
    <n v="1"/>
    <n v="9900"/>
    <n v="465.3"/>
  </r>
  <r>
    <s v="FN-00516"/>
    <x v="105"/>
    <s v="C0621"/>
    <x v="1"/>
    <x v="0"/>
    <x v="0"/>
    <n v="6900"/>
    <n v="5.1799999999999999E-2"/>
    <n v="60"/>
    <s v="OFF-HAW-2"/>
    <x v="0"/>
    <d v="2026-04-18T00:00:00"/>
    <x v="1"/>
    <s v="Kuwaiti"/>
    <n v="24"/>
    <s v="Under 30"/>
    <n v="1"/>
    <n v="1"/>
    <n v="6900"/>
    <n v="357.42"/>
  </r>
  <r>
    <s v="FN-00536"/>
    <x v="105"/>
    <s v="C0248"/>
    <x v="4"/>
    <x v="2"/>
    <x v="0"/>
    <n v="15700"/>
    <n v="3.9699999999999999E-2"/>
    <n v="60"/>
    <s v="OFF-AHM-1"/>
    <x v="0"/>
    <d v="2026-04-21T00:00:00"/>
    <x v="0"/>
    <s v="Kuwaiti"/>
    <n v="35"/>
    <s v="30-44"/>
    <n v="4"/>
    <n v="1"/>
    <n v="15700"/>
    <n v="623.29"/>
  </r>
  <r>
    <s v="FN-00473"/>
    <x v="106"/>
    <s v="C0767"/>
    <x v="1"/>
    <x v="2"/>
    <x v="1"/>
    <n v="8600"/>
    <n v="4.7500000000000001E-2"/>
    <n v="60"/>
    <s v="OFF-HAW-3"/>
    <x v="0"/>
    <d v="2026-04-22T00:00:00"/>
    <x v="1"/>
    <s v="Non-Kuwaiti"/>
    <n v="28"/>
    <s v="Under 30"/>
    <n v="4"/>
    <n v="1"/>
    <n v="8600"/>
    <n v="408.5"/>
  </r>
  <r>
    <s v="FN-00487"/>
    <x v="106"/>
    <s v="C0428"/>
    <x v="0"/>
    <x v="0"/>
    <x v="1"/>
    <n v="5900"/>
    <n v="6.3200000000000006E-2"/>
    <n v="48"/>
    <s v="OFF-KUW-2"/>
    <x v="0"/>
    <d v="2026-04-22T00:00:00"/>
    <x v="1"/>
    <s v="Kuwaiti"/>
    <n v="48"/>
    <s v="45+"/>
    <n v="4"/>
    <n v="1"/>
    <n v="5900"/>
    <n v="372.88000000000005"/>
  </r>
  <r>
    <s v="FN-00478"/>
    <x v="107"/>
    <s v="C0904"/>
    <x v="1"/>
    <x v="0"/>
    <x v="1"/>
    <n v="7900"/>
    <n v="6.4299999999999996E-2"/>
    <n v="60"/>
    <s v="OFF-HAW-1"/>
    <x v="0"/>
    <d v="2026-04-23T00:00:00"/>
    <x v="1"/>
    <s v="Kuwaiti"/>
    <n v="25"/>
    <s v="Under 30"/>
    <n v="4"/>
    <n v="1"/>
    <n v="7900"/>
    <n v="507.96999999999997"/>
  </r>
  <r>
    <s v="FN-00527"/>
    <x v="107"/>
    <s v="C0724"/>
    <x v="2"/>
    <x v="3"/>
    <x v="1"/>
    <n v="64000"/>
    <n v="6.8199999999999997E-2"/>
    <n v="84"/>
    <s v="OFF-SAL-2"/>
    <x v="1"/>
    <d v="2026-05-05T00:00:00"/>
    <x v="1"/>
    <s v="Kuwaiti"/>
    <n v="31"/>
    <s v="30-44"/>
    <n v="16"/>
    <n v="0"/>
    <n v="0"/>
    <n v="0"/>
  </r>
  <r>
    <s v="FN-00495"/>
    <x v="108"/>
    <s v="C0734"/>
    <x v="0"/>
    <x v="2"/>
    <x v="0"/>
    <n v="9800"/>
    <n v="3.7199999999999997E-2"/>
    <n v="60"/>
    <s v="OFF-KUW-2"/>
    <x v="0"/>
    <d v="2026-04-25T00:00:00"/>
    <x v="0"/>
    <s v="Kuwaiti"/>
    <n v="28"/>
    <s v="Under 30"/>
    <n v="5"/>
    <n v="1"/>
    <n v="9800"/>
    <n v="364.55999999999995"/>
  </r>
  <r>
    <s v="FN-00513"/>
    <x v="108"/>
    <s v="C0150"/>
    <x v="4"/>
    <x v="0"/>
    <x v="0"/>
    <n v="9800"/>
    <n v="6.3E-2"/>
    <n v="48"/>
    <s v="OFF-AHM-3"/>
    <x v="0"/>
    <d v="2026-04-26T00:00:00"/>
    <x v="1"/>
    <s v="Non-Kuwaiti"/>
    <n v="34"/>
    <s v="30-44"/>
    <n v="6"/>
    <n v="1"/>
    <n v="9800"/>
    <n v="617.4"/>
  </r>
  <r>
    <s v="FN-00412"/>
    <x v="109"/>
    <s v="C0832"/>
    <x v="0"/>
    <x v="1"/>
    <x v="2"/>
    <n v="98400"/>
    <n v="3.7900000000000003E-2"/>
    <n v="240"/>
    <s v="OFF-KUW-1"/>
    <x v="1"/>
    <d v="2026-05-04T00:00:00"/>
    <x v="1"/>
    <s v="Kuwaiti"/>
    <n v="42"/>
    <s v="30-44"/>
    <n v="13"/>
    <n v="0"/>
    <n v="0"/>
    <n v="0"/>
  </r>
  <r>
    <s v="FN-00437"/>
    <x v="109"/>
    <s v="C0516"/>
    <x v="3"/>
    <x v="0"/>
    <x v="1"/>
    <n v="12100"/>
    <n v="6.4199999999999993E-2"/>
    <n v="36"/>
    <s v="OFF-FAR-3"/>
    <x v="0"/>
    <d v="2026-04-22T00:00:00"/>
    <x v="2"/>
    <s v="Kuwaiti"/>
    <n v="51"/>
    <s v="45+"/>
    <n v="1"/>
    <n v="1"/>
    <n v="12100"/>
    <n v="776.81999999999994"/>
  </r>
  <r>
    <s v="FN-00494"/>
    <x v="109"/>
    <s v="C0939"/>
    <x v="0"/>
    <x v="1"/>
    <x v="0"/>
    <n v="177600"/>
    <n v="4.4400000000000002E-2"/>
    <n v="240"/>
    <s v="OFF-KUW-3"/>
    <x v="1"/>
    <d v="2026-05-02T00:00:00"/>
    <x v="1"/>
    <s v="Kuwaiti"/>
    <n v="23"/>
    <s v="Under 30"/>
    <n v="11"/>
    <n v="0"/>
    <n v="0"/>
    <n v="0"/>
  </r>
  <r>
    <s v="FN-00416"/>
    <x v="110"/>
    <s v="C0623"/>
    <x v="5"/>
    <x v="3"/>
    <x v="0"/>
    <n v="136800"/>
    <n v="7.3400000000000007E-2"/>
    <n v="36"/>
    <s v="OFF-JAH-2"/>
    <x v="1"/>
    <d v="2026-05-04T00:00:00"/>
    <x v="0"/>
    <s v="Kuwaiti"/>
    <n v="36"/>
    <s v="30-44"/>
    <n v="12"/>
    <n v="0"/>
    <n v="0"/>
    <n v="0"/>
  </r>
  <r>
    <s v="FN-00417"/>
    <x v="110"/>
    <s v="C0144"/>
    <x v="4"/>
    <x v="2"/>
    <x v="2"/>
    <n v="11200"/>
    <n v="4.9700000000000001E-2"/>
    <n v="60"/>
    <s v="OFF-AHM-3"/>
    <x v="0"/>
    <d v="2026-04-26T00:00:00"/>
    <x v="1"/>
    <s v="Kuwaiti"/>
    <n v="27"/>
    <s v="Under 30"/>
    <n v="4"/>
    <n v="1"/>
    <n v="11200"/>
    <n v="556.64"/>
  </r>
  <r>
    <s v="FN-00451"/>
    <x v="110"/>
    <s v="C0440"/>
    <x v="2"/>
    <x v="0"/>
    <x v="0"/>
    <n v="23000"/>
    <n v="5.7299999999999997E-2"/>
    <n v="48"/>
    <s v="OFF-SAL-2"/>
    <x v="1"/>
    <d v="2026-04-27T00:00:00"/>
    <x v="1"/>
    <s v="Non-Kuwaiti"/>
    <n v="41"/>
    <s v="30-44"/>
    <n v="5"/>
    <n v="0"/>
    <n v="0"/>
    <n v="0"/>
  </r>
  <r>
    <s v="FN-00459"/>
    <x v="110"/>
    <s v="C0872"/>
    <x v="2"/>
    <x v="0"/>
    <x v="2"/>
    <n v="13900"/>
    <n v="5.21E-2"/>
    <n v="36"/>
    <s v="OFF-SAL-2"/>
    <x v="0"/>
    <d v="2026-04-23T00:00:00"/>
    <x v="1"/>
    <s v="Kuwaiti"/>
    <n v="32"/>
    <s v="30-44"/>
    <n v="1"/>
    <n v="1"/>
    <n v="13900"/>
    <n v="724.19"/>
  </r>
  <r>
    <s v="FN-00508"/>
    <x v="110"/>
    <s v="C0840"/>
    <x v="3"/>
    <x v="3"/>
    <x v="0"/>
    <n v="112000"/>
    <n v="6.3500000000000001E-2"/>
    <n v="36"/>
    <s v="OFF-FAR-3"/>
    <x v="0"/>
    <d v="2026-05-10T00:00:00"/>
    <x v="1"/>
    <s v="Kuwaiti"/>
    <n v="34"/>
    <s v="30-44"/>
    <n v="18"/>
    <n v="1"/>
    <n v="112000"/>
    <n v="7112"/>
  </r>
  <r>
    <s v="FN-00519"/>
    <x v="110"/>
    <s v="C0053"/>
    <x v="5"/>
    <x v="3"/>
    <x v="0"/>
    <n v="61300"/>
    <n v="7.2400000000000006E-2"/>
    <n v="60"/>
    <s v="OFF-JAH-1"/>
    <x v="0"/>
    <d v="2026-05-06T00:00:00"/>
    <x v="1"/>
    <s v="Non-Kuwaiti"/>
    <n v="26"/>
    <s v="Under 30"/>
    <n v="14"/>
    <n v="1"/>
    <n v="61300"/>
    <n v="4438.1200000000008"/>
  </r>
  <r>
    <s v="FN-00442"/>
    <x v="111"/>
    <s v="C0505"/>
    <x v="0"/>
    <x v="2"/>
    <x v="0"/>
    <n v="12000"/>
    <n v="4.5699999999999998E-2"/>
    <n v="60"/>
    <s v="OFF-KUW-1"/>
    <x v="1"/>
    <d v="2026-04-27T00:00:00"/>
    <x v="1"/>
    <s v="Kuwaiti"/>
    <n v="39"/>
    <s v="30-44"/>
    <n v="4"/>
    <n v="0"/>
    <n v="0"/>
    <n v="0"/>
  </r>
  <r>
    <s v="FN-00463"/>
    <x v="111"/>
    <s v="C0234"/>
    <x v="1"/>
    <x v="2"/>
    <x v="2"/>
    <n v="13200"/>
    <n v="4.2000000000000003E-2"/>
    <n v="60"/>
    <s v="OFF-HAW-2"/>
    <x v="0"/>
    <d v="2026-04-25T00:00:00"/>
    <x v="2"/>
    <s v="Non-Kuwaiti"/>
    <n v="51"/>
    <s v="45+"/>
    <n v="2"/>
    <n v="1"/>
    <n v="13200"/>
    <n v="554.40000000000009"/>
  </r>
  <r>
    <s v="FN-00484"/>
    <x v="111"/>
    <s v="C0627"/>
    <x v="0"/>
    <x v="2"/>
    <x v="2"/>
    <n v="12700"/>
    <n v="4.1000000000000002E-2"/>
    <n v="36"/>
    <s v="OFF-KUW-1"/>
    <x v="0"/>
    <d v="2026-04-25T00:00:00"/>
    <x v="2"/>
    <s v="Kuwaiti"/>
    <n v="45"/>
    <s v="45+"/>
    <n v="2"/>
    <n v="1"/>
    <n v="12700"/>
    <n v="520.70000000000005"/>
  </r>
  <r>
    <s v="FN-00532"/>
    <x v="111"/>
    <s v="C0148"/>
    <x v="0"/>
    <x v="3"/>
    <x v="0"/>
    <n v="113700"/>
    <n v="7.4300000000000005E-2"/>
    <n v="84"/>
    <s v="OFF-KUW-3"/>
    <x v="0"/>
    <d v="2026-05-04T00:00:00"/>
    <x v="1"/>
    <s v="Kuwaiti"/>
    <n v="66"/>
    <s v="45+"/>
    <n v="11"/>
    <n v="1"/>
    <n v="113700"/>
    <n v="8447.91"/>
  </r>
  <r>
    <s v="FN-00428"/>
    <x v="112"/>
    <s v="C0052"/>
    <x v="1"/>
    <x v="0"/>
    <x v="1"/>
    <n v="23600"/>
    <n v="5.5300000000000002E-2"/>
    <n v="60"/>
    <s v="OFF-HAW-1"/>
    <x v="1"/>
    <d v="2026-04-26T00:00:00"/>
    <x v="0"/>
    <s v="Kuwaiti"/>
    <n v="25"/>
    <s v="Under 30"/>
    <n v="2"/>
    <n v="0"/>
    <n v="0"/>
    <n v="0"/>
  </r>
  <r>
    <s v="FN-00429"/>
    <x v="112"/>
    <s v="C0801"/>
    <x v="3"/>
    <x v="3"/>
    <x v="0"/>
    <n v="72300"/>
    <n v="6.1499999999999999E-2"/>
    <n v="36"/>
    <s v="OFF-FAR-1"/>
    <x v="1"/>
    <d v="2026-05-03T00:00:00"/>
    <x v="0"/>
    <s v="Kuwaiti"/>
    <n v="48"/>
    <s v="45+"/>
    <n v="9"/>
    <n v="0"/>
    <n v="0"/>
    <n v="0"/>
  </r>
  <r>
    <s v="FN-00458"/>
    <x v="112"/>
    <s v="C0297"/>
    <x v="0"/>
    <x v="2"/>
    <x v="1"/>
    <n v="11400"/>
    <n v="3.9199999999999999E-2"/>
    <n v="36"/>
    <s v="OFF-KUW-1"/>
    <x v="1"/>
    <d v="2026-04-27T00:00:00"/>
    <x v="1"/>
    <s v="Non-Kuwaiti"/>
    <n v="44"/>
    <s v="30-44"/>
    <n v="3"/>
    <n v="0"/>
    <n v="0"/>
    <n v="0"/>
  </r>
  <r>
    <s v="FN-00470"/>
    <x v="112"/>
    <s v="C0829"/>
    <x v="4"/>
    <x v="3"/>
    <x v="2"/>
    <n v="125100"/>
    <n v="6.1499999999999999E-2"/>
    <n v="84"/>
    <s v="OFF-AHM-2"/>
    <x v="0"/>
    <d v="2026-05-02T00:00:00"/>
    <x v="0"/>
    <s v="Kuwaiti"/>
    <n v="22"/>
    <s v="Under 30"/>
    <n v="8"/>
    <n v="1"/>
    <n v="125100"/>
    <n v="7693.65"/>
  </r>
  <r>
    <s v="FN-00477"/>
    <x v="112"/>
    <s v="C0595"/>
    <x v="0"/>
    <x v="0"/>
    <x v="0"/>
    <n v="25000"/>
    <n v="6.6600000000000006E-2"/>
    <n v="12"/>
    <s v="OFF-KUW-3"/>
    <x v="0"/>
    <d v="2026-04-29T00:00:00"/>
    <x v="0"/>
    <s v="Non-Kuwaiti"/>
    <n v="47"/>
    <s v="45+"/>
    <n v="5"/>
    <n v="1"/>
    <n v="25000"/>
    <n v="1665.0000000000002"/>
  </r>
  <r>
    <s v="FN-00471"/>
    <x v="113"/>
    <s v="C0948"/>
    <x v="0"/>
    <x v="0"/>
    <x v="0"/>
    <n v="22600"/>
    <n v="6.2899999999999998E-2"/>
    <n v="36"/>
    <s v="OFF-KUW-1"/>
    <x v="0"/>
    <d v="2026-04-29T00:00:00"/>
    <x v="1"/>
    <s v="Non-Kuwaiti"/>
    <n v="27"/>
    <s v="Under 30"/>
    <n v="4"/>
    <n v="1"/>
    <n v="22600"/>
    <n v="1421.54"/>
  </r>
  <r>
    <s v="FN-00489"/>
    <x v="113"/>
    <s v="C0662"/>
    <x v="0"/>
    <x v="0"/>
    <x v="2"/>
    <n v="6400"/>
    <n v="5.4600000000000003E-2"/>
    <n v="48"/>
    <s v="OFF-KUW-1"/>
    <x v="0"/>
    <d v="2026-04-30T00:00:00"/>
    <x v="0"/>
    <s v="Kuwaiti"/>
    <n v="30"/>
    <s v="30-44"/>
    <n v="5"/>
    <n v="1"/>
    <n v="6400"/>
    <n v="349.44"/>
  </r>
  <r>
    <s v="FN-00431"/>
    <x v="114"/>
    <s v="C0701"/>
    <x v="3"/>
    <x v="0"/>
    <x v="0"/>
    <n v="14400"/>
    <n v="5.04E-2"/>
    <n v="36"/>
    <s v="OFF-FAR-1"/>
    <x v="0"/>
    <d v="2026-05-03T00:00:00"/>
    <x v="2"/>
    <s v="Kuwaiti"/>
    <n v="40"/>
    <s v="30-44"/>
    <n v="7"/>
    <n v="1"/>
    <n v="14400"/>
    <n v="725.76"/>
  </r>
  <r>
    <s v="FN-00439"/>
    <x v="114"/>
    <s v="C0559"/>
    <x v="0"/>
    <x v="0"/>
    <x v="1"/>
    <n v="6600"/>
    <n v="6.4899999999999999E-2"/>
    <n v="24"/>
    <s v="OFF-KUW-1"/>
    <x v="1"/>
    <d v="2026-04-28T00:00:00"/>
    <x v="1"/>
    <s v="Kuwaiti"/>
    <n v="26"/>
    <s v="Under 30"/>
    <n v="2"/>
    <n v="0"/>
    <n v="0"/>
    <n v="0"/>
  </r>
  <r>
    <s v="FN-00455"/>
    <x v="114"/>
    <s v="C0485"/>
    <x v="1"/>
    <x v="2"/>
    <x v="0"/>
    <n v="12300"/>
    <n v="4.0300000000000002E-2"/>
    <n v="48"/>
    <s v="OFF-HAW-1"/>
    <x v="0"/>
    <d v="2026-04-30T00:00:00"/>
    <x v="0"/>
    <s v="Non-Kuwaiti"/>
    <n v="26"/>
    <s v="Under 30"/>
    <n v="4"/>
    <n v="1"/>
    <n v="12300"/>
    <n v="495.69000000000005"/>
  </r>
  <r>
    <s v="FN-00468"/>
    <x v="114"/>
    <s v="C0445"/>
    <x v="4"/>
    <x v="2"/>
    <x v="0"/>
    <n v="8200"/>
    <n v="4.7399999999999998E-2"/>
    <n v="60"/>
    <s v="OFF-AHM-2"/>
    <x v="0"/>
    <d v="2026-04-29T00:00:00"/>
    <x v="0"/>
    <s v="Kuwaiti"/>
    <n v="26"/>
    <s v="Under 30"/>
    <n v="3"/>
    <n v="1"/>
    <n v="8200"/>
    <n v="388.68"/>
  </r>
  <r>
    <s v="FN-00540"/>
    <x v="114"/>
    <s v="C0797"/>
    <x v="2"/>
    <x v="0"/>
    <x v="1"/>
    <n v="21700"/>
    <n v="6.8199999999999997E-2"/>
    <n v="36"/>
    <s v="OFF-SAL-1"/>
    <x v="1"/>
    <d v="2026-04-28T00:00:00"/>
    <x v="1"/>
    <s v="Non-Kuwaiti"/>
    <n v="26"/>
    <s v="Under 30"/>
    <n v="2"/>
    <n v="0"/>
    <n v="0"/>
    <n v="0"/>
  </r>
  <r>
    <s v="FN-00446"/>
    <x v="115"/>
    <s v="C0083"/>
    <x v="0"/>
    <x v="0"/>
    <x v="0"/>
    <n v="25000"/>
    <n v="5.0200000000000002E-2"/>
    <n v="48"/>
    <s v="OFF-KUW-2"/>
    <x v="0"/>
    <d v="2026-05-03T00:00:00"/>
    <x v="2"/>
    <s v="Kuwaiti"/>
    <n v="41"/>
    <s v="30-44"/>
    <n v="6"/>
    <n v="1"/>
    <n v="25000"/>
    <n v="1255"/>
  </r>
  <r>
    <s v="FN-00413"/>
    <x v="116"/>
    <s v="C0314"/>
    <x v="5"/>
    <x v="0"/>
    <x v="1"/>
    <n v="11400"/>
    <n v="6.1899999999999997E-2"/>
    <n v="36"/>
    <s v="OFF-JAH-3"/>
    <x v="0"/>
    <d v="2026-04-28T00:00:00"/>
    <x v="1"/>
    <s v="Non-Kuwaiti"/>
    <n v="27"/>
    <s v="Under 30"/>
    <n v="0"/>
    <n v="1"/>
    <n v="11400"/>
    <n v="705.66"/>
  </r>
  <r>
    <s v="FN-00445"/>
    <x v="116"/>
    <s v="C0107"/>
    <x v="2"/>
    <x v="2"/>
    <x v="0"/>
    <n v="8200"/>
    <n v="4.2000000000000003E-2"/>
    <n v="48"/>
    <s v="OFF-SAL-3"/>
    <x v="0"/>
    <d v="2026-04-30T00:00:00"/>
    <x v="1"/>
    <s v="Kuwaiti"/>
    <n v="42"/>
    <s v="30-44"/>
    <n v="2"/>
    <n v="1"/>
    <n v="8200"/>
    <n v="344.40000000000003"/>
  </r>
  <r>
    <s v="FN-00474"/>
    <x v="116"/>
    <s v="C0152"/>
    <x v="1"/>
    <x v="0"/>
    <x v="0"/>
    <n v="18300"/>
    <n v="5.9200000000000003E-2"/>
    <n v="24"/>
    <s v="OFF-HAW-3"/>
    <x v="0"/>
    <d v="2026-05-02T00:00:00"/>
    <x v="1"/>
    <s v="Kuwaiti"/>
    <n v="46"/>
    <s v="45+"/>
    <n v="4"/>
    <n v="1"/>
    <n v="18300"/>
    <n v="1083.3600000000001"/>
  </r>
  <r>
    <s v="FN-00485"/>
    <x v="116"/>
    <s v="C0784"/>
    <x v="1"/>
    <x v="0"/>
    <x v="2"/>
    <n v="10500"/>
    <n v="6.08E-2"/>
    <n v="36"/>
    <s v="OFF-HAW-2"/>
    <x v="0"/>
    <d v="2026-05-02T00:00:00"/>
    <x v="1"/>
    <s v="Kuwaiti"/>
    <n v="31"/>
    <s v="30-44"/>
    <n v="4"/>
    <n v="1"/>
    <n v="10500"/>
    <n v="638.4"/>
  </r>
  <r>
    <s v="FN-00440"/>
    <x v="117"/>
    <s v="C0674"/>
    <x v="3"/>
    <x v="3"/>
    <x v="0"/>
    <n v="93100"/>
    <n v="7.2300000000000003E-2"/>
    <n v="60"/>
    <s v="OFF-FAR-1"/>
    <x v="0"/>
    <d v="2026-05-20T00:00:00"/>
    <x v="2"/>
    <s v="Non-Kuwaiti"/>
    <n v="30"/>
    <s v="30-44"/>
    <n v="21"/>
    <n v="1"/>
    <n v="93100"/>
    <n v="6731.13"/>
  </r>
  <r>
    <s v="FN-00496"/>
    <x v="117"/>
    <s v="C0816"/>
    <x v="3"/>
    <x v="0"/>
    <x v="0"/>
    <n v="22100"/>
    <n v="6.8599999999999994E-2"/>
    <n v="36"/>
    <s v="OFF-FAR-3"/>
    <x v="0"/>
    <d v="2026-05-06T00:00:00"/>
    <x v="1"/>
    <s v="Kuwaiti"/>
    <n v="24"/>
    <s v="Under 30"/>
    <n v="7"/>
    <n v="1"/>
    <n v="22100"/>
    <n v="1516.06"/>
  </r>
  <r>
    <s v="FN-00518"/>
    <x v="117"/>
    <s v="C0272"/>
    <x v="0"/>
    <x v="0"/>
    <x v="0"/>
    <n v="22800"/>
    <n v="5.7299999999999997E-2"/>
    <n v="12"/>
    <s v="OFF-KUW-2"/>
    <x v="0"/>
    <d v="2026-05-03T00:00:00"/>
    <x v="1"/>
    <s v="Non-Kuwaiti"/>
    <n v="71"/>
    <s v="45+"/>
    <n v="4"/>
    <n v="1"/>
    <n v="22800"/>
    <n v="1306.4399999999998"/>
  </r>
  <r>
    <s v="FN-00524"/>
    <x v="117"/>
    <s v="C0507"/>
    <x v="3"/>
    <x v="0"/>
    <x v="1"/>
    <n v="7300"/>
    <n v="6.8900000000000003E-2"/>
    <n v="48"/>
    <s v="OFF-FAR-2"/>
    <x v="0"/>
    <d v="2026-05-04T00:00:00"/>
    <x v="1"/>
    <s v="Kuwaiti"/>
    <n v="31"/>
    <s v="30-44"/>
    <n v="5"/>
    <n v="1"/>
    <n v="7300"/>
    <n v="502.97"/>
  </r>
  <r>
    <s v="FN-00538"/>
    <x v="117"/>
    <s v="C0250"/>
    <x v="1"/>
    <x v="2"/>
    <x v="1"/>
    <n v="11500"/>
    <n v="3.9100000000000003E-2"/>
    <n v="36"/>
    <s v="OFF-HAW-1"/>
    <x v="0"/>
    <d v="2026-05-01T00:00:00"/>
    <x v="0"/>
    <s v="Kuwaiti"/>
    <n v="25"/>
    <s v="Under 30"/>
    <n v="2"/>
    <n v="1"/>
    <n v="11500"/>
    <n v="449.65000000000003"/>
  </r>
  <r>
    <s v="FN-00411"/>
    <x v="118"/>
    <s v="C0622"/>
    <x v="2"/>
    <x v="0"/>
    <x v="0"/>
    <n v="18300"/>
    <n v="5.0900000000000001E-2"/>
    <n v="12"/>
    <s v="OFF-SAL-3"/>
    <x v="1"/>
    <d v="2026-05-03T00:00:00"/>
    <x v="0"/>
    <s v="Non-Kuwaiti"/>
    <n v="39"/>
    <s v="30-44"/>
    <n v="3"/>
    <n v="0"/>
    <n v="0"/>
    <n v="0"/>
  </r>
  <r>
    <s v="FN-00483"/>
    <x v="118"/>
    <s v="C0536"/>
    <x v="1"/>
    <x v="2"/>
    <x v="0"/>
    <n v="6700"/>
    <n v="4.2299999999999997E-2"/>
    <n v="36"/>
    <s v="OFF-HAW-3"/>
    <x v="0"/>
    <d v="2026-05-02T00:00:00"/>
    <x v="1"/>
    <s v="Kuwaiti"/>
    <n v="27"/>
    <s v="Under 30"/>
    <n v="2"/>
    <n v="1"/>
    <n v="6700"/>
    <n v="283.40999999999997"/>
  </r>
  <r>
    <s v="FN-00486"/>
    <x v="118"/>
    <s v="C0198"/>
    <x v="0"/>
    <x v="3"/>
    <x v="0"/>
    <n v="104600"/>
    <n v="6.8599999999999994E-2"/>
    <n v="24"/>
    <s v="OFF-KUW-1"/>
    <x v="0"/>
    <d v="2026-05-18T00:00:00"/>
    <x v="1"/>
    <s v="Kuwaiti"/>
    <n v="69"/>
    <s v="45+"/>
    <n v="18"/>
    <n v="1"/>
    <n v="104600"/>
    <n v="7175.5599999999995"/>
  </r>
  <r>
    <s v="FN-00502"/>
    <x v="118"/>
    <s v="C0374"/>
    <x v="3"/>
    <x v="1"/>
    <x v="0"/>
    <n v="151100"/>
    <n v="4.1000000000000002E-2"/>
    <n v="120"/>
    <s v="OFF-FAR-1"/>
    <x v="0"/>
    <d v="2026-05-10T00:00:00"/>
    <x v="1"/>
    <s v="Non-Kuwaiti"/>
    <n v="34"/>
    <s v="30-44"/>
    <n v="10"/>
    <n v="1"/>
    <n v="151100"/>
    <n v="6195.1"/>
  </r>
  <r>
    <s v="FN-00537"/>
    <x v="118"/>
    <s v="C0532"/>
    <x v="0"/>
    <x v="2"/>
    <x v="0"/>
    <n v="19800"/>
    <n v="4.7100000000000003E-2"/>
    <n v="60"/>
    <s v="OFF-KUW-3"/>
    <x v="0"/>
    <d v="2026-05-04T00:00:00"/>
    <x v="2"/>
    <s v="Kuwaiti"/>
    <n v="32"/>
    <s v="30-44"/>
    <n v="4"/>
    <n v="1"/>
    <n v="19800"/>
    <n v="932.58"/>
  </r>
  <r>
    <s v="FN-00562"/>
    <x v="119"/>
    <s v="C0240"/>
    <x v="4"/>
    <x v="1"/>
    <x v="0"/>
    <n v="115800"/>
    <n v="3.6799999999999999E-2"/>
    <n v="300"/>
    <s v="OFF-AHM-2"/>
    <x v="1"/>
    <d v="2026-05-25T00:00:00"/>
    <x v="0"/>
    <s v="Kuwaiti"/>
    <n v="52"/>
    <s v="45+"/>
    <n v="24"/>
    <n v="0"/>
    <n v="0"/>
    <n v="0"/>
  </r>
  <r>
    <s v="FN-00595"/>
    <x v="119"/>
    <s v="C0930"/>
    <x v="0"/>
    <x v="3"/>
    <x v="0"/>
    <n v="45600"/>
    <n v="7.3599999999999999E-2"/>
    <n v="36"/>
    <s v="OFF-KUW-3"/>
    <x v="1"/>
    <d v="2026-05-08T00:00:00"/>
    <x v="0"/>
    <s v="Non-Kuwaiti"/>
    <n v="24"/>
    <s v="Under 30"/>
    <n v="7"/>
    <n v="0"/>
    <n v="0"/>
    <n v="0"/>
  </r>
  <r>
    <s v="FN-00660"/>
    <x v="119"/>
    <s v="C0783"/>
    <x v="1"/>
    <x v="0"/>
    <x v="0"/>
    <n v="25000"/>
    <n v="5.8900000000000001E-2"/>
    <n v="60"/>
    <s v="OFF-HAW-2"/>
    <x v="1"/>
    <d v="2026-05-05T00:00:00"/>
    <x v="2"/>
    <s v="Kuwaiti"/>
    <n v="32"/>
    <s v="30-44"/>
    <n v="4"/>
    <n v="0"/>
    <n v="0"/>
    <n v="0"/>
  </r>
  <r>
    <s v="FN-00671"/>
    <x v="119"/>
    <s v="C0194"/>
    <x v="3"/>
    <x v="0"/>
    <x v="0"/>
    <n v="22200"/>
    <n v="6.3500000000000001E-2"/>
    <n v="48"/>
    <s v="OFF-FAR-2"/>
    <x v="0"/>
    <d v="2026-05-03T00:00:00"/>
    <x v="1"/>
    <s v="Kuwaiti"/>
    <n v="38"/>
    <s v="30-44"/>
    <n v="2"/>
    <n v="1"/>
    <n v="22200"/>
    <n v="1409.7"/>
  </r>
  <r>
    <s v="FN-00677"/>
    <x v="119"/>
    <s v="C0094"/>
    <x v="4"/>
    <x v="0"/>
    <x v="0"/>
    <n v="11800"/>
    <n v="5.2400000000000002E-2"/>
    <n v="36"/>
    <s v="OFF-AHM-2"/>
    <x v="1"/>
    <d v="2026-05-06T00:00:00"/>
    <x v="1"/>
    <s v="Kuwaiti"/>
    <n v="71"/>
    <s v="45+"/>
    <n v="5"/>
    <n v="0"/>
    <n v="0"/>
    <n v="0"/>
  </r>
  <r>
    <s v="FN-00564"/>
    <x v="120"/>
    <s v="C0251"/>
    <x v="0"/>
    <x v="2"/>
    <x v="0"/>
    <n v="11900"/>
    <n v="4.48E-2"/>
    <n v="48"/>
    <s v="OFF-KUW-2"/>
    <x v="0"/>
    <d v="2026-05-07T00:00:00"/>
    <x v="0"/>
    <s v="Kuwaiti"/>
    <n v="52"/>
    <s v="45+"/>
    <n v="5"/>
    <n v="1"/>
    <n v="11900"/>
    <n v="533.12"/>
  </r>
  <r>
    <s v="FN-00569"/>
    <x v="120"/>
    <s v="C0738"/>
    <x v="0"/>
    <x v="0"/>
    <x v="2"/>
    <n v="12000"/>
    <n v="6.1699999999999998E-2"/>
    <n v="60"/>
    <s v="OFF-KUW-3"/>
    <x v="0"/>
    <d v="2026-05-03T00:00:00"/>
    <x v="1"/>
    <s v="Kuwaiti"/>
    <n v="40"/>
    <s v="30-44"/>
    <n v="1"/>
    <n v="1"/>
    <n v="12000"/>
    <n v="740.4"/>
  </r>
  <r>
    <s v="FN-00615"/>
    <x v="120"/>
    <s v="C0384"/>
    <x v="3"/>
    <x v="3"/>
    <x v="0"/>
    <n v="55000"/>
    <n v="5.7299999999999997E-2"/>
    <n v="24"/>
    <s v="OFF-FAR-3"/>
    <x v="0"/>
    <d v="2026-05-13T00:00:00"/>
    <x v="0"/>
    <s v="Kuwaiti"/>
    <n v="50"/>
    <s v="45+"/>
    <n v="11"/>
    <n v="1"/>
    <n v="55000"/>
    <n v="3151.5"/>
  </r>
  <r>
    <s v="FN-00655"/>
    <x v="120"/>
    <s v="C0514"/>
    <x v="4"/>
    <x v="0"/>
    <x v="1"/>
    <n v="17500"/>
    <n v="6.6900000000000001E-2"/>
    <n v="36"/>
    <s v="OFF-AHM-2"/>
    <x v="1"/>
    <d v="2026-05-05T00:00:00"/>
    <x v="1"/>
    <s v="Non-Kuwaiti"/>
    <n v="33"/>
    <s v="30-44"/>
    <n v="3"/>
    <n v="0"/>
    <n v="0"/>
    <n v="0"/>
  </r>
  <r>
    <s v="FN-00674"/>
    <x v="120"/>
    <s v="C0094"/>
    <x v="1"/>
    <x v="3"/>
    <x v="0"/>
    <n v="97900"/>
    <n v="6.0499999999999998E-2"/>
    <n v="24"/>
    <s v="OFF-HAW-1"/>
    <x v="0"/>
    <d v="2026-05-20T00:00:00"/>
    <x v="1"/>
    <s v="Kuwaiti"/>
    <n v="71"/>
    <s v="45+"/>
    <n v="18"/>
    <n v="1"/>
    <n v="97900"/>
    <n v="5922.95"/>
  </r>
  <r>
    <s v="FN-00561"/>
    <x v="121"/>
    <s v="C0452"/>
    <x v="3"/>
    <x v="2"/>
    <x v="2"/>
    <n v="8800"/>
    <n v="4.1500000000000002E-2"/>
    <n v="60"/>
    <s v="OFF-FAR-2"/>
    <x v="0"/>
    <d v="2026-05-08T00:00:00"/>
    <x v="1"/>
    <s v="Kuwaiti"/>
    <n v="46"/>
    <s v="45+"/>
    <n v="5"/>
    <n v="1"/>
    <n v="8800"/>
    <n v="365.20000000000005"/>
  </r>
  <r>
    <s v="FN-00574"/>
    <x v="121"/>
    <s v="C0144"/>
    <x v="5"/>
    <x v="2"/>
    <x v="0"/>
    <n v="5800"/>
    <n v="4.87E-2"/>
    <n v="36"/>
    <s v="OFF-JAH-2"/>
    <x v="1"/>
    <d v="2026-05-06T00:00:00"/>
    <x v="1"/>
    <s v="Kuwaiti"/>
    <n v="27"/>
    <s v="Under 30"/>
    <n v="3"/>
    <n v="0"/>
    <n v="0"/>
    <n v="0"/>
  </r>
  <r>
    <s v="FN-00592"/>
    <x v="121"/>
    <s v="C0868"/>
    <x v="4"/>
    <x v="1"/>
    <x v="0"/>
    <n v="242100"/>
    <n v="3.3500000000000002E-2"/>
    <n v="180"/>
    <s v="OFF-AHM-1"/>
    <x v="0"/>
    <d v="2026-05-21T00:00:00"/>
    <x v="1"/>
    <s v="Non-Kuwaiti"/>
    <n v="29"/>
    <s v="Under 30"/>
    <n v="18"/>
    <n v="1"/>
    <n v="242100"/>
    <n v="8110.35"/>
  </r>
  <r>
    <s v="FN-00641"/>
    <x v="121"/>
    <s v="C0218"/>
    <x v="3"/>
    <x v="0"/>
    <x v="0"/>
    <n v="13000"/>
    <n v="6.7799999999999999E-2"/>
    <n v="48"/>
    <s v="OFF-FAR-3"/>
    <x v="0"/>
    <d v="2026-05-06T00:00:00"/>
    <x v="1"/>
    <s v="Kuwaiti"/>
    <n v="51"/>
    <s v="45+"/>
    <n v="3"/>
    <n v="1"/>
    <n v="13000"/>
    <n v="881.4"/>
  </r>
  <r>
    <s v="FN-00684"/>
    <x v="121"/>
    <s v="C0536"/>
    <x v="3"/>
    <x v="2"/>
    <x v="1"/>
    <n v="6800"/>
    <n v="0.04"/>
    <n v="48"/>
    <s v="OFF-FAR-2"/>
    <x v="0"/>
    <d v="2026-05-06T00:00:00"/>
    <x v="1"/>
    <s v="Kuwaiti"/>
    <n v="27"/>
    <s v="Under 30"/>
    <n v="3"/>
    <n v="1"/>
    <n v="6800"/>
    <n v="272"/>
  </r>
  <r>
    <s v="FN-00542"/>
    <x v="122"/>
    <s v="C0632"/>
    <x v="1"/>
    <x v="1"/>
    <x v="0"/>
    <n v="149300"/>
    <n v="3.6600000000000001E-2"/>
    <n v="180"/>
    <s v="OFF-HAW-2"/>
    <x v="1"/>
    <d v="2026-05-23T00:00:00"/>
    <x v="1"/>
    <s v="Kuwaiti"/>
    <n v="29"/>
    <s v="Under 30"/>
    <n v="19"/>
    <n v="0"/>
    <n v="0"/>
    <n v="0"/>
  </r>
  <r>
    <s v="FN-00550"/>
    <x v="122"/>
    <s v="C0617"/>
    <x v="2"/>
    <x v="2"/>
    <x v="0"/>
    <n v="5700"/>
    <n v="4.4200000000000003E-2"/>
    <n v="36"/>
    <s v="OFF-SAL-2"/>
    <x v="0"/>
    <d v="2026-05-09T00:00:00"/>
    <x v="0"/>
    <s v="Non-Kuwaiti"/>
    <n v="35"/>
    <s v="30-44"/>
    <n v="5"/>
    <n v="1"/>
    <n v="5700"/>
    <n v="251.94000000000003"/>
  </r>
  <r>
    <s v="FN-00556"/>
    <x v="122"/>
    <s v="C0090"/>
    <x v="0"/>
    <x v="0"/>
    <x v="1"/>
    <n v="6000"/>
    <n v="6.4100000000000004E-2"/>
    <n v="12"/>
    <s v="OFF-KUW-2"/>
    <x v="0"/>
    <d v="2026-05-04T00:00:00"/>
    <x v="1"/>
    <s v="Non-Kuwaiti"/>
    <n v="22"/>
    <s v="Under 30"/>
    <n v="0"/>
    <n v="1"/>
    <n v="6000"/>
    <n v="384.6"/>
  </r>
  <r>
    <s v="FN-00617"/>
    <x v="122"/>
    <s v="C0186"/>
    <x v="5"/>
    <x v="1"/>
    <x v="0"/>
    <n v="153000"/>
    <n v="4.2200000000000001E-2"/>
    <n v="120"/>
    <s v="OFF-JAH-2"/>
    <x v="0"/>
    <d v="2026-05-25T00:00:00"/>
    <x v="1"/>
    <s v="Kuwaiti"/>
    <n v="36"/>
    <s v="30-44"/>
    <n v="21"/>
    <n v="1"/>
    <n v="153000"/>
    <n v="6456.6"/>
  </r>
  <r>
    <s v="FN-00628"/>
    <x v="122"/>
    <s v="C0546"/>
    <x v="4"/>
    <x v="3"/>
    <x v="0"/>
    <n v="47900"/>
    <n v="7.7399999999999997E-2"/>
    <n v="24"/>
    <s v="OFF-AHM-1"/>
    <x v="0"/>
    <d v="2026-05-18T00:00:00"/>
    <x v="0"/>
    <s v="Kuwaiti"/>
    <n v="24"/>
    <s v="Under 30"/>
    <n v="14"/>
    <n v="1"/>
    <n v="47900"/>
    <n v="3707.46"/>
  </r>
  <r>
    <s v="FN-00638"/>
    <x v="122"/>
    <s v="C0812"/>
    <x v="2"/>
    <x v="2"/>
    <x v="1"/>
    <n v="6200"/>
    <n v="4.0899999999999999E-2"/>
    <n v="36"/>
    <s v="OFF-SAL-3"/>
    <x v="0"/>
    <d v="2026-05-05T00:00:00"/>
    <x v="1"/>
    <s v="Kuwaiti"/>
    <n v="44"/>
    <s v="30-44"/>
    <n v="1"/>
    <n v="1"/>
    <n v="6200"/>
    <n v="253.57999999999998"/>
  </r>
  <r>
    <s v="FN-00654"/>
    <x v="122"/>
    <s v="C0016"/>
    <x v="1"/>
    <x v="2"/>
    <x v="1"/>
    <n v="14100"/>
    <n v="4.3900000000000002E-2"/>
    <n v="36"/>
    <s v="OFF-HAW-2"/>
    <x v="0"/>
    <d v="2026-05-07T00:00:00"/>
    <x v="1"/>
    <s v="Non-Kuwaiti"/>
    <n v="43"/>
    <s v="30-44"/>
    <n v="3"/>
    <n v="1"/>
    <n v="14100"/>
    <n v="618.99"/>
  </r>
  <r>
    <s v="FN-00656"/>
    <x v="122"/>
    <s v="C0016"/>
    <x v="1"/>
    <x v="1"/>
    <x v="0"/>
    <n v="224100"/>
    <n v="3.3300000000000003E-2"/>
    <n v="180"/>
    <s v="OFF-HAW-2"/>
    <x v="1"/>
    <d v="2026-05-14T00:00:00"/>
    <x v="1"/>
    <s v="Non-Kuwaiti"/>
    <n v="43"/>
    <s v="30-44"/>
    <n v="10"/>
    <n v="0"/>
    <n v="0"/>
    <n v="0"/>
  </r>
  <r>
    <s v="FN-00589"/>
    <x v="123"/>
    <s v="C0687"/>
    <x v="3"/>
    <x v="2"/>
    <x v="1"/>
    <n v="15500"/>
    <n v="4.6600000000000003E-2"/>
    <n v="36"/>
    <s v="OFF-FAR-3"/>
    <x v="0"/>
    <d v="2026-05-06T00:00:00"/>
    <x v="0"/>
    <s v="Kuwaiti"/>
    <n v="46"/>
    <s v="45+"/>
    <n v="1"/>
    <n v="1"/>
    <n v="15500"/>
    <n v="722.30000000000007"/>
  </r>
  <r>
    <s v="FN-00665"/>
    <x v="123"/>
    <s v="C0340"/>
    <x v="2"/>
    <x v="2"/>
    <x v="2"/>
    <n v="13300"/>
    <n v="4.6800000000000001E-2"/>
    <n v="36"/>
    <s v="OFF-SAL-3"/>
    <x v="0"/>
    <d v="2026-05-08T00:00:00"/>
    <x v="1"/>
    <s v="Kuwaiti"/>
    <n v="56"/>
    <s v="45+"/>
    <n v="3"/>
    <n v="1"/>
    <n v="13300"/>
    <n v="622.44000000000005"/>
  </r>
  <r>
    <s v="FN-00576"/>
    <x v="124"/>
    <s v="C0381"/>
    <x v="0"/>
    <x v="1"/>
    <x v="0"/>
    <n v="290400"/>
    <n v="3.3500000000000002E-2"/>
    <n v="300"/>
    <s v="OFF-KUW-1"/>
    <x v="0"/>
    <d v="2026-05-25T00:00:00"/>
    <x v="2"/>
    <s v="Kuwaiti"/>
    <n v="45"/>
    <s v="45+"/>
    <n v="19"/>
    <n v="1"/>
    <n v="290400"/>
    <n v="9728.4000000000015"/>
  </r>
  <r>
    <s v="FN-00624"/>
    <x v="124"/>
    <s v="C0718"/>
    <x v="3"/>
    <x v="0"/>
    <x v="0"/>
    <n v="11600"/>
    <n v="5.0500000000000003E-2"/>
    <n v="12"/>
    <s v="OFF-FAR-2"/>
    <x v="0"/>
    <d v="2026-05-11T00:00:00"/>
    <x v="2"/>
    <s v="Non-Kuwaiti"/>
    <n v="54"/>
    <s v="45+"/>
    <n v="5"/>
    <n v="1"/>
    <n v="11600"/>
    <n v="585.80000000000007"/>
  </r>
  <r>
    <s v="FN-00644"/>
    <x v="124"/>
    <s v="C0377"/>
    <x v="3"/>
    <x v="1"/>
    <x v="0"/>
    <n v="81700"/>
    <n v="3.9E-2"/>
    <n v="120"/>
    <s v="OFF-FAR-2"/>
    <x v="0"/>
    <d v="2026-05-23T00:00:00"/>
    <x v="1"/>
    <s v="Kuwaiti"/>
    <n v="64"/>
    <s v="45+"/>
    <n v="17"/>
    <n v="1"/>
    <n v="81700"/>
    <n v="3186.3"/>
  </r>
  <r>
    <s v="FN-00661"/>
    <x v="124"/>
    <s v="C0049"/>
    <x v="0"/>
    <x v="0"/>
    <x v="0"/>
    <n v="25000"/>
    <n v="6.2E-2"/>
    <n v="24"/>
    <s v="OFF-KUW-1"/>
    <x v="0"/>
    <d v="2026-05-10T00:00:00"/>
    <x v="0"/>
    <s v="Kuwaiti"/>
    <n v="49"/>
    <s v="45+"/>
    <n v="4"/>
    <n v="1"/>
    <n v="25000"/>
    <n v="1550"/>
  </r>
  <r>
    <s v="FN-00662"/>
    <x v="124"/>
    <s v="C0211"/>
    <x v="4"/>
    <x v="2"/>
    <x v="0"/>
    <n v="7700"/>
    <n v="4.3200000000000002E-2"/>
    <n v="60"/>
    <s v="OFF-AHM-1"/>
    <x v="0"/>
    <d v="2026-05-09T00:00:00"/>
    <x v="0"/>
    <s v="Non-Kuwaiti"/>
    <n v="37"/>
    <s v="30-44"/>
    <n v="3"/>
    <n v="1"/>
    <n v="7700"/>
    <n v="332.64000000000004"/>
  </r>
  <r>
    <s v="FN-00663"/>
    <x v="124"/>
    <s v="C0867"/>
    <x v="4"/>
    <x v="2"/>
    <x v="1"/>
    <n v="4800"/>
    <n v="3.78E-2"/>
    <n v="60"/>
    <s v="OFF-AHM-2"/>
    <x v="0"/>
    <d v="2026-05-07T00:00:00"/>
    <x v="1"/>
    <s v="Kuwaiti"/>
    <n v="63"/>
    <s v="45+"/>
    <n v="1"/>
    <n v="1"/>
    <n v="4800"/>
    <n v="181.44"/>
  </r>
  <r>
    <s v="FN-00679"/>
    <x v="124"/>
    <s v="C0475"/>
    <x v="4"/>
    <x v="2"/>
    <x v="1"/>
    <n v="6700"/>
    <n v="4.9200000000000001E-2"/>
    <n v="36"/>
    <s v="OFF-AHM-3"/>
    <x v="0"/>
    <d v="2026-05-10T00:00:00"/>
    <x v="1"/>
    <s v="Kuwaiti"/>
    <n v="63"/>
    <s v="45+"/>
    <n v="4"/>
    <n v="1"/>
    <n v="6700"/>
    <n v="329.64"/>
  </r>
  <r>
    <s v="FN-00546"/>
    <x v="125"/>
    <s v="C0640"/>
    <x v="0"/>
    <x v="3"/>
    <x v="0"/>
    <n v="85100"/>
    <n v="5.7599999999999998E-2"/>
    <n v="84"/>
    <s v="OFF-KUW-3"/>
    <x v="1"/>
    <d v="2026-05-28T00:00:00"/>
    <x v="0"/>
    <s v="Kuwaiti"/>
    <n v="45"/>
    <s v="45+"/>
    <n v="21"/>
    <n v="0"/>
    <n v="0"/>
    <n v="0"/>
  </r>
  <r>
    <s v="FN-00548"/>
    <x v="125"/>
    <s v="C0184"/>
    <x v="1"/>
    <x v="2"/>
    <x v="0"/>
    <n v="8200"/>
    <n v="4.1799999999999997E-2"/>
    <n v="60"/>
    <s v="OFF-HAW-2"/>
    <x v="1"/>
    <d v="2026-05-11T00:00:00"/>
    <x v="1"/>
    <s v="Non-Kuwaiti"/>
    <n v="39"/>
    <s v="30-44"/>
    <n v="4"/>
    <n v="0"/>
    <n v="0"/>
    <n v="0"/>
  </r>
  <r>
    <s v="FN-00551"/>
    <x v="125"/>
    <s v="C0351"/>
    <x v="5"/>
    <x v="3"/>
    <x v="0"/>
    <n v="168900"/>
    <n v="7.7899999999999997E-2"/>
    <n v="60"/>
    <s v="OFF-JAH-3"/>
    <x v="0"/>
    <d v="2026-05-22T00:00:00"/>
    <x v="0"/>
    <s v="Kuwaiti"/>
    <n v="46"/>
    <s v="45+"/>
    <n v="15"/>
    <n v="1"/>
    <n v="168900"/>
    <n v="13157.31"/>
  </r>
  <r>
    <s v="FN-00565"/>
    <x v="125"/>
    <s v="C0112"/>
    <x v="5"/>
    <x v="0"/>
    <x v="2"/>
    <n v="20500"/>
    <n v="6.7299999999999999E-2"/>
    <n v="24"/>
    <s v="OFF-JAH-3"/>
    <x v="0"/>
    <d v="2026-05-10T00:00:00"/>
    <x v="1"/>
    <s v="Kuwaiti"/>
    <n v="50"/>
    <s v="45+"/>
    <n v="3"/>
    <n v="1"/>
    <n v="20500"/>
    <n v="1379.6499999999999"/>
  </r>
  <r>
    <s v="FN-00580"/>
    <x v="125"/>
    <s v="C0615"/>
    <x v="5"/>
    <x v="1"/>
    <x v="0"/>
    <n v="196000"/>
    <n v="3.6900000000000002E-2"/>
    <n v="180"/>
    <s v="OFF-JAH-2"/>
    <x v="0"/>
    <d v="2026-05-28T00:00:00"/>
    <x v="1"/>
    <s v="Kuwaiti"/>
    <n v="56"/>
    <s v="45+"/>
    <n v="21"/>
    <n v="1"/>
    <n v="196000"/>
    <n v="7232.4000000000005"/>
  </r>
  <r>
    <s v="FN-00593"/>
    <x v="125"/>
    <s v="C0454"/>
    <x v="3"/>
    <x v="0"/>
    <x v="0"/>
    <n v="22400"/>
    <n v="5.8200000000000002E-2"/>
    <n v="48"/>
    <s v="OFF-FAR-1"/>
    <x v="0"/>
    <d v="2026-05-11T00:00:00"/>
    <x v="1"/>
    <s v="Kuwaiti"/>
    <n v="32"/>
    <s v="30-44"/>
    <n v="4"/>
    <n v="1"/>
    <n v="22400"/>
    <n v="1303.68"/>
  </r>
  <r>
    <s v="FN-00639"/>
    <x v="125"/>
    <s v="C0187"/>
    <x v="3"/>
    <x v="2"/>
    <x v="0"/>
    <n v="15000"/>
    <n v="4.9399999999999999E-2"/>
    <n v="36"/>
    <s v="OFF-FAR-1"/>
    <x v="0"/>
    <d v="2026-05-09T00:00:00"/>
    <x v="1"/>
    <s v="Non-Kuwaiti"/>
    <n v="55"/>
    <s v="45+"/>
    <n v="2"/>
    <n v="1"/>
    <n v="15000"/>
    <n v="741"/>
  </r>
  <r>
    <s v="FN-00643"/>
    <x v="125"/>
    <s v="C0493"/>
    <x v="3"/>
    <x v="2"/>
    <x v="0"/>
    <n v="14000"/>
    <n v="4.6699999999999998E-2"/>
    <n v="48"/>
    <s v="OFF-FAR-1"/>
    <x v="0"/>
    <d v="2026-05-09T00:00:00"/>
    <x v="0"/>
    <s v="Kuwaiti"/>
    <n v="59"/>
    <s v="45+"/>
    <n v="2"/>
    <n v="1"/>
    <n v="14000"/>
    <n v="653.79999999999995"/>
  </r>
  <r>
    <s v="FN-00649"/>
    <x v="125"/>
    <s v="C0224"/>
    <x v="4"/>
    <x v="1"/>
    <x v="0"/>
    <n v="237700"/>
    <n v="4.2099999999999999E-2"/>
    <n v="300"/>
    <s v="OFF-AHM-2"/>
    <x v="0"/>
    <d v="2026-05-29T00:00:00"/>
    <x v="0"/>
    <s v="Non-Kuwaiti"/>
    <n v="44"/>
    <s v="30-44"/>
    <n v="22"/>
    <n v="1"/>
    <n v="237700"/>
    <n v="10007.17"/>
  </r>
  <r>
    <s v="FN-00668"/>
    <x v="125"/>
    <s v="C0880"/>
    <x v="4"/>
    <x v="1"/>
    <x v="2"/>
    <n v="80400"/>
    <n v="3.7499999999999999E-2"/>
    <n v="120"/>
    <s v="OFF-AHM-1"/>
    <x v="1"/>
    <d v="2026-05-21T00:00:00"/>
    <x v="1"/>
    <s v="Kuwaiti"/>
    <n v="24"/>
    <s v="Under 30"/>
    <n v="14"/>
    <n v="0"/>
    <n v="0"/>
    <n v="0"/>
  </r>
  <r>
    <s v="FN-00616"/>
    <x v="126"/>
    <s v="C0040"/>
    <x v="0"/>
    <x v="3"/>
    <x v="1"/>
    <n v="72100"/>
    <n v="5.62E-2"/>
    <n v="60"/>
    <s v="OFF-KUW-3"/>
    <x v="0"/>
    <d v="2026-05-21T00:00:00"/>
    <x v="0"/>
    <s v="Non-Kuwaiti"/>
    <n v="70"/>
    <s v="45+"/>
    <n v="13"/>
    <n v="1"/>
    <n v="72100"/>
    <n v="4052.02"/>
  </r>
  <r>
    <s v="FN-00622"/>
    <x v="126"/>
    <s v="C0311"/>
    <x v="0"/>
    <x v="0"/>
    <x v="2"/>
    <n v="5900"/>
    <n v="5.1900000000000002E-2"/>
    <n v="24"/>
    <s v="OFF-KUW-1"/>
    <x v="0"/>
    <d v="2026-05-15T00:00:00"/>
    <x v="1"/>
    <s v="Non-Kuwaiti"/>
    <n v="47"/>
    <s v="45+"/>
    <n v="7"/>
    <n v="1"/>
    <n v="5900"/>
    <n v="306.21000000000004"/>
  </r>
  <r>
    <s v="FN-00632"/>
    <x v="126"/>
    <s v="C0860"/>
    <x v="0"/>
    <x v="0"/>
    <x v="0"/>
    <n v="6000"/>
    <n v="5.6099999999999997E-2"/>
    <n v="48"/>
    <s v="OFF-KUW-1"/>
    <x v="0"/>
    <d v="2026-05-12T00:00:00"/>
    <x v="1"/>
    <s v="Kuwaiti"/>
    <n v="25"/>
    <s v="Under 30"/>
    <n v="4"/>
    <n v="1"/>
    <n v="6000"/>
    <n v="336.59999999999997"/>
  </r>
  <r>
    <s v="FN-00645"/>
    <x v="126"/>
    <s v="C0175"/>
    <x v="5"/>
    <x v="2"/>
    <x v="0"/>
    <n v="10600"/>
    <n v="4.9000000000000002E-2"/>
    <n v="36"/>
    <s v="OFF-JAH-2"/>
    <x v="0"/>
    <d v="2026-05-12T00:00:00"/>
    <x v="1"/>
    <s v="Kuwaiti"/>
    <n v="27"/>
    <s v="Under 30"/>
    <n v="4"/>
    <n v="1"/>
    <n v="10600"/>
    <n v="519.4"/>
  </r>
  <r>
    <s v="FN-00652"/>
    <x v="126"/>
    <s v="C0600"/>
    <x v="1"/>
    <x v="2"/>
    <x v="0"/>
    <n v="10200"/>
    <n v="4.8300000000000003E-2"/>
    <n v="48"/>
    <s v="OFF-HAW-3"/>
    <x v="0"/>
    <d v="2026-05-12T00:00:00"/>
    <x v="0"/>
    <s v="Kuwaiti"/>
    <n v="28"/>
    <s v="Under 30"/>
    <n v="4"/>
    <n v="1"/>
    <n v="10200"/>
    <n v="492.66"/>
  </r>
  <r>
    <s v="FN-00685"/>
    <x v="126"/>
    <s v="C0685"/>
    <x v="3"/>
    <x v="3"/>
    <x v="0"/>
    <n v="28800"/>
    <n v="7.9299999999999995E-2"/>
    <n v="60"/>
    <s v="OFF-FAR-1"/>
    <x v="1"/>
    <d v="2026-05-20T00:00:00"/>
    <x v="0"/>
    <s v="Non-Kuwaiti"/>
    <n v="22"/>
    <s v="Under 30"/>
    <n v="12"/>
    <n v="0"/>
    <n v="0"/>
    <n v="0"/>
  </r>
  <r>
    <s v="FN-00584"/>
    <x v="127"/>
    <s v="C0364"/>
    <x v="2"/>
    <x v="2"/>
    <x v="0"/>
    <n v="4600"/>
    <n v="4.0599999999999997E-2"/>
    <n v="60"/>
    <s v="OFF-SAL-3"/>
    <x v="0"/>
    <d v="2026-05-12T00:00:00"/>
    <x v="0"/>
    <s v="Kuwaiti"/>
    <n v="39"/>
    <s v="30-44"/>
    <n v="2"/>
    <n v="1"/>
    <n v="4600"/>
    <n v="186.76"/>
  </r>
  <r>
    <s v="FN-00602"/>
    <x v="127"/>
    <s v="C0177"/>
    <x v="0"/>
    <x v="2"/>
    <x v="0"/>
    <n v="5800"/>
    <n v="3.8800000000000001E-2"/>
    <n v="60"/>
    <s v="OFF-KUW-2"/>
    <x v="0"/>
    <d v="2026-05-12T00:00:00"/>
    <x v="1"/>
    <s v="Kuwaiti"/>
    <n v="39"/>
    <s v="30-44"/>
    <n v="2"/>
    <n v="1"/>
    <n v="5800"/>
    <n v="225.04000000000002"/>
  </r>
  <r>
    <s v="FN-00672"/>
    <x v="127"/>
    <s v="C0043"/>
    <x v="1"/>
    <x v="3"/>
    <x v="2"/>
    <n v="135800"/>
    <n v="6.2199999999999998E-2"/>
    <n v="36"/>
    <s v="OFF-HAW-2"/>
    <x v="0"/>
    <d v="2026-05-20T00:00:00"/>
    <x v="1"/>
    <s v="Kuwaiti"/>
    <n v="25"/>
    <s v="Under 30"/>
    <n v="10"/>
    <n v="1"/>
    <n v="135800"/>
    <n v="8446.76"/>
  </r>
  <r>
    <s v="FN-00570"/>
    <x v="128"/>
    <s v="C0753"/>
    <x v="2"/>
    <x v="1"/>
    <x v="1"/>
    <n v="88000"/>
    <n v="3.3500000000000002E-2"/>
    <n v="120"/>
    <s v="OFF-SAL-1"/>
    <x v="1"/>
    <d v="2026-05-22T00:00:00"/>
    <x v="0"/>
    <s v="Kuwaiti"/>
    <n v="31"/>
    <s v="30-44"/>
    <n v="11"/>
    <n v="0"/>
    <n v="0"/>
    <n v="0"/>
  </r>
  <r>
    <s v="FN-00625"/>
    <x v="128"/>
    <s v="C0015"/>
    <x v="4"/>
    <x v="2"/>
    <x v="0"/>
    <n v="10800"/>
    <n v="3.5900000000000001E-2"/>
    <n v="36"/>
    <s v="OFF-AHM-1"/>
    <x v="1"/>
    <d v="2026-05-13T00:00:00"/>
    <x v="0"/>
    <s v="Kuwaiti"/>
    <n v="56"/>
    <s v="45+"/>
    <n v="2"/>
    <n v="0"/>
    <n v="0"/>
    <n v="0"/>
  </r>
  <r>
    <s v="FN-00690"/>
    <x v="128"/>
    <s v="C0206"/>
    <x v="4"/>
    <x v="1"/>
    <x v="0"/>
    <n v="169100"/>
    <n v="3.0499999999999999E-2"/>
    <n v="120"/>
    <s v="OFF-AHM-1"/>
    <x v="0"/>
    <d v="2026-06-01T00:00:00"/>
    <x v="2"/>
    <s v="Non-Kuwaiti"/>
    <n v="67"/>
    <s v="45+"/>
    <n v="21"/>
    <n v="1"/>
    <n v="169100"/>
    <n v="5157.55"/>
  </r>
  <r>
    <s v="FN-00552"/>
    <x v="129"/>
    <s v="C0473"/>
    <x v="2"/>
    <x v="3"/>
    <x v="0"/>
    <n v="107100"/>
    <n v="5.79E-2"/>
    <n v="36"/>
    <s v="OFF-SAL-1"/>
    <x v="0"/>
    <d v="2026-05-23T00:00:00"/>
    <x v="0"/>
    <s v="Kuwaiti"/>
    <n v="53"/>
    <s v="45+"/>
    <n v="11"/>
    <n v="1"/>
    <n v="107100"/>
    <n v="6201.09"/>
  </r>
  <r>
    <s v="FN-00578"/>
    <x v="129"/>
    <s v="C0902"/>
    <x v="3"/>
    <x v="0"/>
    <x v="0"/>
    <n v="25000"/>
    <n v="5.5500000000000001E-2"/>
    <n v="60"/>
    <s v="OFF-FAR-3"/>
    <x v="1"/>
    <d v="2026-05-14T00:00:00"/>
    <x v="0"/>
    <s v="Non-Kuwaiti"/>
    <n v="48"/>
    <s v="45+"/>
    <n v="2"/>
    <n v="0"/>
    <n v="0"/>
    <n v="0"/>
  </r>
  <r>
    <s v="FN-00680"/>
    <x v="129"/>
    <s v="C0901"/>
    <x v="2"/>
    <x v="0"/>
    <x v="2"/>
    <n v="20200"/>
    <n v="5.8200000000000002E-2"/>
    <n v="24"/>
    <s v="OFF-SAL-3"/>
    <x v="0"/>
    <d v="2026-05-16T00:00:00"/>
    <x v="1"/>
    <s v="Kuwaiti"/>
    <n v="48"/>
    <s v="45+"/>
    <n v="4"/>
    <n v="1"/>
    <n v="20200"/>
    <n v="1175.6400000000001"/>
  </r>
  <r>
    <s v="FN-00541"/>
    <x v="130"/>
    <s v="C0759"/>
    <x v="5"/>
    <x v="0"/>
    <x v="1"/>
    <n v="10200"/>
    <n v="6.4799999999999996E-2"/>
    <n v="60"/>
    <s v="OFF-JAH-3"/>
    <x v="0"/>
    <d v="2026-05-20T00:00:00"/>
    <x v="0"/>
    <s v="Kuwaiti"/>
    <n v="38"/>
    <s v="30-44"/>
    <n v="7"/>
    <n v="1"/>
    <n v="10200"/>
    <n v="660.95999999999992"/>
  </r>
  <r>
    <s v="FN-00555"/>
    <x v="130"/>
    <s v="C0471"/>
    <x v="0"/>
    <x v="0"/>
    <x v="0"/>
    <n v="16400"/>
    <n v="5.5599999999999997E-2"/>
    <n v="36"/>
    <s v="OFF-KUW-2"/>
    <x v="0"/>
    <d v="2026-05-17T00:00:00"/>
    <x v="1"/>
    <s v="Kuwaiti"/>
    <n v="48"/>
    <s v="45+"/>
    <n v="4"/>
    <n v="1"/>
    <n v="16400"/>
    <n v="911.83999999999992"/>
  </r>
  <r>
    <s v="FN-00594"/>
    <x v="131"/>
    <s v="C0024"/>
    <x v="2"/>
    <x v="3"/>
    <x v="0"/>
    <n v="78600"/>
    <n v="7.7299999999999994E-2"/>
    <n v="60"/>
    <s v="OFF-SAL-2"/>
    <x v="1"/>
    <d v="2026-06-01T00:00:00"/>
    <x v="1"/>
    <s v="Kuwaiti"/>
    <n v="57"/>
    <s v="45+"/>
    <n v="18"/>
    <n v="0"/>
    <n v="0"/>
    <n v="0"/>
  </r>
  <r>
    <s v="FN-00642"/>
    <x v="131"/>
    <s v="C0537"/>
    <x v="0"/>
    <x v="0"/>
    <x v="0"/>
    <n v="6100"/>
    <n v="5.4199999999999998E-2"/>
    <n v="60"/>
    <s v="OFF-KUW-1"/>
    <x v="0"/>
    <d v="2026-05-15T00:00:00"/>
    <x v="0"/>
    <s v="Kuwaiti"/>
    <n v="26"/>
    <s v="Under 30"/>
    <n v="1"/>
    <n v="1"/>
    <n v="6100"/>
    <n v="330.62"/>
  </r>
  <r>
    <s v="FN-00670"/>
    <x v="131"/>
    <s v="C0832"/>
    <x v="1"/>
    <x v="3"/>
    <x v="0"/>
    <n v="53200"/>
    <n v="7.3099999999999998E-2"/>
    <n v="24"/>
    <s v="OFF-HAW-2"/>
    <x v="1"/>
    <d v="2026-05-31T00:00:00"/>
    <x v="1"/>
    <s v="Kuwaiti"/>
    <n v="42"/>
    <s v="30-44"/>
    <n v="17"/>
    <n v="0"/>
    <n v="0"/>
    <n v="0"/>
  </r>
  <r>
    <s v="FN-00566"/>
    <x v="132"/>
    <s v="C0945"/>
    <x v="3"/>
    <x v="2"/>
    <x v="1"/>
    <n v="15300"/>
    <n v="4.9599999999999998E-2"/>
    <n v="48"/>
    <s v="OFF-FAR-2"/>
    <x v="0"/>
    <d v="2026-05-19T00:00:00"/>
    <x v="0"/>
    <s v="Kuwaiti"/>
    <n v="48"/>
    <s v="45+"/>
    <n v="4"/>
    <n v="1"/>
    <n v="15300"/>
    <n v="758.88"/>
  </r>
  <r>
    <s v="FN-00588"/>
    <x v="132"/>
    <s v="C0287"/>
    <x v="2"/>
    <x v="3"/>
    <x v="1"/>
    <n v="119500"/>
    <n v="7.0999999999999994E-2"/>
    <n v="84"/>
    <s v="OFF-SAL-3"/>
    <x v="1"/>
    <d v="2026-05-23T00:00:00"/>
    <x v="1"/>
    <s v="Kuwaiti"/>
    <n v="35"/>
    <s v="30-44"/>
    <n v="8"/>
    <n v="0"/>
    <n v="0"/>
    <n v="0"/>
  </r>
  <r>
    <s v="FN-00601"/>
    <x v="132"/>
    <s v="C0206"/>
    <x v="0"/>
    <x v="0"/>
    <x v="2"/>
    <n v="3200"/>
    <n v="5.3699999999999998E-2"/>
    <n v="12"/>
    <s v="OFF-KUW-1"/>
    <x v="1"/>
    <d v="2026-05-19T00:00:00"/>
    <x v="2"/>
    <s v="Non-Kuwaiti"/>
    <n v="67"/>
    <s v="45+"/>
    <n v="4"/>
    <n v="0"/>
    <n v="0"/>
    <n v="0"/>
  </r>
  <r>
    <s v="FN-00614"/>
    <x v="132"/>
    <s v="C0226"/>
    <x v="5"/>
    <x v="2"/>
    <x v="1"/>
    <n v="10900"/>
    <n v="4.3700000000000003E-2"/>
    <n v="36"/>
    <s v="OFF-JAH-1"/>
    <x v="0"/>
    <d v="2026-05-15T00:00:00"/>
    <x v="0"/>
    <s v="Non-Kuwaiti"/>
    <n v="43"/>
    <s v="30-44"/>
    <n v="0"/>
    <n v="1"/>
    <n v="10900"/>
    <n v="476.33000000000004"/>
  </r>
  <r>
    <s v="FN-00620"/>
    <x v="132"/>
    <s v="C0178"/>
    <x v="0"/>
    <x v="3"/>
    <x v="2"/>
    <n v="112000"/>
    <n v="6.5100000000000005E-2"/>
    <n v="24"/>
    <s v="OFF-KUW-2"/>
    <x v="1"/>
    <d v="2026-06-04T00:00:00"/>
    <x v="2"/>
    <s v="Kuwaiti"/>
    <n v="24"/>
    <s v="Under 30"/>
    <n v="20"/>
    <n v="0"/>
    <n v="0"/>
    <n v="0"/>
  </r>
  <r>
    <s v="FN-00637"/>
    <x v="132"/>
    <s v="C0841"/>
    <x v="0"/>
    <x v="3"/>
    <x v="2"/>
    <n v="104300"/>
    <n v="7.9500000000000001E-2"/>
    <n v="84"/>
    <s v="OFF-KUW-1"/>
    <x v="0"/>
    <d v="2026-05-27T00:00:00"/>
    <x v="0"/>
    <s v="Kuwaiti"/>
    <n v="68"/>
    <s v="45+"/>
    <n v="12"/>
    <n v="1"/>
    <n v="104300"/>
    <n v="8291.85"/>
  </r>
  <r>
    <s v="FN-00651"/>
    <x v="132"/>
    <s v="C0210"/>
    <x v="5"/>
    <x v="0"/>
    <x v="1"/>
    <n v="2500"/>
    <n v="5.2200000000000003E-2"/>
    <n v="36"/>
    <s v="OFF-JAH-2"/>
    <x v="0"/>
    <d v="2026-05-19T00:00:00"/>
    <x v="0"/>
    <s v="Kuwaiti"/>
    <n v="42"/>
    <s v="30-44"/>
    <n v="4"/>
    <n v="1"/>
    <n v="2500"/>
    <n v="130.5"/>
  </r>
  <r>
    <s v="FN-00682"/>
    <x v="132"/>
    <s v="C0022"/>
    <x v="4"/>
    <x v="0"/>
    <x v="0"/>
    <n v="16600"/>
    <n v="6.0900000000000003E-2"/>
    <n v="60"/>
    <s v="OFF-AHM-2"/>
    <x v="0"/>
    <d v="2026-05-18T00:00:00"/>
    <x v="1"/>
    <s v="Kuwaiti"/>
    <n v="43"/>
    <s v="30-44"/>
    <n v="3"/>
    <n v="1"/>
    <n v="16600"/>
    <n v="1010.94"/>
  </r>
  <r>
    <s v="FN-00686"/>
    <x v="132"/>
    <s v="C0594"/>
    <x v="5"/>
    <x v="0"/>
    <x v="2"/>
    <n v="25000"/>
    <n v="5.8000000000000003E-2"/>
    <n v="24"/>
    <s v="OFF-JAH-3"/>
    <x v="0"/>
    <d v="2026-05-22T00:00:00"/>
    <x v="2"/>
    <s v="Kuwaiti"/>
    <n v="45"/>
    <s v="45+"/>
    <n v="7"/>
    <n v="1"/>
    <n v="25000"/>
    <n v="1450"/>
  </r>
  <r>
    <s v="FN-00585"/>
    <x v="133"/>
    <s v="C0146"/>
    <x v="4"/>
    <x v="2"/>
    <x v="0"/>
    <n v="8500"/>
    <n v="4.0300000000000002E-2"/>
    <n v="36"/>
    <s v="OFF-AHM-1"/>
    <x v="0"/>
    <d v="2026-05-18T00:00:00"/>
    <x v="1"/>
    <s v="Kuwaiti"/>
    <n v="62"/>
    <s v="45+"/>
    <n v="2"/>
    <n v="1"/>
    <n v="8500"/>
    <n v="342.55"/>
  </r>
  <r>
    <s v="FN-00673"/>
    <x v="133"/>
    <s v="C0550"/>
    <x v="2"/>
    <x v="0"/>
    <x v="0"/>
    <n v="3500"/>
    <n v="5.2999999999999999E-2"/>
    <n v="36"/>
    <s v="OFF-SAL-1"/>
    <x v="0"/>
    <d v="2026-05-20T00:00:00"/>
    <x v="2"/>
    <s v="Non-Kuwaiti"/>
    <n v="58"/>
    <s v="45+"/>
    <n v="4"/>
    <n v="1"/>
    <n v="3500"/>
    <n v="185.5"/>
  </r>
  <r>
    <s v="FN-00676"/>
    <x v="133"/>
    <s v="C0828"/>
    <x v="0"/>
    <x v="1"/>
    <x v="2"/>
    <n v="132300"/>
    <n v="3.8100000000000002E-2"/>
    <n v="300"/>
    <s v="OFF-KUW-1"/>
    <x v="1"/>
    <d v="2026-05-31T00:00:00"/>
    <x v="0"/>
    <s v="Non-Kuwaiti"/>
    <n v="23"/>
    <s v="Under 30"/>
    <n v="15"/>
    <n v="0"/>
    <n v="0"/>
    <n v="0"/>
  </r>
  <r>
    <s v="FN-00678"/>
    <x v="133"/>
    <s v="C0253"/>
    <x v="5"/>
    <x v="0"/>
    <x v="1"/>
    <n v="10900"/>
    <n v="6.7000000000000004E-2"/>
    <n v="12"/>
    <s v="OFF-JAH-3"/>
    <x v="1"/>
    <d v="2026-05-20T00:00:00"/>
    <x v="1"/>
    <s v="Non-Kuwaiti"/>
    <n v="25"/>
    <s v="Under 30"/>
    <n v="4"/>
    <n v="0"/>
    <n v="0"/>
    <n v="0"/>
  </r>
  <r>
    <s v="FN-00553"/>
    <x v="134"/>
    <s v="C0527"/>
    <x v="2"/>
    <x v="0"/>
    <x v="0"/>
    <n v="20000"/>
    <n v="5.8400000000000001E-2"/>
    <n v="24"/>
    <s v="OFF-SAL-1"/>
    <x v="1"/>
    <d v="2026-05-19T00:00:00"/>
    <x v="0"/>
    <s v="Non-Kuwaiti"/>
    <n v="29"/>
    <s v="Under 30"/>
    <n v="2"/>
    <n v="0"/>
    <n v="0"/>
    <n v="0"/>
  </r>
  <r>
    <s v="FN-00557"/>
    <x v="134"/>
    <s v="C0762"/>
    <x v="4"/>
    <x v="2"/>
    <x v="1"/>
    <n v="6500"/>
    <n v="4.5600000000000002E-2"/>
    <n v="60"/>
    <s v="OFF-AHM-2"/>
    <x v="0"/>
    <d v="2026-05-21T00:00:00"/>
    <x v="1"/>
    <s v="Kuwaiti"/>
    <n v="25"/>
    <s v="Under 30"/>
    <n v="4"/>
    <n v="1"/>
    <n v="6500"/>
    <n v="296.40000000000003"/>
  </r>
  <r>
    <s v="FN-00567"/>
    <x v="134"/>
    <s v="C0521"/>
    <x v="1"/>
    <x v="2"/>
    <x v="2"/>
    <n v="14500"/>
    <n v="4.0800000000000003E-2"/>
    <n v="48"/>
    <s v="OFF-HAW-3"/>
    <x v="0"/>
    <d v="2026-05-21T00:00:00"/>
    <x v="2"/>
    <s v="Kuwaiti"/>
    <n v="59"/>
    <s v="45+"/>
    <n v="4"/>
    <n v="1"/>
    <n v="14500"/>
    <n v="591.6"/>
  </r>
  <r>
    <s v="FN-00579"/>
    <x v="134"/>
    <s v="C0300"/>
    <x v="2"/>
    <x v="3"/>
    <x v="1"/>
    <n v="92300"/>
    <n v="7.9500000000000001E-2"/>
    <n v="84"/>
    <s v="OFF-SAL-1"/>
    <x v="1"/>
    <d v="2026-06-07T00:00:00"/>
    <x v="1"/>
    <s v="Kuwaiti"/>
    <n v="66"/>
    <s v="45+"/>
    <n v="21"/>
    <n v="0"/>
    <n v="0"/>
    <n v="0"/>
  </r>
  <r>
    <s v="FN-00590"/>
    <x v="134"/>
    <s v="C0507"/>
    <x v="2"/>
    <x v="2"/>
    <x v="1"/>
    <n v="12500"/>
    <n v="4.9700000000000001E-2"/>
    <n v="36"/>
    <s v="OFF-SAL-3"/>
    <x v="0"/>
    <d v="2026-05-19T00:00:00"/>
    <x v="1"/>
    <s v="Kuwaiti"/>
    <n v="31"/>
    <s v="30-44"/>
    <n v="2"/>
    <n v="1"/>
    <n v="12500"/>
    <n v="621.25"/>
  </r>
  <r>
    <s v="FN-00623"/>
    <x v="134"/>
    <s v="C0337"/>
    <x v="5"/>
    <x v="2"/>
    <x v="1"/>
    <n v="10900"/>
    <n v="3.7600000000000001E-2"/>
    <n v="48"/>
    <s v="OFF-JAH-2"/>
    <x v="0"/>
    <d v="2026-05-17T00:00:00"/>
    <x v="1"/>
    <s v="Kuwaiti"/>
    <n v="41"/>
    <s v="30-44"/>
    <n v="0"/>
    <n v="1"/>
    <n v="10900"/>
    <n v="409.84000000000003"/>
  </r>
  <r>
    <s v="FN-00627"/>
    <x v="134"/>
    <s v="C0948"/>
    <x v="2"/>
    <x v="3"/>
    <x v="0"/>
    <n v="41400"/>
    <n v="5.8099999999999999E-2"/>
    <n v="24"/>
    <s v="OFF-SAL-1"/>
    <x v="1"/>
    <d v="2026-06-03T00:00:00"/>
    <x v="1"/>
    <s v="Non-Kuwaiti"/>
    <n v="27"/>
    <s v="Under 30"/>
    <n v="17"/>
    <n v="0"/>
    <n v="0"/>
    <n v="0"/>
  </r>
  <r>
    <s v="FN-00650"/>
    <x v="134"/>
    <s v="C0830"/>
    <x v="3"/>
    <x v="0"/>
    <x v="0"/>
    <n v="8900"/>
    <n v="6.4199999999999993E-2"/>
    <n v="24"/>
    <s v="OFF-FAR-2"/>
    <x v="1"/>
    <d v="2026-05-24T00:00:00"/>
    <x v="0"/>
    <s v="Kuwaiti"/>
    <n v="32"/>
    <s v="30-44"/>
    <n v="7"/>
    <n v="0"/>
    <n v="0"/>
    <n v="0"/>
  </r>
  <r>
    <s v="FN-00664"/>
    <x v="134"/>
    <s v="C0094"/>
    <x v="0"/>
    <x v="2"/>
    <x v="0"/>
    <n v="7300"/>
    <n v="4.3700000000000003E-2"/>
    <n v="48"/>
    <s v="OFF-KUW-3"/>
    <x v="0"/>
    <d v="2026-05-18T00:00:00"/>
    <x v="1"/>
    <s v="Kuwaiti"/>
    <n v="71"/>
    <s v="45+"/>
    <n v="1"/>
    <n v="1"/>
    <n v="7300"/>
    <n v="319.01000000000005"/>
  </r>
  <r>
    <s v="FN-00667"/>
    <x v="134"/>
    <s v="C0661"/>
    <x v="0"/>
    <x v="2"/>
    <x v="0"/>
    <n v="6200"/>
    <n v="3.7499999999999999E-2"/>
    <n v="48"/>
    <s v="OFF-KUW-3"/>
    <x v="0"/>
    <d v="2026-05-21T00:00:00"/>
    <x v="1"/>
    <s v="Kuwaiti"/>
    <n v="64"/>
    <s v="45+"/>
    <n v="4"/>
    <n v="1"/>
    <n v="6200"/>
    <n v="232.5"/>
  </r>
  <r>
    <s v="FN-00604"/>
    <x v="135"/>
    <s v="C0538"/>
    <x v="4"/>
    <x v="2"/>
    <x v="1"/>
    <n v="11900"/>
    <n v="4.0099999999999997E-2"/>
    <n v="48"/>
    <s v="OFF-AHM-3"/>
    <x v="0"/>
    <d v="2026-05-21T00:00:00"/>
    <x v="1"/>
    <s v="Kuwaiti"/>
    <n v="26"/>
    <s v="Under 30"/>
    <n v="3"/>
    <n v="1"/>
    <n v="11900"/>
    <n v="477.18999999999994"/>
  </r>
  <r>
    <s v="FN-00607"/>
    <x v="135"/>
    <s v="C0463"/>
    <x v="0"/>
    <x v="1"/>
    <x v="2"/>
    <n v="156500"/>
    <n v="3.2399999999999998E-2"/>
    <n v="180"/>
    <s v="OFF-KUW-2"/>
    <x v="1"/>
    <d v="2026-06-12T00:00:00"/>
    <x v="1"/>
    <s v="Non-Kuwaiti"/>
    <n v="26"/>
    <s v="Under 30"/>
    <n v="25"/>
    <n v="0"/>
    <n v="0"/>
    <n v="0"/>
  </r>
  <r>
    <s v="FN-00653"/>
    <x v="135"/>
    <s v="C0235"/>
    <x v="1"/>
    <x v="0"/>
    <x v="2"/>
    <n v="2200"/>
    <n v="5.91E-2"/>
    <n v="36"/>
    <s v="OFF-HAW-2"/>
    <x v="0"/>
    <d v="2026-05-25T00:00:00"/>
    <x v="1"/>
    <s v="Kuwaiti"/>
    <n v="27"/>
    <s v="Under 30"/>
    <n v="7"/>
    <n v="1"/>
    <n v="2200"/>
    <n v="130.02000000000001"/>
  </r>
  <r>
    <s v="FN-00575"/>
    <x v="136"/>
    <s v="C0236"/>
    <x v="3"/>
    <x v="2"/>
    <x v="0"/>
    <n v="5600"/>
    <n v="4.7800000000000002E-2"/>
    <n v="36"/>
    <s v="OFF-FAR-2"/>
    <x v="0"/>
    <d v="2026-05-21T00:00:00"/>
    <x v="1"/>
    <s v="Kuwaiti"/>
    <n v="29"/>
    <s v="Under 30"/>
    <n v="2"/>
    <n v="1"/>
    <n v="5600"/>
    <n v="267.68"/>
  </r>
  <r>
    <s v="FN-00613"/>
    <x v="136"/>
    <s v="C0577"/>
    <x v="1"/>
    <x v="2"/>
    <x v="0"/>
    <n v="13000"/>
    <n v="4.4499999999999998E-2"/>
    <n v="36"/>
    <s v="OFF-HAW-1"/>
    <x v="0"/>
    <d v="2026-05-24T00:00:00"/>
    <x v="1"/>
    <s v="Kuwaiti"/>
    <n v="24"/>
    <s v="Under 30"/>
    <n v="5"/>
    <n v="1"/>
    <n v="13000"/>
    <n v="578.5"/>
  </r>
  <r>
    <s v="FN-00657"/>
    <x v="136"/>
    <s v="C0692"/>
    <x v="1"/>
    <x v="0"/>
    <x v="2"/>
    <n v="11200"/>
    <n v="6.3399999999999998E-2"/>
    <n v="60"/>
    <s v="OFF-HAW-3"/>
    <x v="0"/>
    <d v="2026-05-24T00:00:00"/>
    <x v="1"/>
    <s v="Kuwaiti"/>
    <n v="38"/>
    <s v="30-44"/>
    <n v="5"/>
    <n v="1"/>
    <n v="11200"/>
    <n v="710.07999999999993"/>
  </r>
  <r>
    <s v="FN-00583"/>
    <x v="137"/>
    <s v="C0339"/>
    <x v="5"/>
    <x v="0"/>
    <x v="0"/>
    <n v="6900"/>
    <n v="5.1999999999999998E-2"/>
    <n v="48"/>
    <s v="OFF-JAH-3"/>
    <x v="0"/>
    <d v="2026-05-23T00:00:00"/>
    <x v="0"/>
    <s v="Kuwaiti"/>
    <n v="35"/>
    <s v="30-44"/>
    <n v="3"/>
    <n v="1"/>
    <n v="6900"/>
    <n v="358.8"/>
  </r>
  <r>
    <s v="FN-00603"/>
    <x v="137"/>
    <s v="C0877"/>
    <x v="5"/>
    <x v="0"/>
    <x v="2"/>
    <n v="14200"/>
    <n v="5.3699999999999998E-2"/>
    <n v="12"/>
    <s v="OFF-JAH-2"/>
    <x v="0"/>
    <d v="2026-05-23T00:00:00"/>
    <x v="1"/>
    <s v="Kuwaiti"/>
    <n v="43"/>
    <s v="30-44"/>
    <n v="3"/>
    <n v="1"/>
    <n v="14200"/>
    <n v="762.54"/>
  </r>
  <r>
    <s v="FN-00634"/>
    <x v="137"/>
    <s v="C0061"/>
    <x v="3"/>
    <x v="2"/>
    <x v="0"/>
    <n v="14600"/>
    <n v="3.9199999999999999E-2"/>
    <n v="48"/>
    <s v="OFF-FAR-2"/>
    <x v="0"/>
    <d v="2026-05-25T00:00:00"/>
    <x v="0"/>
    <s v="Kuwaiti"/>
    <n v="24"/>
    <s v="Under 30"/>
    <n v="5"/>
    <n v="1"/>
    <n v="14600"/>
    <n v="572.31999999999994"/>
  </r>
  <r>
    <s v="FN-00683"/>
    <x v="137"/>
    <s v="C0514"/>
    <x v="0"/>
    <x v="2"/>
    <x v="0"/>
    <n v="4400"/>
    <n v="3.7999999999999999E-2"/>
    <n v="48"/>
    <s v="OFF-KUW-1"/>
    <x v="0"/>
    <d v="2026-05-24T00:00:00"/>
    <x v="1"/>
    <s v="Non-Kuwaiti"/>
    <n v="33"/>
    <s v="30-44"/>
    <n v="4"/>
    <n v="1"/>
    <n v="4400"/>
    <n v="167.2"/>
  </r>
  <r>
    <s v="FN-00560"/>
    <x v="138"/>
    <s v="C0558"/>
    <x v="3"/>
    <x v="1"/>
    <x v="1"/>
    <n v="60600"/>
    <n v="3.1E-2"/>
    <n v="120"/>
    <s v="OFF-FAR-1"/>
    <x v="0"/>
    <d v="2026-06-09T00:00:00"/>
    <x v="0"/>
    <s v="Kuwaiti"/>
    <n v="39"/>
    <s v="30-44"/>
    <n v="19"/>
    <n v="1"/>
    <n v="60600"/>
    <n v="1878.6"/>
  </r>
  <r>
    <s v="FN-00581"/>
    <x v="138"/>
    <s v="C0783"/>
    <x v="5"/>
    <x v="2"/>
    <x v="0"/>
    <n v="12500"/>
    <n v="3.8300000000000001E-2"/>
    <n v="48"/>
    <s v="OFF-JAH-3"/>
    <x v="0"/>
    <d v="2026-05-23T00:00:00"/>
    <x v="2"/>
    <s v="Kuwaiti"/>
    <n v="32"/>
    <s v="30-44"/>
    <n v="2"/>
    <n v="1"/>
    <n v="12500"/>
    <n v="478.75"/>
  </r>
  <r>
    <s v="FN-00681"/>
    <x v="138"/>
    <s v="C0820"/>
    <x v="3"/>
    <x v="0"/>
    <x v="0"/>
    <n v="24100"/>
    <n v="5.2299999999999999E-2"/>
    <n v="12"/>
    <s v="OFF-FAR-2"/>
    <x v="0"/>
    <d v="2026-05-27T00:00:00"/>
    <x v="1"/>
    <s v="Non-Kuwaiti"/>
    <n v="56"/>
    <s v="45+"/>
    <n v="6"/>
    <n v="1"/>
    <n v="24100"/>
    <n v="1260.43"/>
  </r>
  <r>
    <s v="FN-00549"/>
    <x v="139"/>
    <s v="C0739"/>
    <x v="1"/>
    <x v="3"/>
    <x v="2"/>
    <n v="48900"/>
    <n v="7.1800000000000003E-2"/>
    <n v="24"/>
    <s v="OFF-HAW-2"/>
    <x v="0"/>
    <d v="2026-06-01T00:00:00"/>
    <x v="1"/>
    <s v="Non-Kuwaiti"/>
    <n v="46"/>
    <s v="45+"/>
    <n v="10"/>
    <n v="1"/>
    <n v="48900"/>
    <n v="3511.02"/>
  </r>
  <r>
    <s v="FN-00563"/>
    <x v="139"/>
    <s v="C0678"/>
    <x v="0"/>
    <x v="0"/>
    <x v="0"/>
    <n v="16600"/>
    <n v="5.28E-2"/>
    <n v="24"/>
    <s v="OFF-KUW-2"/>
    <x v="0"/>
    <d v="2026-05-29T00:00:00"/>
    <x v="1"/>
    <s v="Non-Kuwaiti"/>
    <n v="48"/>
    <s v="45+"/>
    <n v="7"/>
    <n v="1"/>
    <n v="16600"/>
    <n v="876.48"/>
  </r>
  <r>
    <s v="FN-00586"/>
    <x v="139"/>
    <s v="C0935"/>
    <x v="2"/>
    <x v="2"/>
    <x v="1"/>
    <n v="11500"/>
    <n v="4.7300000000000002E-2"/>
    <n v="36"/>
    <s v="OFF-SAL-3"/>
    <x v="0"/>
    <d v="2026-05-23T00:00:00"/>
    <x v="2"/>
    <s v="Non-Kuwaiti"/>
    <n v="25"/>
    <s v="Under 30"/>
    <n v="1"/>
    <n v="1"/>
    <n v="11500"/>
    <n v="543.95000000000005"/>
  </r>
  <r>
    <s v="FN-00587"/>
    <x v="139"/>
    <s v="C0493"/>
    <x v="1"/>
    <x v="2"/>
    <x v="1"/>
    <n v="11200"/>
    <n v="4.4699999999999997E-2"/>
    <n v="36"/>
    <s v="OFF-HAW-1"/>
    <x v="1"/>
    <d v="2026-05-23T00:00:00"/>
    <x v="0"/>
    <s v="Kuwaiti"/>
    <n v="59"/>
    <s v="45+"/>
    <n v="1"/>
    <n v="0"/>
    <n v="0"/>
    <n v="0"/>
  </r>
  <r>
    <s v="FN-00597"/>
    <x v="139"/>
    <s v="C0147"/>
    <x v="1"/>
    <x v="0"/>
    <x v="1"/>
    <n v="22400"/>
    <n v="6.7699999999999996E-2"/>
    <n v="60"/>
    <s v="OFF-HAW-1"/>
    <x v="1"/>
    <d v="2026-05-29T00:00:00"/>
    <x v="1"/>
    <s v="Kuwaiti"/>
    <n v="40"/>
    <s v="30-44"/>
    <n v="7"/>
    <n v="0"/>
    <n v="0"/>
    <n v="0"/>
  </r>
  <r>
    <s v="FN-00611"/>
    <x v="139"/>
    <s v="C0822"/>
    <x v="0"/>
    <x v="0"/>
    <x v="0"/>
    <n v="19600"/>
    <n v="6.6500000000000004E-2"/>
    <n v="12"/>
    <s v="OFF-KUW-3"/>
    <x v="0"/>
    <d v="2026-05-29T00:00:00"/>
    <x v="0"/>
    <s v="Kuwaiti"/>
    <n v="29"/>
    <s v="Under 30"/>
    <n v="7"/>
    <n v="1"/>
    <n v="19600"/>
    <n v="1303.4000000000001"/>
  </r>
  <r>
    <s v="FN-00647"/>
    <x v="139"/>
    <s v="C0281"/>
    <x v="5"/>
    <x v="3"/>
    <x v="1"/>
    <n v="59700"/>
    <n v="7.3499999999999996E-2"/>
    <n v="84"/>
    <s v="OFF-JAH-2"/>
    <x v="1"/>
    <d v="2026-06-10T00:00:00"/>
    <x v="0"/>
    <s v="Non-Kuwaiti"/>
    <n v="22"/>
    <s v="Under 30"/>
    <n v="19"/>
    <n v="0"/>
    <n v="0"/>
    <n v="0"/>
  </r>
  <r>
    <s v="FN-00658"/>
    <x v="139"/>
    <s v="C0179"/>
    <x v="5"/>
    <x v="1"/>
    <x v="2"/>
    <n v="106400"/>
    <n v="4.0099999999999997E-2"/>
    <n v="240"/>
    <s v="OFF-JAH-1"/>
    <x v="0"/>
    <d v="2026-06-04T00:00:00"/>
    <x v="0"/>
    <s v="Kuwaiti"/>
    <n v="30"/>
    <s v="30-44"/>
    <n v="13"/>
    <n v="1"/>
    <n v="106400"/>
    <n v="4266.6399999999994"/>
  </r>
  <r>
    <s v="FN-00687"/>
    <x v="139"/>
    <s v="C0337"/>
    <x v="4"/>
    <x v="3"/>
    <x v="1"/>
    <n v="73300"/>
    <n v="7.3499999999999996E-2"/>
    <n v="60"/>
    <s v="OFF-AHM-3"/>
    <x v="0"/>
    <d v="2026-05-29T00:00:00"/>
    <x v="1"/>
    <s v="Kuwaiti"/>
    <n v="41"/>
    <s v="30-44"/>
    <n v="7"/>
    <n v="1"/>
    <n v="73300"/>
    <n v="5387.5499999999993"/>
  </r>
  <r>
    <s v="FN-00609"/>
    <x v="140"/>
    <s v="C0218"/>
    <x v="2"/>
    <x v="2"/>
    <x v="1"/>
    <n v="10400"/>
    <n v="4.7899999999999998E-2"/>
    <n v="60"/>
    <s v="OFF-SAL-1"/>
    <x v="0"/>
    <d v="2026-05-26T00:00:00"/>
    <x v="1"/>
    <s v="Kuwaiti"/>
    <n v="51"/>
    <s v="45+"/>
    <n v="3"/>
    <n v="1"/>
    <n v="10400"/>
    <n v="498.15999999999997"/>
  </r>
  <r>
    <s v="FN-00626"/>
    <x v="140"/>
    <s v="C0141"/>
    <x v="1"/>
    <x v="2"/>
    <x v="0"/>
    <n v="16000"/>
    <n v="3.8899999999999997E-2"/>
    <n v="36"/>
    <s v="OFF-HAW-1"/>
    <x v="0"/>
    <d v="2026-05-27T00:00:00"/>
    <x v="2"/>
    <s v="Non-Kuwaiti"/>
    <n v="22"/>
    <s v="Under 30"/>
    <n v="4"/>
    <n v="1"/>
    <n v="16000"/>
    <n v="622.4"/>
  </r>
  <r>
    <s v="FN-00629"/>
    <x v="140"/>
    <s v="C0279"/>
    <x v="0"/>
    <x v="0"/>
    <x v="0"/>
    <n v="2700"/>
    <n v="6.5199999999999994E-2"/>
    <n v="24"/>
    <s v="OFF-KUW-1"/>
    <x v="0"/>
    <d v="2026-05-24T00:00:00"/>
    <x v="1"/>
    <s v="Non-Kuwaiti"/>
    <n v="56"/>
    <s v="45+"/>
    <n v="1"/>
    <n v="1"/>
    <n v="2700"/>
    <n v="176.04"/>
  </r>
  <r>
    <s v="FN-00631"/>
    <x v="140"/>
    <s v="C0251"/>
    <x v="3"/>
    <x v="0"/>
    <x v="2"/>
    <n v="11500"/>
    <n v="5.6000000000000001E-2"/>
    <n v="12"/>
    <s v="OFF-FAR-2"/>
    <x v="1"/>
    <d v="2026-05-30T00:00:00"/>
    <x v="0"/>
    <s v="Kuwaiti"/>
    <n v="52"/>
    <s v="45+"/>
    <n v="7"/>
    <n v="0"/>
    <n v="0"/>
    <n v="0"/>
  </r>
  <r>
    <s v="FN-00543"/>
    <x v="141"/>
    <s v="C0838"/>
    <x v="0"/>
    <x v="1"/>
    <x v="0"/>
    <n v="227000"/>
    <n v="3.5999999999999997E-2"/>
    <n v="180"/>
    <s v="OFF-KUW-1"/>
    <x v="1"/>
    <d v="2026-06-23T00:00:00"/>
    <x v="2"/>
    <s v="Non-Kuwaiti"/>
    <n v="33"/>
    <s v="30-44"/>
    <n v="30"/>
    <n v="0"/>
    <n v="0"/>
    <n v="0"/>
  </r>
  <r>
    <s v="FN-00544"/>
    <x v="141"/>
    <s v="C0646"/>
    <x v="1"/>
    <x v="2"/>
    <x v="0"/>
    <n v="18900"/>
    <n v="4.1399999999999999E-2"/>
    <n v="60"/>
    <s v="OFF-HAW-2"/>
    <x v="0"/>
    <d v="2026-05-25T00:00:00"/>
    <x v="2"/>
    <s v="Non-Kuwaiti"/>
    <n v="32"/>
    <s v="30-44"/>
    <n v="1"/>
    <n v="1"/>
    <n v="18900"/>
    <n v="782.46"/>
  </r>
  <r>
    <s v="FN-00554"/>
    <x v="141"/>
    <s v="C0713"/>
    <x v="2"/>
    <x v="0"/>
    <x v="0"/>
    <n v="14600"/>
    <n v="5.4899999999999997E-2"/>
    <n v="12"/>
    <s v="OFF-SAL-2"/>
    <x v="0"/>
    <d v="2026-05-27T00:00:00"/>
    <x v="0"/>
    <s v="Kuwaiti"/>
    <n v="44"/>
    <s v="30-44"/>
    <n v="3"/>
    <n v="1"/>
    <n v="14600"/>
    <n v="801.54"/>
  </r>
  <r>
    <s v="FN-00577"/>
    <x v="141"/>
    <s v="C0009"/>
    <x v="0"/>
    <x v="3"/>
    <x v="0"/>
    <n v="152800"/>
    <n v="6.9599999999999995E-2"/>
    <n v="36"/>
    <s v="OFF-KUW-1"/>
    <x v="0"/>
    <d v="2026-06-09T00:00:00"/>
    <x v="0"/>
    <s v="Kuwaiti"/>
    <n v="36"/>
    <s v="30-44"/>
    <n v="16"/>
    <n v="1"/>
    <n v="152800"/>
    <n v="10634.88"/>
  </r>
  <r>
    <s v="FN-00610"/>
    <x v="141"/>
    <s v="C0616"/>
    <x v="4"/>
    <x v="0"/>
    <x v="1"/>
    <n v="14500"/>
    <n v="5.8799999999999998E-2"/>
    <n v="24"/>
    <s v="OFF-AHM-3"/>
    <x v="0"/>
    <d v="2026-05-24T00:00:00"/>
    <x v="2"/>
    <s v="Kuwaiti"/>
    <n v="35"/>
    <s v="30-44"/>
    <n v="0"/>
    <n v="1"/>
    <n v="14500"/>
    <n v="852.6"/>
  </r>
  <r>
    <s v="FN-00558"/>
    <x v="142"/>
    <s v="C0310"/>
    <x v="1"/>
    <x v="2"/>
    <x v="2"/>
    <n v="7300"/>
    <n v="3.9399999999999998E-2"/>
    <n v="60"/>
    <s v="OFF-HAW-3"/>
    <x v="0"/>
    <d v="2026-05-26T00:00:00"/>
    <x v="1"/>
    <s v="Kuwaiti"/>
    <n v="68"/>
    <s v="45+"/>
    <n v="1"/>
    <n v="1"/>
    <n v="7300"/>
    <n v="287.62"/>
  </r>
  <r>
    <s v="FN-00598"/>
    <x v="142"/>
    <s v="C0266"/>
    <x v="4"/>
    <x v="0"/>
    <x v="0"/>
    <n v="13500"/>
    <n v="5.4800000000000001E-2"/>
    <n v="48"/>
    <s v="OFF-AHM-2"/>
    <x v="0"/>
    <d v="2026-05-27T00:00:00"/>
    <x v="2"/>
    <s v="Non-Kuwaiti"/>
    <n v="66"/>
    <s v="45+"/>
    <n v="2"/>
    <n v="1"/>
    <n v="13500"/>
    <n v="739.80000000000007"/>
  </r>
  <r>
    <s v="FN-00605"/>
    <x v="142"/>
    <s v="C0504"/>
    <x v="4"/>
    <x v="0"/>
    <x v="1"/>
    <n v="2700"/>
    <n v="6.9599999999999995E-2"/>
    <n v="36"/>
    <s v="OFF-AHM-3"/>
    <x v="1"/>
    <d v="2026-05-26T00:00:00"/>
    <x v="1"/>
    <s v="Non-Kuwaiti"/>
    <n v="61"/>
    <s v="45+"/>
    <n v="1"/>
    <n v="0"/>
    <n v="0"/>
    <n v="0"/>
  </r>
  <r>
    <s v="FN-00612"/>
    <x v="142"/>
    <s v="C0608"/>
    <x v="2"/>
    <x v="2"/>
    <x v="0"/>
    <n v="5800"/>
    <n v="3.85E-2"/>
    <n v="60"/>
    <s v="OFF-SAL-2"/>
    <x v="0"/>
    <d v="2026-05-26T00:00:00"/>
    <x v="1"/>
    <s v="Non-Kuwaiti"/>
    <n v="38"/>
    <s v="30-44"/>
    <n v="1"/>
    <n v="1"/>
    <n v="5800"/>
    <n v="223.29999999999998"/>
  </r>
  <r>
    <s v="FN-00618"/>
    <x v="143"/>
    <s v="C0261"/>
    <x v="1"/>
    <x v="0"/>
    <x v="0"/>
    <n v="12400"/>
    <n v="6.6799999999999998E-2"/>
    <n v="60"/>
    <s v="OFF-HAW-1"/>
    <x v="0"/>
    <d v="2026-05-31T00:00:00"/>
    <x v="1"/>
    <s v="Kuwaiti"/>
    <n v="39"/>
    <s v="30-44"/>
    <n v="5"/>
    <n v="1"/>
    <n v="12400"/>
    <n v="828.31999999999994"/>
  </r>
  <r>
    <s v="FN-00635"/>
    <x v="143"/>
    <s v="C0568"/>
    <x v="0"/>
    <x v="2"/>
    <x v="1"/>
    <n v="4600"/>
    <n v="4.2700000000000002E-2"/>
    <n v="48"/>
    <s v="OFF-KUW-2"/>
    <x v="0"/>
    <d v="2026-05-28T00:00:00"/>
    <x v="1"/>
    <s v="Kuwaiti"/>
    <n v="57"/>
    <s v="45+"/>
    <n v="2"/>
    <n v="1"/>
    <n v="4600"/>
    <n v="196.42000000000002"/>
  </r>
  <r>
    <s v="FN-00669"/>
    <x v="143"/>
    <s v="C0125"/>
    <x v="1"/>
    <x v="2"/>
    <x v="0"/>
    <n v="9300"/>
    <n v="3.7900000000000003E-2"/>
    <n v="60"/>
    <s v="OFF-HAW-2"/>
    <x v="0"/>
    <d v="2026-05-28T00:00:00"/>
    <x v="1"/>
    <s v="Non-Kuwaiti"/>
    <n v="52"/>
    <s v="45+"/>
    <n v="2"/>
    <n v="1"/>
    <n v="9300"/>
    <n v="352.47"/>
  </r>
  <r>
    <s v="FN-00621"/>
    <x v="144"/>
    <s v="C0846"/>
    <x v="2"/>
    <x v="0"/>
    <x v="1"/>
    <n v="8900"/>
    <n v="5.1200000000000002E-2"/>
    <n v="60"/>
    <s v="OFF-SAL-2"/>
    <x v="1"/>
    <d v="2026-05-28T00:00:00"/>
    <x v="1"/>
    <s v="Non-Kuwaiti"/>
    <n v="35"/>
    <s v="30-44"/>
    <n v="1"/>
    <n v="0"/>
    <n v="0"/>
    <n v="0"/>
  </r>
  <r>
    <s v="FN-00633"/>
    <x v="144"/>
    <s v="C0521"/>
    <x v="0"/>
    <x v="0"/>
    <x v="0"/>
    <n v="25000"/>
    <n v="5.8799999999999998E-2"/>
    <n v="48"/>
    <s v="OFF-KUW-2"/>
    <x v="1"/>
    <d v="2026-06-03T00:00:00"/>
    <x v="2"/>
    <s v="Kuwaiti"/>
    <n v="59"/>
    <s v="45+"/>
    <n v="7"/>
    <n v="0"/>
    <n v="0"/>
    <n v="0"/>
  </r>
  <r>
    <s v="FN-00648"/>
    <x v="144"/>
    <s v="C0496"/>
    <x v="5"/>
    <x v="2"/>
    <x v="0"/>
    <n v="6600"/>
    <n v="4.2700000000000002E-2"/>
    <n v="48"/>
    <s v="OFF-JAH-3"/>
    <x v="1"/>
    <d v="2026-06-01T00:00:00"/>
    <x v="1"/>
    <s v="Kuwaiti"/>
    <n v="22"/>
    <s v="Under 30"/>
    <n v="5"/>
    <n v="0"/>
    <n v="0"/>
    <n v="0"/>
  </r>
  <r>
    <s v="FN-00666"/>
    <x v="144"/>
    <s v="C0724"/>
    <x v="0"/>
    <x v="2"/>
    <x v="1"/>
    <n v="13400"/>
    <n v="3.7499999999999999E-2"/>
    <n v="36"/>
    <s v="OFF-KUW-2"/>
    <x v="0"/>
    <d v="2026-05-31T00:00:00"/>
    <x v="1"/>
    <s v="Kuwaiti"/>
    <n v="31"/>
    <s v="30-44"/>
    <n v="4"/>
    <n v="1"/>
    <n v="13400"/>
    <n v="502.5"/>
  </r>
  <r>
    <s v="FN-00675"/>
    <x v="144"/>
    <s v="C0653"/>
    <x v="5"/>
    <x v="0"/>
    <x v="0"/>
    <n v="20900"/>
    <n v="5.4800000000000001E-2"/>
    <n v="48"/>
    <s v="OFF-JAH-2"/>
    <x v="1"/>
    <d v="2026-06-01T00:00:00"/>
    <x v="1"/>
    <s v="Non-Kuwaiti"/>
    <n v="34"/>
    <s v="30-44"/>
    <n v="5"/>
    <n v="0"/>
    <n v="0"/>
    <n v="0"/>
  </r>
  <r>
    <s v="FN-00572"/>
    <x v="145"/>
    <s v="C0388"/>
    <x v="0"/>
    <x v="0"/>
    <x v="0"/>
    <n v="22200"/>
    <n v="6.3600000000000004E-2"/>
    <n v="36"/>
    <s v="OFF-KUW-1"/>
    <x v="0"/>
    <d v="2026-06-03T00:00:00"/>
    <x v="2"/>
    <s v="Kuwaiti"/>
    <n v="26"/>
    <s v="Under 30"/>
    <n v="6"/>
    <n v="1"/>
    <n v="22200"/>
    <n v="1411.92"/>
  </r>
  <r>
    <s v="FN-00630"/>
    <x v="145"/>
    <s v="C0925"/>
    <x v="5"/>
    <x v="0"/>
    <x v="0"/>
    <n v="9100"/>
    <n v="6.7900000000000002E-2"/>
    <n v="60"/>
    <s v="OFF-JAH-1"/>
    <x v="0"/>
    <d v="2026-06-03T00:00:00"/>
    <x v="0"/>
    <s v="Kuwaiti"/>
    <n v="53"/>
    <s v="45+"/>
    <n v="6"/>
    <n v="1"/>
    <n v="9100"/>
    <n v="617.89"/>
  </r>
  <r>
    <s v="FN-00646"/>
    <x v="145"/>
    <s v="C0671"/>
    <x v="3"/>
    <x v="3"/>
    <x v="0"/>
    <n v="39400"/>
    <n v="5.5500000000000001E-2"/>
    <n v="36"/>
    <s v="OFF-FAR-1"/>
    <x v="1"/>
    <d v="2026-06-12T00:00:00"/>
    <x v="2"/>
    <s v="Kuwaiti"/>
    <n v="58"/>
    <s v="45+"/>
    <n v="15"/>
    <n v="0"/>
    <n v="0"/>
    <n v="0"/>
  </r>
  <r>
    <s v="FN-00582"/>
    <x v="146"/>
    <s v="C0433"/>
    <x v="1"/>
    <x v="2"/>
    <x v="1"/>
    <n v="15000"/>
    <n v="4.4299999999999999E-2"/>
    <n v="48"/>
    <s v="OFF-HAW-3"/>
    <x v="0"/>
    <d v="2026-06-02T00:00:00"/>
    <x v="1"/>
    <s v="Kuwaiti"/>
    <n v="33"/>
    <s v="30-44"/>
    <n v="4"/>
    <n v="1"/>
    <n v="15000"/>
    <n v="664.5"/>
  </r>
  <r>
    <s v="FN-00591"/>
    <x v="146"/>
    <s v="C0019"/>
    <x v="4"/>
    <x v="2"/>
    <x v="1"/>
    <n v="11100"/>
    <n v="4.8300000000000003E-2"/>
    <n v="36"/>
    <s v="OFF-AHM-1"/>
    <x v="1"/>
    <d v="2026-05-30T00:00:00"/>
    <x v="1"/>
    <s v="Kuwaiti"/>
    <n v="53"/>
    <s v="45+"/>
    <n v="1"/>
    <n v="0"/>
    <n v="0"/>
    <n v="0"/>
  </r>
  <r>
    <s v="FN-00596"/>
    <x v="146"/>
    <s v="C0879"/>
    <x v="2"/>
    <x v="2"/>
    <x v="1"/>
    <n v="7100"/>
    <n v="4.0899999999999999E-2"/>
    <n v="36"/>
    <s v="OFF-SAL-2"/>
    <x v="0"/>
    <d v="2026-05-30T00:00:00"/>
    <x v="1"/>
    <s v="Kuwaiti"/>
    <n v="27"/>
    <s v="Under 30"/>
    <n v="1"/>
    <n v="1"/>
    <n v="7100"/>
    <n v="290.39"/>
  </r>
  <r>
    <s v="FN-00608"/>
    <x v="146"/>
    <s v="C0345"/>
    <x v="3"/>
    <x v="3"/>
    <x v="0"/>
    <n v="22800"/>
    <n v="5.8400000000000001E-2"/>
    <n v="24"/>
    <s v="OFF-FAR-1"/>
    <x v="1"/>
    <d v="2026-06-14T00:00:00"/>
    <x v="1"/>
    <s v="Kuwaiti"/>
    <n v="25"/>
    <s v="Under 30"/>
    <n v="16"/>
    <n v="0"/>
    <n v="0"/>
    <n v="0"/>
  </r>
  <r>
    <s v="FN-00619"/>
    <x v="146"/>
    <s v="C0469"/>
    <x v="0"/>
    <x v="0"/>
    <x v="0"/>
    <n v="7600"/>
    <n v="5.1900000000000002E-2"/>
    <n v="36"/>
    <s v="OFF-KUW-2"/>
    <x v="1"/>
    <d v="2026-06-03T00:00:00"/>
    <x v="1"/>
    <s v="Kuwaiti"/>
    <n v="25"/>
    <s v="Under 30"/>
    <n v="5"/>
    <n v="0"/>
    <n v="0"/>
    <n v="0"/>
  </r>
  <r>
    <s v="FN-00636"/>
    <x v="146"/>
    <s v="C0452"/>
    <x v="2"/>
    <x v="1"/>
    <x v="1"/>
    <n v="58100"/>
    <n v="3.2099999999999997E-2"/>
    <n v="300"/>
    <s v="OFF-SAL-1"/>
    <x v="0"/>
    <d v="2026-06-26T00:00:00"/>
    <x v="1"/>
    <s v="Kuwaiti"/>
    <n v="46"/>
    <s v="45+"/>
    <n v="28"/>
    <n v="1"/>
    <n v="58100"/>
    <n v="1865.0099999999998"/>
  </r>
  <r>
    <s v="FN-00640"/>
    <x v="146"/>
    <s v="C0244"/>
    <x v="2"/>
    <x v="0"/>
    <x v="0"/>
    <n v="13000"/>
    <n v="5.8599999999999999E-2"/>
    <n v="12"/>
    <s v="OFF-SAL-2"/>
    <x v="0"/>
    <d v="2026-06-01T00:00:00"/>
    <x v="1"/>
    <s v="Non-Kuwaiti"/>
    <n v="28"/>
    <s v="Under 30"/>
    <n v="3"/>
    <n v="1"/>
    <n v="13000"/>
    <n v="761.8"/>
  </r>
  <r>
    <s v="FN-00688"/>
    <x v="146"/>
    <s v="C0468"/>
    <x v="4"/>
    <x v="2"/>
    <x v="0"/>
    <n v="13400"/>
    <n v="3.7400000000000003E-2"/>
    <n v="60"/>
    <s v="OFF-AHM-2"/>
    <x v="0"/>
    <d v="2026-06-02T00:00:00"/>
    <x v="1"/>
    <s v="Non-Kuwaiti"/>
    <n v="45"/>
    <s v="45+"/>
    <n v="4"/>
    <n v="1"/>
    <n v="13400"/>
    <n v="501.16"/>
  </r>
  <r>
    <s v="FN-00689"/>
    <x v="146"/>
    <s v="C0157"/>
    <x v="2"/>
    <x v="1"/>
    <x v="0"/>
    <n v="119100"/>
    <n v="3.2800000000000003E-2"/>
    <n v="180"/>
    <s v="OFF-SAL-1"/>
    <x v="0"/>
    <d v="2026-06-25T00:00:00"/>
    <x v="1"/>
    <s v="Kuwaiti"/>
    <n v="31"/>
    <s v="30-44"/>
    <n v="27"/>
    <n v="1"/>
    <n v="119100"/>
    <n v="3906.4800000000005"/>
  </r>
  <r>
    <s v="FN-00545"/>
    <x v="147"/>
    <s v="C0284"/>
    <x v="0"/>
    <x v="3"/>
    <x v="0"/>
    <n v="133100"/>
    <n v="6.4399999999999999E-2"/>
    <n v="84"/>
    <s v="OFF-KUW-2"/>
    <x v="0"/>
    <d v="2026-06-08T00:00:00"/>
    <x v="1"/>
    <s v="Kuwaiti"/>
    <n v="49"/>
    <s v="45+"/>
    <n v="9"/>
    <n v="1"/>
    <n v="133100"/>
    <n v="8571.64"/>
  </r>
  <r>
    <s v="FN-00571"/>
    <x v="147"/>
    <s v="C0274"/>
    <x v="1"/>
    <x v="0"/>
    <x v="1"/>
    <n v="5600"/>
    <n v="6.7900000000000002E-2"/>
    <n v="60"/>
    <s v="OFF-HAW-2"/>
    <x v="0"/>
    <d v="2026-06-04T00:00:00"/>
    <x v="0"/>
    <s v="Non-Kuwaiti"/>
    <n v="44"/>
    <s v="30-44"/>
    <n v="5"/>
    <n v="1"/>
    <n v="5600"/>
    <n v="380.24"/>
  </r>
  <r>
    <s v="FN-00573"/>
    <x v="147"/>
    <s v="C0813"/>
    <x v="1"/>
    <x v="0"/>
    <x v="0"/>
    <n v="18900"/>
    <n v="5.2999999999999999E-2"/>
    <n v="36"/>
    <s v="OFF-HAW-2"/>
    <x v="0"/>
    <d v="2026-06-01T00:00:00"/>
    <x v="1"/>
    <s v="Kuwaiti"/>
    <n v="25"/>
    <s v="Under 30"/>
    <n v="2"/>
    <n v="1"/>
    <n v="18900"/>
    <n v="1001.6999999999999"/>
  </r>
  <r>
    <s v="FN-00600"/>
    <x v="147"/>
    <s v="C0337"/>
    <x v="2"/>
    <x v="2"/>
    <x v="1"/>
    <n v="6600"/>
    <n v="4.3499999999999997E-2"/>
    <n v="60"/>
    <s v="OFF-SAL-3"/>
    <x v="0"/>
    <d v="2026-05-30T00:00:00"/>
    <x v="1"/>
    <s v="Kuwaiti"/>
    <n v="41"/>
    <s v="30-44"/>
    <n v="0"/>
    <n v="1"/>
    <n v="6600"/>
    <n v="287.09999999999997"/>
  </r>
  <r>
    <s v="FN-00606"/>
    <x v="147"/>
    <s v="C0029"/>
    <x v="3"/>
    <x v="0"/>
    <x v="0"/>
    <n v="13400"/>
    <n v="6.8400000000000002E-2"/>
    <n v="60"/>
    <s v="OFF-FAR-1"/>
    <x v="0"/>
    <d v="2026-06-01T00:00:00"/>
    <x v="1"/>
    <s v="Non-Kuwaiti"/>
    <n v="26"/>
    <s v="Under 30"/>
    <n v="2"/>
    <n v="1"/>
    <n v="13400"/>
    <n v="916.56000000000006"/>
  </r>
  <r>
    <s v="FN-00659"/>
    <x v="148"/>
    <s v="C0025"/>
    <x v="1"/>
    <x v="0"/>
    <x v="2"/>
    <n v="25000"/>
    <n v="6.5100000000000005E-2"/>
    <n v="12"/>
    <s v="OFF-HAW-3"/>
    <x v="0"/>
    <d v="2026-06-07T00:00:00"/>
    <x v="0"/>
    <s v="Non-Kuwaiti"/>
    <n v="34"/>
    <s v="30-44"/>
    <n v="7"/>
    <n v="1"/>
    <n v="25000"/>
    <n v="1627.5000000000002"/>
  </r>
  <r>
    <s v="FN-00705"/>
    <x v="149"/>
    <s v="C0011"/>
    <x v="3"/>
    <x v="1"/>
    <x v="1"/>
    <n v="171000"/>
    <n v="3.0700000000000002E-2"/>
    <n v="300"/>
    <s v="OFF-FAR-1"/>
    <x v="1"/>
    <d v="2026-06-30T00:00:00"/>
    <x v="0"/>
    <s v="Kuwaiti"/>
    <n v="61"/>
    <s v="45+"/>
    <n v="29"/>
    <n v="0"/>
    <n v="0"/>
    <n v="0"/>
  </r>
  <r>
    <s v="FN-00719"/>
    <x v="149"/>
    <s v="C0098"/>
    <x v="1"/>
    <x v="3"/>
    <x v="1"/>
    <n v="50600"/>
    <n v="6.1699999999999998E-2"/>
    <n v="24"/>
    <s v="OFF-HAW-3"/>
    <x v="1"/>
    <d v="2026-06-15T00:00:00"/>
    <x v="0"/>
    <s v="Kuwaiti"/>
    <n v="48"/>
    <s v="45+"/>
    <n v="14"/>
    <n v="0"/>
    <n v="0"/>
    <n v="0"/>
  </r>
  <r>
    <s v="FN-00770"/>
    <x v="149"/>
    <s v="C0415"/>
    <x v="2"/>
    <x v="2"/>
    <x v="0"/>
    <n v="10100"/>
    <n v="3.78E-2"/>
    <n v="60"/>
    <s v="OFF-SAL-2"/>
    <x v="0"/>
    <d v="2026-06-06T00:00:00"/>
    <x v="1"/>
    <s v="Kuwaiti"/>
    <n v="32"/>
    <s v="30-44"/>
    <n v="5"/>
    <n v="1"/>
    <n v="10100"/>
    <n v="381.78000000000003"/>
  </r>
  <r>
    <s v="FN-00804"/>
    <x v="149"/>
    <s v="C0259"/>
    <x v="0"/>
    <x v="2"/>
    <x v="0"/>
    <n v="8600"/>
    <n v="4.4900000000000002E-2"/>
    <n v="60"/>
    <s v="OFF-KUW-1"/>
    <x v="0"/>
    <d v="2026-06-05T00:00:00"/>
    <x v="1"/>
    <s v="Kuwaiti"/>
    <n v="41"/>
    <s v="30-44"/>
    <n v="4"/>
    <n v="1"/>
    <n v="8600"/>
    <n v="386.14000000000004"/>
  </r>
  <r>
    <s v="FN-00726"/>
    <x v="150"/>
    <s v="C0599"/>
    <x v="2"/>
    <x v="3"/>
    <x v="1"/>
    <n v="45000"/>
    <n v="6.0100000000000001E-2"/>
    <n v="24"/>
    <s v="OFF-SAL-2"/>
    <x v="1"/>
    <d v="2026-06-10T00:00:00"/>
    <x v="1"/>
    <s v="Kuwaiti"/>
    <n v="49"/>
    <s v="45+"/>
    <n v="8"/>
    <n v="0"/>
    <n v="0"/>
    <n v="0"/>
  </r>
  <r>
    <s v="FN-00734"/>
    <x v="150"/>
    <s v="C0123"/>
    <x v="4"/>
    <x v="0"/>
    <x v="0"/>
    <n v="23400"/>
    <n v="6.7799999999999999E-2"/>
    <n v="48"/>
    <s v="OFF-AHM-1"/>
    <x v="0"/>
    <d v="2026-06-08T00:00:00"/>
    <x v="1"/>
    <s v="Non-Kuwaiti"/>
    <n v="49"/>
    <s v="45+"/>
    <n v="6"/>
    <n v="1"/>
    <n v="23400"/>
    <n v="1586.52"/>
  </r>
  <r>
    <s v="FN-00739"/>
    <x v="150"/>
    <s v="C0172"/>
    <x v="1"/>
    <x v="0"/>
    <x v="0"/>
    <n v="25000"/>
    <n v="5.3499999999999999E-2"/>
    <n v="24"/>
    <s v="OFF-HAW-2"/>
    <x v="0"/>
    <d v="2026-06-03T00:00:00"/>
    <x v="0"/>
    <s v="Kuwaiti"/>
    <n v="24"/>
    <s v="Under 30"/>
    <n v="1"/>
    <n v="1"/>
    <n v="25000"/>
    <n v="1337.5"/>
  </r>
  <r>
    <s v="FN-00763"/>
    <x v="150"/>
    <s v="C0612"/>
    <x v="0"/>
    <x v="0"/>
    <x v="1"/>
    <n v="22900"/>
    <n v="5.0299999999999997E-2"/>
    <n v="48"/>
    <s v="OFF-KUW-1"/>
    <x v="0"/>
    <d v="2026-06-02T00:00:00"/>
    <x v="1"/>
    <s v="Kuwaiti"/>
    <n v="24"/>
    <s v="Under 30"/>
    <n v="0"/>
    <n v="1"/>
    <n v="22900"/>
    <n v="1151.8699999999999"/>
  </r>
  <r>
    <s v="FN-00813"/>
    <x v="150"/>
    <s v="C0855"/>
    <x v="2"/>
    <x v="1"/>
    <x v="1"/>
    <n v="108600"/>
    <n v="3.5700000000000003E-2"/>
    <n v="120"/>
    <s v="OFF-SAL-2"/>
    <x v="1"/>
    <d v="2026-07-01T00:00:00"/>
    <x v="0"/>
    <s v="Non-Kuwaiti"/>
    <n v="48"/>
    <s v="45+"/>
    <n v="29"/>
    <n v="0"/>
    <n v="0"/>
    <n v="0"/>
  </r>
  <r>
    <s v="FN-00744"/>
    <x v="151"/>
    <s v="C0367"/>
    <x v="0"/>
    <x v="2"/>
    <x v="1"/>
    <n v="12400"/>
    <n v="4.5400000000000003E-2"/>
    <n v="48"/>
    <s v="OFF-KUW-1"/>
    <x v="0"/>
    <d v="2026-06-04T00:00:00"/>
    <x v="1"/>
    <s v="Kuwaiti"/>
    <n v="48"/>
    <s v="45+"/>
    <n v="1"/>
    <n v="1"/>
    <n v="12400"/>
    <n v="562.96"/>
  </r>
  <r>
    <s v="FN-00803"/>
    <x v="151"/>
    <s v="C0488"/>
    <x v="3"/>
    <x v="3"/>
    <x v="0"/>
    <n v="71000"/>
    <n v="5.6500000000000002E-2"/>
    <n v="24"/>
    <s v="OFF-FAR-3"/>
    <x v="1"/>
    <d v="2026-06-21T00:00:00"/>
    <x v="0"/>
    <s v="Non-Kuwaiti"/>
    <n v="28"/>
    <s v="Under 30"/>
    <n v="18"/>
    <n v="0"/>
    <n v="0"/>
    <n v="0"/>
  </r>
  <r>
    <s v="FN-00711"/>
    <x v="152"/>
    <s v="C0910"/>
    <x v="2"/>
    <x v="2"/>
    <x v="0"/>
    <n v="7300"/>
    <n v="4.2999999999999997E-2"/>
    <n v="48"/>
    <s v="OFF-SAL-1"/>
    <x v="0"/>
    <d v="2026-06-09T00:00:00"/>
    <x v="1"/>
    <s v="Non-Kuwaiti"/>
    <n v="56"/>
    <s v="45+"/>
    <n v="5"/>
    <n v="1"/>
    <n v="7300"/>
    <n v="313.89999999999998"/>
  </r>
  <r>
    <s v="FN-00724"/>
    <x v="152"/>
    <s v="C0335"/>
    <x v="2"/>
    <x v="3"/>
    <x v="0"/>
    <n v="133700"/>
    <n v="6.6199999999999995E-2"/>
    <n v="84"/>
    <s v="OFF-SAL-2"/>
    <x v="1"/>
    <d v="2026-06-18T00:00:00"/>
    <x v="1"/>
    <s v="Kuwaiti"/>
    <n v="27"/>
    <s v="Under 30"/>
    <n v="14"/>
    <n v="0"/>
    <n v="0"/>
    <n v="0"/>
  </r>
  <r>
    <s v="FN-00773"/>
    <x v="152"/>
    <s v="C0633"/>
    <x v="0"/>
    <x v="3"/>
    <x v="1"/>
    <n v="120800"/>
    <n v="5.6099999999999997E-2"/>
    <n v="36"/>
    <s v="OFF-KUW-2"/>
    <x v="1"/>
    <d v="2026-06-19T00:00:00"/>
    <x v="1"/>
    <s v="Kuwaiti"/>
    <n v="49"/>
    <s v="45+"/>
    <n v="15"/>
    <n v="0"/>
    <n v="0"/>
    <n v="0"/>
  </r>
  <r>
    <s v="FN-00793"/>
    <x v="152"/>
    <s v="C0807"/>
    <x v="0"/>
    <x v="2"/>
    <x v="1"/>
    <n v="9000"/>
    <n v="4.9099999999999998E-2"/>
    <n v="48"/>
    <s v="OFF-KUW-3"/>
    <x v="0"/>
    <d v="2026-06-04T00:00:00"/>
    <x v="0"/>
    <s v="Non-Kuwaiti"/>
    <n v="44"/>
    <s v="30-44"/>
    <n v="0"/>
    <n v="1"/>
    <n v="9000"/>
    <n v="441.9"/>
  </r>
  <r>
    <s v="FN-00812"/>
    <x v="152"/>
    <s v="C0541"/>
    <x v="1"/>
    <x v="0"/>
    <x v="0"/>
    <n v="14300"/>
    <n v="6.4699999999999994E-2"/>
    <n v="36"/>
    <s v="OFF-HAW-1"/>
    <x v="0"/>
    <d v="2026-06-10T00:00:00"/>
    <x v="1"/>
    <s v="Kuwaiti"/>
    <n v="44"/>
    <s v="30-44"/>
    <n v="6"/>
    <n v="1"/>
    <n v="14300"/>
    <n v="925.20999999999992"/>
  </r>
  <r>
    <s v="FN-00699"/>
    <x v="153"/>
    <s v="C0324"/>
    <x v="0"/>
    <x v="0"/>
    <x v="2"/>
    <n v="3600"/>
    <n v="6.8000000000000005E-2"/>
    <n v="12"/>
    <s v="OFF-KUW-3"/>
    <x v="0"/>
    <d v="2026-06-08T00:00:00"/>
    <x v="1"/>
    <s v="Kuwaiti"/>
    <n v="62"/>
    <s v="45+"/>
    <n v="3"/>
    <n v="1"/>
    <n v="3600"/>
    <n v="244.8"/>
  </r>
  <r>
    <s v="FN-00714"/>
    <x v="153"/>
    <s v="C0457"/>
    <x v="2"/>
    <x v="0"/>
    <x v="2"/>
    <n v="8400"/>
    <n v="6.9099999999999995E-2"/>
    <n v="12"/>
    <s v="OFF-SAL-3"/>
    <x v="0"/>
    <d v="2026-06-07T00:00:00"/>
    <x v="1"/>
    <s v="Kuwaiti"/>
    <n v="47"/>
    <s v="45+"/>
    <n v="2"/>
    <n v="1"/>
    <n v="8400"/>
    <n v="580.43999999999994"/>
  </r>
  <r>
    <s v="FN-00733"/>
    <x v="153"/>
    <s v="C0745"/>
    <x v="5"/>
    <x v="1"/>
    <x v="0"/>
    <n v="263000"/>
    <n v="4.48E-2"/>
    <n v="240"/>
    <s v="OFF-JAH-2"/>
    <x v="0"/>
    <d v="2026-07-06T00:00:00"/>
    <x v="0"/>
    <s v="Kuwaiti"/>
    <n v="24"/>
    <s v="Under 30"/>
    <n v="31"/>
    <n v="1"/>
    <n v="263000"/>
    <n v="11782.4"/>
  </r>
  <r>
    <s v="FN-00817"/>
    <x v="153"/>
    <s v="C0307"/>
    <x v="5"/>
    <x v="0"/>
    <x v="0"/>
    <n v="24800"/>
    <n v="5.3199999999999997E-2"/>
    <n v="24"/>
    <s v="OFF-JAH-1"/>
    <x v="1"/>
    <d v="2026-06-15T00:00:00"/>
    <x v="1"/>
    <s v="Non-Kuwaiti"/>
    <n v="61"/>
    <s v="45+"/>
    <n v="10"/>
    <n v="0"/>
    <n v="0"/>
    <n v="0"/>
  </r>
  <r>
    <s v="FN-00707"/>
    <x v="154"/>
    <s v="C0732"/>
    <x v="0"/>
    <x v="0"/>
    <x v="1"/>
    <n v="25000"/>
    <n v="6.4000000000000001E-2"/>
    <n v="24"/>
    <s v="OFF-KUW-3"/>
    <x v="1"/>
    <d v="2026-06-07T00:00:00"/>
    <x v="0"/>
    <s v="Non-Kuwaiti"/>
    <n v="23"/>
    <s v="Under 30"/>
    <n v="1"/>
    <n v="0"/>
    <n v="0"/>
    <n v="0"/>
  </r>
  <r>
    <s v="FN-00745"/>
    <x v="154"/>
    <s v="C0267"/>
    <x v="2"/>
    <x v="0"/>
    <x v="0"/>
    <n v="13800"/>
    <n v="6.0999999999999999E-2"/>
    <n v="36"/>
    <s v="OFF-SAL-2"/>
    <x v="0"/>
    <d v="2026-06-09T00:00:00"/>
    <x v="1"/>
    <s v="Kuwaiti"/>
    <n v="29"/>
    <s v="Under 30"/>
    <n v="3"/>
    <n v="1"/>
    <n v="13800"/>
    <n v="841.8"/>
  </r>
  <r>
    <s v="FN-00755"/>
    <x v="154"/>
    <s v="C0128"/>
    <x v="2"/>
    <x v="3"/>
    <x v="1"/>
    <n v="153500"/>
    <n v="7.3599999999999999E-2"/>
    <n v="84"/>
    <s v="OFF-SAL-3"/>
    <x v="0"/>
    <d v="2026-06-24T00:00:00"/>
    <x v="2"/>
    <s v="Non-Kuwaiti"/>
    <n v="31"/>
    <s v="30-44"/>
    <n v="18"/>
    <n v="1"/>
    <n v="153500"/>
    <n v="11297.6"/>
  </r>
  <r>
    <s v="FN-00768"/>
    <x v="154"/>
    <s v="C0290"/>
    <x v="3"/>
    <x v="0"/>
    <x v="1"/>
    <n v="8500"/>
    <n v="6.3500000000000001E-2"/>
    <n v="60"/>
    <s v="OFF-FAR-1"/>
    <x v="1"/>
    <d v="2026-06-08T00:00:00"/>
    <x v="1"/>
    <s v="Kuwaiti"/>
    <n v="36"/>
    <s v="30-44"/>
    <n v="2"/>
    <n v="0"/>
    <n v="0"/>
    <n v="0"/>
  </r>
  <r>
    <s v="FN-00769"/>
    <x v="154"/>
    <s v="C0613"/>
    <x v="0"/>
    <x v="0"/>
    <x v="1"/>
    <n v="23100"/>
    <n v="6.83E-2"/>
    <n v="12"/>
    <s v="OFF-KUW-2"/>
    <x v="0"/>
    <d v="2026-06-11T00:00:00"/>
    <x v="1"/>
    <s v="Kuwaiti"/>
    <n v="25"/>
    <s v="Under 30"/>
    <n v="5"/>
    <n v="1"/>
    <n v="23100"/>
    <n v="1577.73"/>
  </r>
  <r>
    <s v="FN-00775"/>
    <x v="154"/>
    <s v="C0422"/>
    <x v="1"/>
    <x v="2"/>
    <x v="0"/>
    <n v="10100"/>
    <n v="4.2000000000000003E-2"/>
    <n v="48"/>
    <s v="OFF-HAW-2"/>
    <x v="1"/>
    <d v="2026-06-08T00:00:00"/>
    <x v="0"/>
    <s v="Kuwaiti"/>
    <n v="31"/>
    <s v="30-44"/>
    <n v="2"/>
    <n v="0"/>
    <n v="0"/>
    <n v="0"/>
  </r>
  <r>
    <s v="FN-00782"/>
    <x v="154"/>
    <s v="C0393"/>
    <x v="1"/>
    <x v="0"/>
    <x v="2"/>
    <n v="25000"/>
    <n v="5.0799999999999998E-2"/>
    <n v="36"/>
    <s v="OFF-HAW-3"/>
    <x v="0"/>
    <d v="2026-06-09T00:00:00"/>
    <x v="0"/>
    <s v="Non-Kuwaiti"/>
    <n v="25"/>
    <s v="Under 30"/>
    <n v="3"/>
    <n v="1"/>
    <n v="25000"/>
    <n v="1270"/>
  </r>
  <r>
    <s v="FN-00801"/>
    <x v="154"/>
    <s v="C0591"/>
    <x v="2"/>
    <x v="3"/>
    <x v="2"/>
    <n v="57900"/>
    <n v="6.2899999999999998E-2"/>
    <n v="36"/>
    <s v="OFF-SAL-1"/>
    <x v="1"/>
    <d v="2026-06-23T00:00:00"/>
    <x v="1"/>
    <s v="Kuwaiti"/>
    <n v="43"/>
    <s v="30-44"/>
    <n v="17"/>
    <n v="0"/>
    <n v="0"/>
    <n v="0"/>
  </r>
  <r>
    <s v="FN-00821"/>
    <x v="154"/>
    <s v="C0285"/>
    <x v="5"/>
    <x v="2"/>
    <x v="0"/>
    <n v="13400"/>
    <n v="4.6399999999999997E-2"/>
    <n v="36"/>
    <s v="OFF-JAH-3"/>
    <x v="0"/>
    <d v="2026-06-11T00:00:00"/>
    <x v="1"/>
    <s v="Non-Kuwaiti"/>
    <n v="25"/>
    <s v="Under 30"/>
    <n v="5"/>
    <n v="1"/>
    <n v="13400"/>
    <n v="621.76"/>
  </r>
  <r>
    <s v="FN-00698"/>
    <x v="155"/>
    <s v="C0380"/>
    <x v="1"/>
    <x v="0"/>
    <x v="2"/>
    <n v="16200"/>
    <n v="5.1999999999999998E-2"/>
    <n v="60"/>
    <s v="OFF-HAW-2"/>
    <x v="0"/>
    <d v="2026-06-08T00:00:00"/>
    <x v="1"/>
    <s v="Non-Kuwaiti"/>
    <n v="47"/>
    <s v="45+"/>
    <n v="1"/>
    <n v="1"/>
    <n v="16200"/>
    <n v="842.4"/>
  </r>
  <r>
    <s v="FN-00723"/>
    <x v="155"/>
    <s v="C0729"/>
    <x v="1"/>
    <x v="0"/>
    <x v="2"/>
    <n v="10600"/>
    <n v="5.79E-2"/>
    <n v="48"/>
    <s v="OFF-HAW-1"/>
    <x v="1"/>
    <d v="2026-06-08T00:00:00"/>
    <x v="1"/>
    <s v="Kuwaiti"/>
    <n v="55"/>
    <s v="45+"/>
    <n v="1"/>
    <n v="0"/>
    <n v="0"/>
    <n v="0"/>
  </r>
  <r>
    <s v="FN-00772"/>
    <x v="155"/>
    <s v="C0453"/>
    <x v="0"/>
    <x v="0"/>
    <x v="2"/>
    <n v="10200"/>
    <n v="5.6099999999999997E-2"/>
    <n v="36"/>
    <s v="OFF-KUW-3"/>
    <x v="0"/>
    <d v="2026-06-10T00:00:00"/>
    <x v="0"/>
    <s v="Non-Kuwaiti"/>
    <n v="53"/>
    <s v="45+"/>
    <n v="3"/>
    <n v="1"/>
    <n v="10200"/>
    <n v="572.21999999999991"/>
  </r>
  <r>
    <s v="FN-00781"/>
    <x v="155"/>
    <s v="C0636"/>
    <x v="0"/>
    <x v="0"/>
    <x v="0"/>
    <n v="8200"/>
    <n v="5.9900000000000002E-2"/>
    <n v="60"/>
    <s v="OFF-KUW-3"/>
    <x v="0"/>
    <d v="2026-06-10T00:00:00"/>
    <x v="1"/>
    <s v="Kuwaiti"/>
    <n v="26"/>
    <s v="Under 30"/>
    <n v="3"/>
    <n v="1"/>
    <n v="8200"/>
    <n v="491.18"/>
  </r>
  <r>
    <s v="FN-00816"/>
    <x v="155"/>
    <s v="C0461"/>
    <x v="2"/>
    <x v="3"/>
    <x v="1"/>
    <n v="141700"/>
    <n v="6.8099999999999994E-2"/>
    <n v="24"/>
    <s v="OFF-SAL-2"/>
    <x v="0"/>
    <d v="2026-06-25T00:00:00"/>
    <x v="0"/>
    <s v="Kuwaiti"/>
    <n v="36"/>
    <s v="30-44"/>
    <n v="18"/>
    <n v="1"/>
    <n v="141700"/>
    <n v="9649.7699999999986"/>
  </r>
  <r>
    <s v="FN-00823"/>
    <x v="155"/>
    <s v="C0439"/>
    <x v="4"/>
    <x v="0"/>
    <x v="0"/>
    <n v="22100"/>
    <n v="6.8900000000000003E-2"/>
    <n v="12"/>
    <s v="OFF-AHM-1"/>
    <x v="0"/>
    <d v="2026-06-10T00:00:00"/>
    <x v="1"/>
    <s v="Kuwaiti"/>
    <n v="39"/>
    <s v="30-44"/>
    <n v="3"/>
    <n v="1"/>
    <n v="22100"/>
    <n v="1522.69"/>
  </r>
  <r>
    <s v="FN-00691"/>
    <x v="156"/>
    <s v="C0631"/>
    <x v="4"/>
    <x v="0"/>
    <x v="1"/>
    <n v="15800"/>
    <n v="6.5799999999999997E-2"/>
    <n v="48"/>
    <s v="OFF-AHM-3"/>
    <x v="0"/>
    <d v="2026-06-12T00:00:00"/>
    <x v="1"/>
    <s v="Kuwaiti"/>
    <n v="38"/>
    <s v="30-44"/>
    <n v="4"/>
    <n v="1"/>
    <n v="15800"/>
    <n v="1039.6399999999999"/>
  </r>
  <r>
    <s v="FN-00700"/>
    <x v="156"/>
    <s v="C0495"/>
    <x v="4"/>
    <x v="2"/>
    <x v="0"/>
    <n v="15200"/>
    <n v="4.99E-2"/>
    <n v="36"/>
    <s v="OFF-AHM-2"/>
    <x v="0"/>
    <d v="2026-06-12T00:00:00"/>
    <x v="0"/>
    <s v="Kuwaiti"/>
    <n v="26"/>
    <s v="Under 30"/>
    <n v="4"/>
    <n v="1"/>
    <n v="15200"/>
    <n v="758.48"/>
  </r>
  <r>
    <s v="FN-00716"/>
    <x v="156"/>
    <s v="C0359"/>
    <x v="0"/>
    <x v="0"/>
    <x v="0"/>
    <n v="20300"/>
    <n v="5.5199999999999999E-2"/>
    <n v="36"/>
    <s v="OFF-KUW-3"/>
    <x v="0"/>
    <d v="2026-06-12T00:00:00"/>
    <x v="2"/>
    <s v="Kuwaiti"/>
    <n v="52"/>
    <s v="45+"/>
    <n v="4"/>
    <n v="1"/>
    <n v="20300"/>
    <n v="1120.56"/>
  </r>
  <r>
    <s v="FN-00757"/>
    <x v="156"/>
    <s v="C0883"/>
    <x v="5"/>
    <x v="2"/>
    <x v="0"/>
    <n v="12000"/>
    <n v="3.5499999999999997E-2"/>
    <n v="36"/>
    <s v="OFF-JAH-1"/>
    <x v="1"/>
    <d v="2026-06-13T00:00:00"/>
    <x v="0"/>
    <s v="Non-Kuwaiti"/>
    <n v="22"/>
    <s v="Under 30"/>
    <n v="5"/>
    <n v="0"/>
    <n v="0"/>
    <n v="0"/>
  </r>
  <r>
    <s v="FN-00800"/>
    <x v="156"/>
    <s v="C0018"/>
    <x v="5"/>
    <x v="0"/>
    <x v="0"/>
    <n v="18700"/>
    <n v="6.0900000000000003E-2"/>
    <n v="12"/>
    <s v="OFF-JAH-1"/>
    <x v="0"/>
    <d v="2026-06-14T00:00:00"/>
    <x v="1"/>
    <s v="Kuwaiti"/>
    <n v="54"/>
    <s v="45+"/>
    <n v="6"/>
    <n v="1"/>
    <n v="18700"/>
    <n v="1138.8300000000002"/>
  </r>
  <r>
    <s v="FN-00693"/>
    <x v="157"/>
    <s v="C0773"/>
    <x v="0"/>
    <x v="2"/>
    <x v="1"/>
    <n v="7200"/>
    <n v="4.36E-2"/>
    <n v="48"/>
    <s v="OFF-KUW-1"/>
    <x v="0"/>
    <d v="2026-06-13T00:00:00"/>
    <x v="0"/>
    <s v="Non-Kuwaiti"/>
    <n v="50"/>
    <s v="45+"/>
    <n v="4"/>
    <n v="1"/>
    <n v="7200"/>
    <n v="313.92"/>
  </r>
  <r>
    <s v="FN-00706"/>
    <x v="157"/>
    <s v="C0919"/>
    <x v="0"/>
    <x v="0"/>
    <x v="1"/>
    <n v="18800"/>
    <n v="6.5000000000000002E-2"/>
    <n v="24"/>
    <s v="OFF-KUW-2"/>
    <x v="0"/>
    <d v="2026-06-14T00:00:00"/>
    <x v="0"/>
    <s v="Kuwaiti"/>
    <n v="30"/>
    <s v="30-44"/>
    <n v="5"/>
    <n v="1"/>
    <n v="18800"/>
    <n v="1222"/>
  </r>
  <r>
    <s v="FN-00825"/>
    <x v="157"/>
    <s v="C0089"/>
    <x v="5"/>
    <x v="2"/>
    <x v="1"/>
    <n v="14100"/>
    <n v="4.4200000000000003E-2"/>
    <n v="60"/>
    <s v="OFF-JAH-3"/>
    <x v="1"/>
    <d v="2026-06-16T00:00:00"/>
    <x v="1"/>
    <s v="Kuwaiti"/>
    <n v="32"/>
    <s v="30-44"/>
    <n v="7"/>
    <n v="0"/>
    <n v="0"/>
    <n v="0"/>
  </r>
  <r>
    <s v="FN-00732"/>
    <x v="158"/>
    <s v="C0817"/>
    <x v="4"/>
    <x v="3"/>
    <x v="0"/>
    <n v="30200"/>
    <n v="7.6200000000000004E-2"/>
    <n v="60"/>
    <s v="OFF-AHM-1"/>
    <x v="1"/>
    <d v="2026-06-29T00:00:00"/>
    <x v="0"/>
    <s v="Non-Kuwaiti"/>
    <n v="58"/>
    <s v="45+"/>
    <n v="19"/>
    <n v="0"/>
    <n v="0"/>
    <n v="0"/>
  </r>
  <r>
    <s v="FN-00785"/>
    <x v="158"/>
    <s v="C0160"/>
    <x v="2"/>
    <x v="3"/>
    <x v="0"/>
    <n v="58900"/>
    <n v="7.6100000000000001E-2"/>
    <n v="36"/>
    <s v="OFF-SAL-3"/>
    <x v="1"/>
    <d v="2026-06-20T00:00:00"/>
    <x v="1"/>
    <s v="Kuwaiti"/>
    <n v="39"/>
    <s v="30-44"/>
    <n v="10"/>
    <n v="0"/>
    <n v="0"/>
    <n v="0"/>
  </r>
  <r>
    <s v="FN-00692"/>
    <x v="159"/>
    <s v="C0235"/>
    <x v="2"/>
    <x v="0"/>
    <x v="0"/>
    <n v="16900"/>
    <n v="5.8000000000000003E-2"/>
    <n v="48"/>
    <s v="OFF-SAL-2"/>
    <x v="0"/>
    <d v="2026-06-16T00:00:00"/>
    <x v="1"/>
    <s v="Kuwaiti"/>
    <n v="27"/>
    <s v="Under 30"/>
    <n v="5"/>
    <n v="1"/>
    <n v="16900"/>
    <n v="980.2"/>
  </r>
  <r>
    <s v="FN-00721"/>
    <x v="159"/>
    <s v="C0241"/>
    <x v="3"/>
    <x v="2"/>
    <x v="0"/>
    <n v="6700"/>
    <n v="4.7399999999999998E-2"/>
    <n v="60"/>
    <s v="OFF-FAR-3"/>
    <x v="0"/>
    <d v="2026-06-13T00:00:00"/>
    <x v="2"/>
    <s v="Kuwaiti"/>
    <n v="37"/>
    <s v="30-44"/>
    <n v="2"/>
    <n v="1"/>
    <n v="6700"/>
    <n v="317.58"/>
  </r>
  <r>
    <s v="FN-00743"/>
    <x v="159"/>
    <s v="C0906"/>
    <x v="0"/>
    <x v="3"/>
    <x v="0"/>
    <n v="154500"/>
    <n v="5.7599999999999998E-2"/>
    <n v="24"/>
    <s v="OFF-KUW-3"/>
    <x v="0"/>
    <d v="2026-07-02T00:00:00"/>
    <x v="0"/>
    <s v="Kuwaiti"/>
    <n v="56"/>
    <s v="45+"/>
    <n v="21"/>
    <n v="1"/>
    <n v="154500"/>
    <n v="8899.1999999999989"/>
  </r>
  <r>
    <s v="FN-00760"/>
    <x v="159"/>
    <s v="C0068"/>
    <x v="0"/>
    <x v="0"/>
    <x v="2"/>
    <n v="14600"/>
    <n v="6.5500000000000003E-2"/>
    <n v="48"/>
    <s v="OFF-KUW-2"/>
    <x v="0"/>
    <d v="2026-06-18T00:00:00"/>
    <x v="1"/>
    <s v="Kuwaiti"/>
    <n v="47"/>
    <s v="45+"/>
    <n v="7"/>
    <n v="1"/>
    <n v="14600"/>
    <n v="956.30000000000007"/>
  </r>
  <r>
    <s v="FN-00764"/>
    <x v="159"/>
    <s v="C0179"/>
    <x v="5"/>
    <x v="3"/>
    <x v="0"/>
    <n v="117500"/>
    <n v="5.8599999999999999E-2"/>
    <n v="36"/>
    <s v="OFF-JAH-3"/>
    <x v="1"/>
    <d v="2026-06-24T00:00:00"/>
    <x v="0"/>
    <s v="Kuwaiti"/>
    <n v="30"/>
    <s v="30-44"/>
    <n v="13"/>
    <n v="0"/>
    <n v="0"/>
    <n v="0"/>
  </r>
  <r>
    <s v="FN-00794"/>
    <x v="159"/>
    <s v="C0838"/>
    <x v="1"/>
    <x v="0"/>
    <x v="1"/>
    <n v="25000"/>
    <n v="5.8799999999999998E-2"/>
    <n v="60"/>
    <s v="OFF-HAW-3"/>
    <x v="0"/>
    <d v="2026-06-13T00:00:00"/>
    <x v="2"/>
    <s v="Non-Kuwaiti"/>
    <n v="33"/>
    <s v="30-44"/>
    <n v="2"/>
    <n v="1"/>
    <n v="25000"/>
    <n v="1470"/>
  </r>
  <r>
    <s v="FN-00814"/>
    <x v="159"/>
    <s v="C0805"/>
    <x v="5"/>
    <x v="2"/>
    <x v="1"/>
    <n v="9300"/>
    <n v="4.2299999999999997E-2"/>
    <n v="36"/>
    <s v="OFF-JAH-1"/>
    <x v="1"/>
    <d v="2026-06-15T00:00:00"/>
    <x v="1"/>
    <s v="Kuwaiti"/>
    <n v="26"/>
    <s v="Under 30"/>
    <n v="4"/>
    <n v="0"/>
    <n v="0"/>
    <n v="0"/>
  </r>
  <r>
    <s v="FN-00824"/>
    <x v="159"/>
    <s v="C0881"/>
    <x v="0"/>
    <x v="0"/>
    <x v="0"/>
    <n v="23300"/>
    <n v="5.62E-2"/>
    <n v="60"/>
    <s v="OFF-KUW-3"/>
    <x v="0"/>
    <d v="2026-06-15T00:00:00"/>
    <x v="0"/>
    <s v="Kuwaiti"/>
    <n v="33"/>
    <s v="30-44"/>
    <n v="4"/>
    <n v="1"/>
    <n v="23300"/>
    <n v="1309.46"/>
  </r>
  <r>
    <s v="FN-00715"/>
    <x v="160"/>
    <s v="C0653"/>
    <x v="3"/>
    <x v="0"/>
    <x v="0"/>
    <n v="17700"/>
    <n v="6.3200000000000006E-2"/>
    <n v="24"/>
    <s v="OFF-FAR-3"/>
    <x v="0"/>
    <d v="2026-06-13T00:00:00"/>
    <x v="1"/>
    <s v="Non-Kuwaiti"/>
    <n v="34"/>
    <s v="30-44"/>
    <n v="1"/>
    <n v="1"/>
    <n v="17700"/>
    <n v="1118.6400000000001"/>
  </r>
  <r>
    <s v="FN-00738"/>
    <x v="160"/>
    <s v="C0892"/>
    <x v="1"/>
    <x v="2"/>
    <x v="1"/>
    <n v="10100"/>
    <n v="4.5100000000000001E-2"/>
    <n v="36"/>
    <s v="OFF-HAW-3"/>
    <x v="0"/>
    <d v="2026-06-15T00:00:00"/>
    <x v="0"/>
    <s v="Kuwaiti"/>
    <n v="38"/>
    <s v="30-44"/>
    <n v="3"/>
    <n v="1"/>
    <n v="10100"/>
    <n v="455.51"/>
  </r>
  <r>
    <s v="FN-00777"/>
    <x v="160"/>
    <s v="C0133"/>
    <x v="0"/>
    <x v="3"/>
    <x v="0"/>
    <n v="92600"/>
    <n v="7.6200000000000004E-2"/>
    <n v="84"/>
    <s v="OFF-KUW-3"/>
    <x v="0"/>
    <d v="2026-06-23T00:00:00"/>
    <x v="0"/>
    <s v="Kuwaiti"/>
    <n v="44"/>
    <s v="30-44"/>
    <n v="11"/>
    <n v="1"/>
    <n v="92600"/>
    <n v="7056.1200000000008"/>
  </r>
  <r>
    <s v="FN-00786"/>
    <x v="160"/>
    <s v="C0614"/>
    <x v="0"/>
    <x v="3"/>
    <x v="1"/>
    <n v="60700"/>
    <n v="6.8500000000000005E-2"/>
    <n v="36"/>
    <s v="OFF-KUW-1"/>
    <x v="0"/>
    <d v="2026-06-28T00:00:00"/>
    <x v="2"/>
    <s v="Kuwaiti"/>
    <n v="49"/>
    <s v="45+"/>
    <n v="16"/>
    <n v="1"/>
    <n v="60700"/>
    <n v="4157.9500000000007"/>
  </r>
  <r>
    <s v="FN-00708"/>
    <x v="161"/>
    <s v="C0552"/>
    <x v="0"/>
    <x v="0"/>
    <x v="0"/>
    <n v="16200"/>
    <n v="5.45E-2"/>
    <n v="48"/>
    <s v="OFF-KUW-3"/>
    <x v="0"/>
    <d v="2026-06-19T00:00:00"/>
    <x v="0"/>
    <s v="Kuwaiti"/>
    <n v="54"/>
    <s v="45+"/>
    <n v="6"/>
    <n v="1"/>
    <n v="16200"/>
    <n v="882.9"/>
  </r>
  <r>
    <s v="FN-00754"/>
    <x v="161"/>
    <s v="C0635"/>
    <x v="1"/>
    <x v="0"/>
    <x v="0"/>
    <n v="17000"/>
    <n v="6.0400000000000002E-2"/>
    <n v="60"/>
    <s v="OFF-HAW-2"/>
    <x v="0"/>
    <d v="2026-06-20T00:00:00"/>
    <x v="1"/>
    <s v="Kuwaiti"/>
    <n v="22"/>
    <s v="Under 30"/>
    <n v="7"/>
    <n v="1"/>
    <n v="17000"/>
    <n v="1026.8"/>
  </r>
  <r>
    <s v="FN-00766"/>
    <x v="161"/>
    <s v="C0065"/>
    <x v="1"/>
    <x v="1"/>
    <x v="1"/>
    <n v="110400"/>
    <n v="4.1000000000000002E-2"/>
    <n v="300"/>
    <s v="OFF-HAW-3"/>
    <x v="1"/>
    <d v="2026-06-22T00:00:00"/>
    <x v="1"/>
    <s v="Kuwaiti"/>
    <n v="41"/>
    <s v="30-44"/>
    <n v="9"/>
    <n v="0"/>
    <n v="0"/>
    <n v="0"/>
  </r>
  <r>
    <s v="FN-00819"/>
    <x v="161"/>
    <s v="C0593"/>
    <x v="3"/>
    <x v="2"/>
    <x v="1"/>
    <n v="17800"/>
    <n v="4.7300000000000002E-2"/>
    <n v="48"/>
    <s v="OFF-FAR-3"/>
    <x v="0"/>
    <d v="2026-06-17T00:00:00"/>
    <x v="2"/>
    <s v="Kuwaiti"/>
    <n v="35"/>
    <s v="30-44"/>
    <n v="4"/>
    <n v="1"/>
    <n v="17800"/>
    <n v="841.94"/>
  </r>
  <r>
    <s v="FN-00702"/>
    <x v="162"/>
    <s v="C0538"/>
    <x v="1"/>
    <x v="0"/>
    <x v="0"/>
    <n v="5700"/>
    <n v="6.54E-2"/>
    <n v="24"/>
    <s v="OFF-HAW-3"/>
    <x v="0"/>
    <d v="2026-06-15T00:00:00"/>
    <x v="1"/>
    <s v="Kuwaiti"/>
    <n v="26"/>
    <s v="Under 30"/>
    <n v="1"/>
    <n v="1"/>
    <n v="5700"/>
    <n v="372.78"/>
  </r>
  <r>
    <s v="FN-00740"/>
    <x v="162"/>
    <s v="C0872"/>
    <x v="3"/>
    <x v="2"/>
    <x v="1"/>
    <n v="10100"/>
    <n v="3.7199999999999997E-2"/>
    <n v="36"/>
    <s v="OFF-FAR-2"/>
    <x v="0"/>
    <d v="2026-06-16T00:00:00"/>
    <x v="1"/>
    <s v="Kuwaiti"/>
    <n v="32"/>
    <s v="30-44"/>
    <n v="2"/>
    <n v="1"/>
    <n v="10100"/>
    <n v="375.71999999999997"/>
  </r>
  <r>
    <s v="FN-00776"/>
    <x v="162"/>
    <s v="C0272"/>
    <x v="5"/>
    <x v="1"/>
    <x v="0"/>
    <n v="180400"/>
    <n v="3.4500000000000003E-2"/>
    <n v="300"/>
    <s v="OFF-JAH-2"/>
    <x v="0"/>
    <d v="2026-07-09T00:00:00"/>
    <x v="1"/>
    <s v="Non-Kuwaiti"/>
    <n v="71"/>
    <s v="45+"/>
    <n v="25"/>
    <n v="1"/>
    <n v="180400"/>
    <n v="6223.8"/>
  </r>
  <r>
    <s v="FN-00696"/>
    <x v="163"/>
    <s v="C0616"/>
    <x v="0"/>
    <x v="0"/>
    <x v="1"/>
    <n v="25000"/>
    <n v="6.2799999999999995E-2"/>
    <n v="60"/>
    <s v="OFF-KUW-3"/>
    <x v="1"/>
    <d v="2026-06-16T00:00:00"/>
    <x v="2"/>
    <s v="Kuwaiti"/>
    <n v="35"/>
    <s v="30-44"/>
    <n v="1"/>
    <n v="0"/>
    <n v="0"/>
    <n v="0"/>
  </r>
  <r>
    <s v="FN-00802"/>
    <x v="163"/>
    <s v="C0316"/>
    <x v="0"/>
    <x v="0"/>
    <x v="0"/>
    <n v="11200"/>
    <n v="6.3799999999999996E-2"/>
    <n v="60"/>
    <s v="OFF-KUW-3"/>
    <x v="0"/>
    <d v="2026-06-22T00:00:00"/>
    <x v="1"/>
    <s v="Non-Kuwaiti"/>
    <n v="41"/>
    <s v="30-44"/>
    <n v="7"/>
    <n v="1"/>
    <n v="11200"/>
    <n v="714.56"/>
  </r>
  <r>
    <s v="FN-00810"/>
    <x v="163"/>
    <s v="C0894"/>
    <x v="3"/>
    <x v="2"/>
    <x v="0"/>
    <n v="16500"/>
    <n v="4.24E-2"/>
    <n v="48"/>
    <s v="OFF-FAR-2"/>
    <x v="0"/>
    <d v="2026-06-16T00:00:00"/>
    <x v="0"/>
    <s v="Non-Kuwaiti"/>
    <n v="43"/>
    <s v="30-44"/>
    <n v="1"/>
    <n v="1"/>
    <n v="16500"/>
    <n v="699.6"/>
  </r>
  <r>
    <s v="FN-00811"/>
    <x v="163"/>
    <s v="C0814"/>
    <x v="1"/>
    <x v="2"/>
    <x v="0"/>
    <n v="13000"/>
    <n v="4.3999999999999997E-2"/>
    <n v="48"/>
    <s v="OFF-HAW-2"/>
    <x v="0"/>
    <d v="2026-06-18T00:00:00"/>
    <x v="0"/>
    <s v="Kuwaiti"/>
    <n v="52"/>
    <s v="45+"/>
    <n v="3"/>
    <n v="1"/>
    <n v="13000"/>
    <n v="572"/>
  </r>
  <r>
    <s v="FN-00718"/>
    <x v="164"/>
    <s v="C0231"/>
    <x v="1"/>
    <x v="0"/>
    <x v="1"/>
    <n v="13800"/>
    <n v="5.3400000000000003E-2"/>
    <n v="12"/>
    <s v="OFF-HAW-3"/>
    <x v="1"/>
    <d v="2026-06-17T00:00:00"/>
    <x v="0"/>
    <s v="Kuwaiti"/>
    <n v="50"/>
    <s v="45+"/>
    <n v="1"/>
    <n v="0"/>
    <n v="0"/>
    <n v="0"/>
  </r>
  <r>
    <s v="FN-00787"/>
    <x v="164"/>
    <s v="C0188"/>
    <x v="0"/>
    <x v="0"/>
    <x v="0"/>
    <n v="4200"/>
    <n v="6.6699999999999995E-2"/>
    <n v="36"/>
    <s v="OFF-KUW-1"/>
    <x v="0"/>
    <d v="2026-06-18T00:00:00"/>
    <x v="0"/>
    <s v="Non-Kuwaiti"/>
    <n v="34"/>
    <s v="30-44"/>
    <n v="2"/>
    <n v="1"/>
    <n v="4200"/>
    <n v="280.14"/>
  </r>
  <r>
    <s v="FN-00806"/>
    <x v="164"/>
    <s v="C0687"/>
    <x v="0"/>
    <x v="1"/>
    <x v="0"/>
    <n v="123800"/>
    <n v="4.1099999999999998E-2"/>
    <n v="240"/>
    <s v="OFF-KUW-3"/>
    <x v="0"/>
    <d v="2026-07-15T00:00:00"/>
    <x v="0"/>
    <s v="Kuwaiti"/>
    <n v="46"/>
    <s v="45+"/>
    <n v="29"/>
    <n v="1"/>
    <n v="123800"/>
    <n v="5088.1799999999994"/>
  </r>
  <r>
    <s v="FN-00695"/>
    <x v="165"/>
    <s v="C0133"/>
    <x v="5"/>
    <x v="0"/>
    <x v="0"/>
    <n v="3700"/>
    <n v="6.8699999999999997E-2"/>
    <n v="12"/>
    <s v="OFF-JAH-2"/>
    <x v="0"/>
    <d v="2026-06-25T00:00:00"/>
    <x v="0"/>
    <s v="Kuwaiti"/>
    <n v="44"/>
    <s v="30-44"/>
    <n v="8"/>
    <n v="1"/>
    <n v="3700"/>
    <n v="254.19"/>
  </r>
  <r>
    <s v="FN-00703"/>
    <x v="165"/>
    <s v="C0084"/>
    <x v="5"/>
    <x v="0"/>
    <x v="0"/>
    <n v="23400"/>
    <n v="6.8400000000000002E-2"/>
    <n v="36"/>
    <s v="OFF-JAH-1"/>
    <x v="1"/>
    <d v="2026-06-24T00:00:00"/>
    <x v="1"/>
    <s v="Kuwaiti"/>
    <n v="31"/>
    <s v="30-44"/>
    <n v="7"/>
    <n v="0"/>
    <n v="0"/>
    <n v="0"/>
  </r>
  <r>
    <s v="FN-00717"/>
    <x v="165"/>
    <s v="C0124"/>
    <x v="3"/>
    <x v="3"/>
    <x v="0"/>
    <n v="64100"/>
    <n v="6.08E-2"/>
    <n v="36"/>
    <s v="OFF-FAR-2"/>
    <x v="1"/>
    <d v="2026-07-01T00:00:00"/>
    <x v="1"/>
    <s v="Non-Kuwaiti"/>
    <n v="40"/>
    <s v="30-44"/>
    <n v="14"/>
    <n v="0"/>
    <n v="0"/>
    <n v="0"/>
  </r>
  <r>
    <s v="FN-00747"/>
    <x v="165"/>
    <s v="C0437"/>
    <x v="3"/>
    <x v="3"/>
    <x v="0"/>
    <n v="45600"/>
    <n v="6.7299999999999999E-2"/>
    <n v="60"/>
    <s v="OFF-FAR-1"/>
    <x v="1"/>
    <d v="2026-06-27T00:00:00"/>
    <x v="0"/>
    <s v="Kuwaiti"/>
    <n v="30"/>
    <s v="30-44"/>
    <n v="10"/>
    <n v="0"/>
    <n v="0"/>
    <n v="0"/>
  </r>
  <r>
    <s v="FN-00750"/>
    <x v="165"/>
    <s v="C0662"/>
    <x v="0"/>
    <x v="2"/>
    <x v="1"/>
    <n v="16400"/>
    <n v="3.6600000000000001E-2"/>
    <n v="60"/>
    <s v="OFF-KUW-3"/>
    <x v="0"/>
    <d v="2026-06-18T00:00:00"/>
    <x v="0"/>
    <s v="Kuwaiti"/>
    <n v="30"/>
    <s v="30-44"/>
    <n v="1"/>
    <n v="1"/>
    <n v="16400"/>
    <n v="600.24"/>
  </r>
  <r>
    <s v="FN-00780"/>
    <x v="165"/>
    <s v="C0117"/>
    <x v="5"/>
    <x v="3"/>
    <x v="0"/>
    <n v="110200"/>
    <n v="6.1699999999999998E-2"/>
    <n v="84"/>
    <s v="OFF-JAH-1"/>
    <x v="1"/>
    <d v="2026-07-10T00:00:00"/>
    <x v="1"/>
    <s v="Non-Kuwaiti"/>
    <n v="38"/>
    <s v="30-44"/>
    <n v="23"/>
    <n v="0"/>
    <n v="0"/>
    <n v="0"/>
  </r>
  <r>
    <s v="FN-00808"/>
    <x v="165"/>
    <s v="C0657"/>
    <x v="1"/>
    <x v="1"/>
    <x v="0"/>
    <n v="225400"/>
    <n v="3.2399999999999998E-2"/>
    <n v="300"/>
    <s v="OFF-HAW-1"/>
    <x v="0"/>
    <d v="2026-07-17T00:00:00"/>
    <x v="0"/>
    <s v="Non-Kuwaiti"/>
    <n v="24"/>
    <s v="Under 30"/>
    <n v="30"/>
    <n v="1"/>
    <n v="225400"/>
    <n v="7302.96"/>
  </r>
  <r>
    <s v="FN-00731"/>
    <x v="166"/>
    <s v="C0798"/>
    <x v="1"/>
    <x v="3"/>
    <x v="0"/>
    <n v="84400"/>
    <n v="5.79E-2"/>
    <n v="60"/>
    <s v="OFF-HAW-2"/>
    <x v="1"/>
    <d v="2026-07-01T00:00:00"/>
    <x v="1"/>
    <s v="Kuwaiti"/>
    <n v="53"/>
    <s v="45+"/>
    <n v="13"/>
    <n v="0"/>
    <n v="0"/>
    <n v="0"/>
  </r>
  <r>
    <s v="FN-00737"/>
    <x v="166"/>
    <s v="C0527"/>
    <x v="0"/>
    <x v="3"/>
    <x v="1"/>
    <n v="166600"/>
    <n v="7.1800000000000003E-2"/>
    <n v="24"/>
    <s v="OFF-KUW-3"/>
    <x v="1"/>
    <d v="2026-06-27T00:00:00"/>
    <x v="0"/>
    <s v="Non-Kuwaiti"/>
    <n v="29"/>
    <s v="Under 30"/>
    <n v="9"/>
    <n v="0"/>
    <n v="0"/>
    <n v="0"/>
  </r>
  <r>
    <s v="FN-00746"/>
    <x v="166"/>
    <s v="C0173"/>
    <x v="0"/>
    <x v="1"/>
    <x v="1"/>
    <n v="242200"/>
    <n v="4.1700000000000001E-2"/>
    <n v="300"/>
    <s v="OFF-KUW-3"/>
    <x v="0"/>
    <d v="2026-07-04T00:00:00"/>
    <x v="0"/>
    <s v="Kuwaiti"/>
    <n v="23"/>
    <s v="Under 30"/>
    <n v="16"/>
    <n v="1"/>
    <n v="242200"/>
    <n v="10099.74"/>
  </r>
  <r>
    <s v="FN-00749"/>
    <x v="166"/>
    <s v="C0203"/>
    <x v="2"/>
    <x v="0"/>
    <x v="1"/>
    <n v="15200"/>
    <n v="5.5399999999999998E-2"/>
    <n v="24"/>
    <s v="OFF-SAL-2"/>
    <x v="0"/>
    <d v="2026-06-22T00:00:00"/>
    <x v="0"/>
    <s v="Kuwaiti"/>
    <n v="67"/>
    <s v="45+"/>
    <n v="4"/>
    <n v="1"/>
    <n v="15200"/>
    <n v="842.07999999999993"/>
  </r>
  <r>
    <s v="FN-00765"/>
    <x v="166"/>
    <s v="C0462"/>
    <x v="0"/>
    <x v="2"/>
    <x v="0"/>
    <n v="12400"/>
    <n v="4.53E-2"/>
    <n v="60"/>
    <s v="OFF-KUW-2"/>
    <x v="0"/>
    <d v="2026-06-22T00:00:00"/>
    <x v="1"/>
    <s v="Non-Kuwaiti"/>
    <n v="61"/>
    <s v="45+"/>
    <n v="4"/>
    <n v="1"/>
    <n v="12400"/>
    <n v="561.72"/>
  </r>
  <r>
    <s v="FN-00815"/>
    <x v="166"/>
    <s v="C0208"/>
    <x v="4"/>
    <x v="2"/>
    <x v="1"/>
    <n v="13100"/>
    <n v="3.6799999999999999E-2"/>
    <n v="60"/>
    <s v="OFF-AHM-3"/>
    <x v="1"/>
    <d v="2026-06-19T00:00:00"/>
    <x v="1"/>
    <s v="Kuwaiti"/>
    <n v="42"/>
    <s v="30-44"/>
    <n v="1"/>
    <n v="0"/>
    <n v="0"/>
    <n v="0"/>
  </r>
  <r>
    <s v="FN-00752"/>
    <x v="167"/>
    <s v="C0829"/>
    <x v="1"/>
    <x v="0"/>
    <x v="0"/>
    <n v="24700"/>
    <n v="5.3699999999999998E-2"/>
    <n v="36"/>
    <s v="OFF-HAW-3"/>
    <x v="0"/>
    <d v="2026-06-24T00:00:00"/>
    <x v="0"/>
    <s v="Kuwaiti"/>
    <n v="22"/>
    <s v="Under 30"/>
    <n v="5"/>
    <n v="1"/>
    <n v="24700"/>
    <n v="1326.3899999999999"/>
  </r>
  <r>
    <s v="FN-00792"/>
    <x v="167"/>
    <s v="C0568"/>
    <x v="1"/>
    <x v="2"/>
    <x v="1"/>
    <n v="7700"/>
    <n v="3.9699999999999999E-2"/>
    <n v="60"/>
    <s v="OFF-HAW-3"/>
    <x v="0"/>
    <d v="2026-06-23T00:00:00"/>
    <x v="1"/>
    <s v="Kuwaiti"/>
    <n v="57"/>
    <s v="45+"/>
    <n v="4"/>
    <n v="1"/>
    <n v="7700"/>
    <n v="305.69"/>
  </r>
  <r>
    <s v="FN-00797"/>
    <x v="167"/>
    <s v="C0164"/>
    <x v="1"/>
    <x v="2"/>
    <x v="0"/>
    <n v="17000"/>
    <n v="4.0899999999999999E-2"/>
    <n v="48"/>
    <s v="OFF-HAW-3"/>
    <x v="0"/>
    <d v="2026-06-22T00:00:00"/>
    <x v="0"/>
    <s v="Non-Kuwaiti"/>
    <n v="43"/>
    <s v="30-44"/>
    <n v="3"/>
    <n v="1"/>
    <n v="17000"/>
    <n v="695.3"/>
  </r>
  <r>
    <s v="FN-00818"/>
    <x v="167"/>
    <s v="C0531"/>
    <x v="4"/>
    <x v="0"/>
    <x v="2"/>
    <n v="4200"/>
    <n v="6.6100000000000006E-2"/>
    <n v="24"/>
    <s v="OFF-AHM-2"/>
    <x v="1"/>
    <d v="2026-06-25T00:00:00"/>
    <x v="0"/>
    <s v="Non-Kuwaiti"/>
    <n v="42"/>
    <s v="30-44"/>
    <n v="6"/>
    <n v="0"/>
    <n v="0"/>
    <n v="0"/>
  </r>
  <r>
    <s v="FN-00822"/>
    <x v="167"/>
    <s v="C0733"/>
    <x v="2"/>
    <x v="3"/>
    <x v="0"/>
    <n v="149700"/>
    <n v="7.6799999999999993E-2"/>
    <n v="84"/>
    <s v="OFF-SAL-2"/>
    <x v="0"/>
    <d v="2026-06-28T00:00:00"/>
    <x v="1"/>
    <s v="Non-Kuwaiti"/>
    <n v="36"/>
    <s v="30-44"/>
    <n v="9"/>
    <n v="1"/>
    <n v="149700"/>
    <n v="11496.96"/>
  </r>
  <r>
    <s v="FN-00709"/>
    <x v="168"/>
    <s v="C0481"/>
    <x v="5"/>
    <x v="0"/>
    <x v="2"/>
    <n v="11800"/>
    <n v="6.0999999999999999E-2"/>
    <n v="48"/>
    <s v="OFF-JAH-2"/>
    <x v="1"/>
    <d v="2026-06-25T00:00:00"/>
    <x v="1"/>
    <s v="Non-Kuwaiti"/>
    <n v="29"/>
    <s v="Under 30"/>
    <n v="5"/>
    <n v="0"/>
    <n v="0"/>
    <n v="0"/>
  </r>
  <r>
    <s v="FN-00767"/>
    <x v="168"/>
    <s v="C0172"/>
    <x v="0"/>
    <x v="0"/>
    <x v="2"/>
    <n v="14300"/>
    <n v="5.28E-2"/>
    <n v="12"/>
    <s v="OFF-KUW-1"/>
    <x v="0"/>
    <d v="2026-06-21T00:00:00"/>
    <x v="0"/>
    <s v="Kuwaiti"/>
    <n v="24"/>
    <s v="Under 30"/>
    <n v="1"/>
    <n v="1"/>
    <n v="14300"/>
    <n v="755.04"/>
  </r>
  <r>
    <s v="FN-00784"/>
    <x v="168"/>
    <s v="C0612"/>
    <x v="4"/>
    <x v="0"/>
    <x v="0"/>
    <n v="10400"/>
    <n v="5.3800000000000001E-2"/>
    <n v="60"/>
    <s v="OFF-AHM-2"/>
    <x v="1"/>
    <d v="2026-06-22T00:00:00"/>
    <x v="1"/>
    <s v="Kuwaiti"/>
    <n v="24"/>
    <s v="Under 30"/>
    <n v="2"/>
    <n v="0"/>
    <n v="0"/>
    <n v="0"/>
  </r>
  <r>
    <s v="FN-00725"/>
    <x v="169"/>
    <s v="C0323"/>
    <x v="1"/>
    <x v="2"/>
    <x v="2"/>
    <n v="11400"/>
    <n v="3.5200000000000002E-2"/>
    <n v="60"/>
    <s v="OFF-HAW-1"/>
    <x v="0"/>
    <d v="2026-06-24T00:00:00"/>
    <x v="1"/>
    <s v="Kuwaiti"/>
    <n v="54"/>
    <s v="45+"/>
    <n v="3"/>
    <n v="1"/>
    <n v="11400"/>
    <n v="401.28000000000003"/>
  </r>
  <r>
    <s v="FN-00791"/>
    <x v="169"/>
    <s v="C0721"/>
    <x v="1"/>
    <x v="2"/>
    <x v="2"/>
    <n v="13700"/>
    <n v="3.5700000000000003E-2"/>
    <n v="48"/>
    <s v="OFF-HAW-1"/>
    <x v="1"/>
    <d v="2026-06-22T00:00:00"/>
    <x v="1"/>
    <s v="Kuwaiti"/>
    <n v="50"/>
    <s v="45+"/>
    <n v="1"/>
    <n v="0"/>
    <n v="0"/>
    <n v="0"/>
  </r>
  <r>
    <s v="FN-00753"/>
    <x v="170"/>
    <s v="C0199"/>
    <x v="0"/>
    <x v="2"/>
    <x v="2"/>
    <n v="13600"/>
    <n v="4.2299999999999997E-2"/>
    <n v="48"/>
    <s v="OFF-KUW-1"/>
    <x v="0"/>
    <d v="2026-06-26T00:00:00"/>
    <x v="1"/>
    <s v="Kuwaiti"/>
    <n v="26"/>
    <s v="Under 30"/>
    <n v="4"/>
    <n v="1"/>
    <n v="13600"/>
    <n v="575.28"/>
  </r>
  <r>
    <s v="FN-00694"/>
    <x v="171"/>
    <s v="C0459"/>
    <x v="1"/>
    <x v="2"/>
    <x v="0"/>
    <n v="10700"/>
    <n v="4.5699999999999998E-2"/>
    <n v="36"/>
    <s v="OFF-HAW-1"/>
    <x v="0"/>
    <d v="2026-06-25T00:00:00"/>
    <x v="1"/>
    <s v="Kuwaiti"/>
    <n v="49"/>
    <s v="45+"/>
    <n v="2"/>
    <n v="1"/>
    <n v="10700"/>
    <n v="488.98999999999995"/>
  </r>
  <r>
    <s v="FN-00697"/>
    <x v="171"/>
    <s v="C0748"/>
    <x v="0"/>
    <x v="3"/>
    <x v="1"/>
    <n v="56300"/>
    <n v="7.9200000000000007E-2"/>
    <n v="60"/>
    <s v="OFF-KUW-2"/>
    <x v="0"/>
    <d v="2026-07-14T00:00:00"/>
    <x v="0"/>
    <s v="Kuwaiti"/>
    <n v="52"/>
    <s v="45+"/>
    <n v="21"/>
    <n v="1"/>
    <n v="56300"/>
    <n v="4458.96"/>
  </r>
  <r>
    <s v="FN-00701"/>
    <x v="171"/>
    <s v="C0521"/>
    <x v="1"/>
    <x v="0"/>
    <x v="2"/>
    <n v="25000"/>
    <n v="0.06"/>
    <n v="60"/>
    <s v="OFF-HAW-1"/>
    <x v="0"/>
    <d v="2026-06-25T00:00:00"/>
    <x v="2"/>
    <s v="Kuwaiti"/>
    <n v="59"/>
    <s v="45+"/>
    <n v="2"/>
    <n v="1"/>
    <n v="25000"/>
    <n v="1500"/>
  </r>
  <r>
    <s v="FN-00748"/>
    <x v="171"/>
    <s v="C0378"/>
    <x v="0"/>
    <x v="0"/>
    <x v="0"/>
    <n v="21900"/>
    <n v="6.3E-2"/>
    <n v="12"/>
    <s v="OFF-KUW-1"/>
    <x v="1"/>
    <d v="2026-06-29T00:00:00"/>
    <x v="1"/>
    <s v="Non-Kuwaiti"/>
    <n v="71"/>
    <s v="45+"/>
    <n v="6"/>
    <n v="0"/>
    <n v="0"/>
    <n v="0"/>
  </r>
  <r>
    <s v="FN-00789"/>
    <x v="171"/>
    <s v="C0651"/>
    <x v="3"/>
    <x v="2"/>
    <x v="2"/>
    <n v="7400"/>
    <n v="4.6100000000000002E-2"/>
    <n v="60"/>
    <s v="OFF-FAR-2"/>
    <x v="0"/>
    <d v="2026-06-27T00:00:00"/>
    <x v="2"/>
    <s v="Non-Kuwaiti"/>
    <n v="58"/>
    <s v="45+"/>
    <n v="4"/>
    <n v="1"/>
    <n v="7400"/>
    <n v="341.14000000000004"/>
  </r>
  <r>
    <s v="FN-00820"/>
    <x v="171"/>
    <s v="C0779"/>
    <x v="5"/>
    <x v="3"/>
    <x v="0"/>
    <n v="77100"/>
    <n v="7.7899999999999997E-2"/>
    <n v="60"/>
    <s v="OFF-JAH-1"/>
    <x v="1"/>
    <d v="2026-07-04T00:00:00"/>
    <x v="1"/>
    <s v="Non-Kuwaiti"/>
    <n v="28"/>
    <s v="Under 30"/>
    <n v="11"/>
    <n v="0"/>
    <n v="0"/>
    <n v="0"/>
  </r>
  <r>
    <s v="FN-00713"/>
    <x v="172"/>
    <s v="C0124"/>
    <x v="3"/>
    <x v="1"/>
    <x v="0"/>
    <n v="156600"/>
    <n v="4.1000000000000002E-2"/>
    <n v="300"/>
    <s v="OFF-FAR-2"/>
    <x v="0"/>
    <d v="2026-07-23T00:00:00"/>
    <x v="1"/>
    <s v="Non-Kuwaiti"/>
    <n v="40"/>
    <s v="30-44"/>
    <n v="29"/>
    <n v="1"/>
    <n v="156600"/>
    <n v="6420.6"/>
  </r>
  <r>
    <s v="FN-00720"/>
    <x v="172"/>
    <s v="C0903"/>
    <x v="5"/>
    <x v="2"/>
    <x v="0"/>
    <n v="17100"/>
    <n v="3.6999999999999998E-2"/>
    <n v="36"/>
    <s v="OFF-JAH-2"/>
    <x v="0"/>
    <d v="2026-07-03T00:00:00"/>
    <x v="0"/>
    <s v="Kuwaiti"/>
    <n v="42"/>
    <s v="30-44"/>
    <n v="9"/>
    <n v="1"/>
    <n v="17100"/>
    <n v="632.69999999999993"/>
  </r>
  <r>
    <s v="FN-00736"/>
    <x v="172"/>
    <s v="C0211"/>
    <x v="1"/>
    <x v="0"/>
    <x v="0"/>
    <n v="18900"/>
    <n v="6.1499999999999999E-2"/>
    <n v="36"/>
    <s v="OFF-HAW-2"/>
    <x v="0"/>
    <d v="2026-06-29T00:00:00"/>
    <x v="0"/>
    <s v="Non-Kuwaiti"/>
    <n v="37"/>
    <s v="30-44"/>
    <n v="5"/>
    <n v="1"/>
    <n v="18900"/>
    <n v="1162.3499999999999"/>
  </r>
  <r>
    <s v="FN-00751"/>
    <x v="172"/>
    <s v="C0183"/>
    <x v="2"/>
    <x v="1"/>
    <x v="0"/>
    <n v="238100"/>
    <n v="4.4499999999999998E-2"/>
    <n v="120"/>
    <s v="OFF-SAL-3"/>
    <x v="0"/>
    <d v="2026-07-10T00:00:00"/>
    <x v="1"/>
    <s v="Kuwaiti"/>
    <n v="71"/>
    <s v="45+"/>
    <n v="16"/>
    <n v="1"/>
    <n v="238100"/>
    <n v="10595.449999999999"/>
  </r>
  <r>
    <s v="FN-00759"/>
    <x v="172"/>
    <s v="C0796"/>
    <x v="3"/>
    <x v="1"/>
    <x v="1"/>
    <n v="48800"/>
    <n v="4.41E-2"/>
    <n v="240"/>
    <s v="OFF-FAR-3"/>
    <x v="0"/>
    <d v="2026-07-17T00:00:00"/>
    <x v="1"/>
    <s v="Kuwaiti"/>
    <n v="27"/>
    <s v="Under 30"/>
    <n v="23"/>
    <n v="1"/>
    <n v="48800"/>
    <n v="2152.08"/>
  </r>
  <r>
    <s v="FN-00761"/>
    <x v="172"/>
    <s v="C0376"/>
    <x v="0"/>
    <x v="0"/>
    <x v="0"/>
    <n v="24300"/>
    <n v="6.2600000000000003E-2"/>
    <n v="24"/>
    <s v="OFF-KUW-1"/>
    <x v="0"/>
    <d v="2026-06-29T00:00:00"/>
    <x v="1"/>
    <s v="Kuwaiti"/>
    <n v="41"/>
    <s v="30-44"/>
    <n v="5"/>
    <n v="1"/>
    <n v="24300"/>
    <n v="1521.18"/>
  </r>
  <r>
    <s v="FN-00783"/>
    <x v="172"/>
    <s v="C0669"/>
    <x v="5"/>
    <x v="3"/>
    <x v="1"/>
    <n v="87200"/>
    <n v="7.7700000000000005E-2"/>
    <n v="60"/>
    <s v="OFF-JAH-2"/>
    <x v="1"/>
    <d v="2026-07-04T00:00:00"/>
    <x v="1"/>
    <s v="Non-Kuwaiti"/>
    <n v="33"/>
    <s v="30-44"/>
    <n v="10"/>
    <n v="0"/>
    <n v="0"/>
    <n v="0"/>
  </r>
  <r>
    <s v="FN-00790"/>
    <x v="172"/>
    <s v="C0014"/>
    <x v="1"/>
    <x v="1"/>
    <x v="0"/>
    <n v="245500"/>
    <n v="3.9E-2"/>
    <n v="120"/>
    <s v="OFF-HAW-1"/>
    <x v="1"/>
    <d v="2026-07-04T00:00:00"/>
    <x v="1"/>
    <s v="Non-Kuwaiti"/>
    <n v="31"/>
    <s v="30-44"/>
    <n v="10"/>
    <n v="0"/>
    <n v="0"/>
    <n v="0"/>
  </r>
  <r>
    <s v="FN-00735"/>
    <x v="173"/>
    <s v="C0596"/>
    <x v="1"/>
    <x v="0"/>
    <x v="0"/>
    <n v="2400"/>
    <n v="6.8900000000000003E-2"/>
    <n v="24"/>
    <s v="OFF-HAW-3"/>
    <x v="0"/>
    <d v="2026-06-30T00:00:00"/>
    <x v="1"/>
    <s v="Kuwaiti"/>
    <n v="38"/>
    <s v="30-44"/>
    <n v="5"/>
    <n v="1"/>
    <n v="2400"/>
    <n v="165.36"/>
  </r>
  <r>
    <s v="FN-00796"/>
    <x v="173"/>
    <s v="C0568"/>
    <x v="0"/>
    <x v="1"/>
    <x v="1"/>
    <n v="248500"/>
    <n v="3.9100000000000003E-2"/>
    <n v="180"/>
    <s v="OFF-KUW-2"/>
    <x v="1"/>
    <d v="2026-07-11T00:00:00"/>
    <x v="1"/>
    <s v="Kuwaiti"/>
    <n v="57"/>
    <s v="45+"/>
    <n v="16"/>
    <n v="0"/>
    <n v="0"/>
    <n v="0"/>
  </r>
  <r>
    <s v="FN-00805"/>
    <x v="173"/>
    <s v="C0649"/>
    <x v="0"/>
    <x v="2"/>
    <x v="0"/>
    <n v="10000"/>
    <n v="4.5400000000000003E-2"/>
    <n v="60"/>
    <s v="OFF-KUW-2"/>
    <x v="0"/>
    <d v="2026-06-26T00:00:00"/>
    <x v="1"/>
    <s v="Kuwaiti"/>
    <n v="25"/>
    <s v="Under 30"/>
    <n v="1"/>
    <n v="1"/>
    <n v="10000"/>
    <n v="454.00000000000006"/>
  </r>
  <r>
    <s v="FN-00807"/>
    <x v="173"/>
    <s v="C0669"/>
    <x v="2"/>
    <x v="3"/>
    <x v="1"/>
    <n v="44400"/>
    <n v="5.7799999999999997E-2"/>
    <n v="84"/>
    <s v="OFF-SAL-3"/>
    <x v="1"/>
    <d v="2026-07-10T00:00:00"/>
    <x v="1"/>
    <s v="Non-Kuwaiti"/>
    <n v="33"/>
    <s v="30-44"/>
    <n v="15"/>
    <n v="0"/>
    <n v="0"/>
    <n v="0"/>
  </r>
  <r>
    <s v="FN-00710"/>
    <x v="174"/>
    <s v="C0332"/>
    <x v="1"/>
    <x v="2"/>
    <x v="1"/>
    <n v="11200"/>
    <n v="3.9100000000000003E-2"/>
    <n v="48"/>
    <s v="OFF-HAW-3"/>
    <x v="0"/>
    <d v="2026-06-30T00:00:00"/>
    <x v="1"/>
    <s v="Non-Kuwaiti"/>
    <n v="43"/>
    <s v="30-44"/>
    <n v="4"/>
    <n v="1"/>
    <n v="11200"/>
    <n v="437.92"/>
  </r>
  <r>
    <s v="FN-00722"/>
    <x v="174"/>
    <s v="C0711"/>
    <x v="3"/>
    <x v="2"/>
    <x v="0"/>
    <n v="6900"/>
    <n v="4.7100000000000003E-2"/>
    <n v="36"/>
    <s v="OFF-FAR-1"/>
    <x v="0"/>
    <d v="2026-06-27T00:00:00"/>
    <x v="2"/>
    <s v="Kuwaiti"/>
    <n v="27"/>
    <s v="Under 30"/>
    <n v="1"/>
    <n v="1"/>
    <n v="6900"/>
    <n v="324.99"/>
  </r>
  <r>
    <s v="FN-00728"/>
    <x v="174"/>
    <s v="C0039"/>
    <x v="2"/>
    <x v="1"/>
    <x v="0"/>
    <n v="275300"/>
    <n v="3.1399999999999997E-2"/>
    <n v="240"/>
    <s v="OFF-SAL-1"/>
    <x v="0"/>
    <d v="2026-07-13T00:00:00"/>
    <x v="0"/>
    <s v="Non-Kuwaiti"/>
    <n v="28"/>
    <s v="Under 30"/>
    <n v="17"/>
    <n v="1"/>
    <n v="275300"/>
    <n v="8644.42"/>
  </r>
  <r>
    <s v="FN-00758"/>
    <x v="174"/>
    <s v="C0772"/>
    <x v="0"/>
    <x v="0"/>
    <x v="0"/>
    <n v="24700"/>
    <n v="5.33E-2"/>
    <n v="48"/>
    <s v="OFF-KUW-1"/>
    <x v="1"/>
    <d v="2026-07-01T00:00:00"/>
    <x v="1"/>
    <s v="Kuwaiti"/>
    <n v="47"/>
    <s v="45+"/>
    <n v="5"/>
    <n v="0"/>
    <n v="0"/>
    <n v="0"/>
  </r>
  <r>
    <s v="FN-00774"/>
    <x v="174"/>
    <s v="C0309"/>
    <x v="0"/>
    <x v="0"/>
    <x v="1"/>
    <n v="17700"/>
    <n v="5.9299999999999999E-2"/>
    <n v="12"/>
    <s v="OFF-KUW-3"/>
    <x v="1"/>
    <d v="2026-06-29T00:00:00"/>
    <x v="1"/>
    <s v="Kuwaiti"/>
    <n v="25"/>
    <s v="Under 30"/>
    <n v="3"/>
    <n v="0"/>
    <n v="0"/>
    <n v="0"/>
  </r>
  <r>
    <s v="FN-00712"/>
    <x v="175"/>
    <s v="C0627"/>
    <x v="5"/>
    <x v="0"/>
    <x v="0"/>
    <n v="25000"/>
    <n v="5.8500000000000003E-2"/>
    <n v="60"/>
    <s v="OFF-JAH-2"/>
    <x v="0"/>
    <d v="2026-07-08T00:00:00"/>
    <x v="2"/>
    <s v="Kuwaiti"/>
    <n v="45"/>
    <s v="45+"/>
    <n v="11"/>
    <n v="1"/>
    <n v="25000"/>
    <n v="1462.5"/>
  </r>
  <r>
    <s v="FN-00727"/>
    <x v="175"/>
    <s v="C0079"/>
    <x v="0"/>
    <x v="2"/>
    <x v="1"/>
    <n v="10000"/>
    <n v="4.5199999999999997E-2"/>
    <n v="48"/>
    <s v="OFF-KUW-3"/>
    <x v="1"/>
    <d v="2026-06-28T00:00:00"/>
    <x v="2"/>
    <s v="Kuwaiti"/>
    <n v="32"/>
    <s v="30-44"/>
    <n v="1"/>
    <n v="0"/>
    <n v="0"/>
    <n v="0"/>
  </r>
  <r>
    <s v="FN-00742"/>
    <x v="175"/>
    <s v="C0829"/>
    <x v="2"/>
    <x v="0"/>
    <x v="0"/>
    <n v="12900"/>
    <n v="6.4600000000000005E-2"/>
    <n v="48"/>
    <s v="OFF-SAL-3"/>
    <x v="0"/>
    <d v="2026-06-30T00:00:00"/>
    <x v="0"/>
    <s v="Kuwaiti"/>
    <n v="22"/>
    <s v="Under 30"/>
    <n v="3"/>
    <n v="1"/>
    <n v="12900"/>
    <n v="833.34"/>
  </r>
  <r>
    <s v="FN-00779"/>
    <x v="175"/>
    <s v="C0665"/>
    <x v="4"/>
    <x v="2"/>
    <x v="0"/>
    <n v="10500"/>
    <n v="3.9E-2"/>
    <n v="36"/>
    <s v="OFF-AHM-3"/>
    <x v="0"/>
    <d v="2026-07-02T00:00:00"/>
    <x v="0"/>
    <s v="Kuwaiti"/>
    <n v="44"/>
    <s v="30-44"/>
    <n v="5"/>
    <n v="1"/>
    <n v="10500"/>
    <n v="409.5"/>
  </r>
  <r>
    <s v="FN-00730"/>
    <x v="176"/>
    <s v="C0756"/>
    <x v="3"/>
    <x v="1"/>
    <x v="2"/>
    <n v="104100"/>
    <n v="3.1099999999999999E-2"/>
    <n v="120"/>
    <s v="OFF-FAR-3"/>
    <x v="0"/>
    <d v="2026-07-23T00:00:00"/>
    <x v="1"/>
    <s v="Kuwaiti"/>
    <n v="24"/>
    <s v="Under 30"/>
    <n v="25"/>
    <n v="1"/>
    <n v="104100"/>
    <n v="3237.5099999999998"/>
  </r>
  <r>
    <s v="FN-00771"/>
    <x v="176"/>
    <s v="C0937"/>
    <x v="2"/>
    <x v="0"/>
    <x v="0"/>
    <n v="24000"/>
    <n v="5.4300000000000001E-2"/>
    <n v="24"/>
    <s v="OFF-SAL-2"/>
    <x v="1"/>
    <d v="2026-06-30T00:00:00"/>
    <x v="0"/>
    <s v="Kuwaiti"/>
    <n v="37"/>
    <s v="30-44"/>
    <n v="2"/>
    <n v="0"/>
    <n v="0"/>
    <n v="0"/>
  </r>
  <r>
    <s v="FN-00788"/>
    <x v="176"/>
    <s v="C0748"/>
    <x v="0"/>
    <x v="0"/>
    <x v="0"/>
    <n v="23300"/>
    <n v="6.3700000000000007E-2"/>
    <n v="24"/>
    <s v="OFF-KUW-2"/>
    <x v="0"/>
    <d v="2026-07-02T00:00:00"/>
    <x v="0"/>
    <s v="Kuwaiti"/>
    <n v="52"/>
    <s v="45+"/>
    <n v="4"/>
    <n v="1"/>
    <n v="23300"/>
    <n v="1484.2100000000003"/>
  </r>
  <r>
    <s v="FN-00795"/>
    <x v="176"/>
    <s v="C0049"/>
    <x v="2"/>
    <x v="0"/>
    <x v="0"/>
    <n v="21300"/>
    <n v="6.83E-2"/>
    <n v="36"/>
    <s v="OFF-SAL-1"/>
    <x v="0"/>
    <d v="2026-07-01T00:00:00"/>
    <x v="0"/>
    <s v="Kuwaiti"/>
    <n v="49"/>
    <s v="45+"/>
    <n v="3"/>
    <n v="1"/>
    <n v="21300"/>
    <n v="1454.79"/>
  </r>
  <r>
    <s v="FN-00798"/>
    <x v="176"/>
    <s v="C0008"/>
    <x v="3"/>
    <x v="2"/>
    <x v="2"/>
    <n v="13900"/>
    <n v="4.2099999999999999E-2"/>
    <n v="48"/>
    <s v="OFF-FAR-1"/>
    <x v="0"/>
    <d v="2026-06-30T00:00:00"/>
    <x v="1"/>
    <s v="Kuwaiti"/>
    <n v="36"/>
    <s v="30-44"/>
    <n v="2"/>
    <n v="1"/>
    <n v="13900"/>
    <n v="585.18999999999994"/>
  </r>
  <r>
    <s v="FN-00799"/>
    <x v="176"/>
    <s v="C0058"/>
    <x v="1"/>
    <x v="1"/>
    <x v="2"/>
    <n v="50700"/>
    <n v="3.6799999999999999E-2"/>
    <n v="240"/>
    <s v="OFF-HAW-2"/>
    <x v="0"/>
    <d v="2026-07-09T00:00:00"/>
    <x v="1"/>
    <s v="Non-Kuwaiti"/>
    <n v="49"/>
    <s v="45+"/>
    <n v="11"/>
    <n v="1"/>
    <n v="50700"/>
    <n v="1865.76"/>
  </r>
  <r>
    <s v="FN-00809"/>
    <x v="177"/>
    <s v="C0470"/>
    <x v="2"/>
    <x v="2"/>
    <x v="1"/>
    <n v="12300"/>
    <n v="4.0300000000000002E-2"/>
    <n v="36"/>
    <s v="OFF-SAL-1"/>
    <x v="0"/>
    <d v="2026-07-02T00:00:00"/>
    <x v="1"/>
    <s v="Non-Kuwaiti"/>
    <n v="49"/>
    <s v="45+"/>
    <n v="3"/>
    <n v="1"/>
    <n v="12300"/>
    <n v="495.69000000000005"/>
  </r>
  <r>
    <s v="FN-00704"/>
    <x v="178"/>
    <s v="C0709"/>
    <x v="0"/>
    <x v="3"/>
    <x v="0"/>
    <n v="107800"/>
    <n v="7.0800000000000002E-2"/>
    <n v="84"/>
    <s v="OFF-KUW-2"/>
    <x v="1"/>
    <d v="2026-07-14T00:00:00"/>
    <x v="2"/>
    <s v="Kuwaiti"/>
    <n v="33"/>
    <s v="30-44"/>
    <n v="14"/>
    <n v="0"/>
    <n v="0"/>
    <n v="0"/>
  </r>
  <r>
    <s v="FN-00729"/>
    <x v="178"/>
    <s v="C0744"/>
    <x v="1"/>
    <x v="0"/>
    <x v="0"/>
    <n v="22400"/>
    <n v="6.0699999999999997E-2"/>
    <n v="48"/>
    <s v="OFF-HAW-2"/>
    <x v="0"/>
    <d v="2026-07-04T00:00:00"/>
    <x v="1"/>
    <s v="Non-Kuwaiti"/>
    <n v="35"/>
    <s v="30-44"/>
    <n v="4"/>
    <n v="1"/>
    <n v="22400"/>
    <n v="1359.6799999999998"/>
  </r>
  <r>
    <s v="FN-00741"/>
    <x v="178"/>
    <s v="C0014"/>
    <x v="4"/>
    <x v="0"/>
    <x v="0"/>
    <n v="17200"/>
    <n v="6.0699999999999997E-2"/>
    <n v="24"/>
    <s v="OFF-AHM-2"/>
    <x v="0"/>
    <d v="2026-07-07T00:00:00"/>
    <x v="1"/>
    <s v="Non-Kuwaiti"/>
    <n v="31"/>
    <s v="30-44"/>
    <n v="7"/>
    <n v="1"/>
    <n v="17200"/>
    <n v="1044.04"/>
  </r>
  <r>
    <s v="FN-00756"/>
    <x v="178"/>
    <s v="C0129"/>
    <x v="2"/>
    <x v="2"/>
    <x v="0"/>
    <n v="9300"/>
    <n v="4.48E-2"/>
    <n v="60"/>
    <s v="OFF-SAL-2"/>
    <x v="0"/>
    <d v="2026-07-01T00:00:00"/>
    <x v="1"/>
    <s v="Kuwaiti"/>
    <n v="61"/>
    <s v="45+"/>
    <n v="1"/>
    <n v="1"/>
    <n v="9300"/>
    <n v="416.64"/>
  </r>
  <r>
    <s v="FN-00762"/>
    <x v="178"/>
    <s v="C0675"/>
    <x v="5"/>
    <x v="2"/>
    <x v="0"/>
    <n v="9800"/>
    <n v="4.5199999999999997E-2"/>
    <n v="36"/>
    <s v="OFF-JAH-3"/>
    <x v="1"/>
    <d v="2026-07-05T00:00:00"/>
    <x v="1"/>
    <s v="Non-Kuwaiti"/>
    <n v="67"/>
    <s v="45+"/>
    <n v="5"/>
    <n v="0"/>
    <n v="0"/>
    <n v="0"/>
  </r>
  <r>
    <s v="FN-00778"/>
    <x v="178"/>
    <s v="C0314"/>
    <x v="0"/>
    <x v="0"/>
    <x v="1"/>
    <n v="15200"/>
    <n v="5.8599999999999999E-2"/>
    <n v="12"/>
    <s v="OFF-KUW-3"/>
    <x v="0"/>
    <d v="2026-06-30T00:00:00"/>
    <x v="1"/>
    <s v="Non-Kuwaiti"/>
    <n v="27"/>
    <s v="Under 30"/>
    <n v="0"/>
    <n v="1"/>
    <n v="15200"/>
    <n v="890.72"/>
  </r>
  <r>
    <s v="FN-00857"/>
    <x v="179"/>
    <s v="C0125"/>
    <x v="0"/>
    <x v="1"/>
    <x v="1"/>
    <n v="75100"/>
    <n v="4.4400000000000002E-2"/>
    <n v="300"/>
    <s v="OFF-KUW-2"/>
    <x v="0"/>
    <d v="2026-07-26T00:00:00"/>
    <x v="1"/>
    <s v="Non-Kuwaiti"/>
    <n v="52"/>
    <s v="45+"/>
    <n v="25"/>
    <n v="1"/>
    <n v="75100"/>
    <n v="3334.44"/>
  </r>
  <r>
    <s v="FN-00869"/>
    <x v="179"/>
    <s v="C0710"/>
    <x v="3"/>
    <x v="2"/>
    <x v="1"/>
    <n v="13800"/>
    <n v="4.3700000000000003E-2"/>
    <n v="36"/>
    <s v="OFF-FAR-3"/>
    <x v="0"/>
    <d v="2026-07-01T00:00:00"/>
    <x v="1"/>
    <s v="Non-Kuwaiti"/>
    <n v="39"/>
    <s v="30-44"/>
    <n v="0"/>
    <n v="1"/>
    <n v="13800"/>
    <n v="603.06000000000006"/>
  </r>
  <r>
    <s v="FN-00887"/>
    <x v="179"/>
    <s v="C0468"/>
    <x v="3"/>
    <x v="0"/>
    <x v="0"/>
    <n v="3300"/>
    <n v="5.5800000000000002E-2"/>
    <n v="36"/>
    <s v="OFF-FAR-3"/>
    <x v="1"/>
    <d v="2026-07-07T00:00:00"/>
    <x v="1"/>
    <s v="Non-Kuwaiti"/>
    <n v="45"/>
    <s v="45+"/>
    <n v="6"/>
    <n v="0"/>
    <n v="0"/>
    <n v="0"/>
  </r>
  <r>
    <s v="FN-00910"/>
    <x v="179"/>
    <s v="C0119"/>
    <x v="2"/>
    <x v="2"/>
    <x v="0"/>
    <n v="12300"/>
    <n v="4.3499999999999997E-2"/>
    <n v="48"/>
    <s v="OFF-SAL-2"/>
    <x v="0"/>
    <d v="2026-07-03T00:00:00"/>
    <x v="0"/>
    <s v="Kuwaiti"/>
    <n v="68"/>
    <s v="45+"/>
    <n v="2"/>
    <n v="1"/>
    <n v="12300"/>
    <n v="535.04999999999995"/>
  </r>
  <r>
    <s v="FN-00978"/>
    <x v="179"/>
    <s v="C0932"/>
    <x v="1"/>
    <x v="2"/>
    <x v="0"/>
    <n v="10600"/>
    <n v="4.1000000000000002E-2"/>
    <n v="60"/>
    <s v="OFF-HAW-1"/>
    <x v="0"/>
    <d v="2026-07-03T00:00:00"/>
    <x v="1"/>
    <s v="Non-Kuwaiti"/>
    <n v="27"/>
    <s v="Under 30"/>
    <n v="2"/>
    <n v="1"/>
    <n v="10600"/>
    <n v="434.6"/>
  </r>
  <r>
    <s v="FN-00833"/>
    <x v="180"/>
    <s v="C0360"/>
    <x v="2"/>
    <x v="2"/>
    <x v="0"/>
    <n v="11000"/>
    <n v="3.5700000000000003E-2"/>
    <n v="60"/>
    <s v="OFF-SAL-1"/>
    <x v="0"/>
    <d v="2026-07-05T00:00:00"/>
    <x v="2"/>
    <s v="Kuwaiti"/>
    <n v="37"/>
    <s v="30-44"/>
    <n v="3"/>
    <n v="1"/>
    <n v="11000"/>
    <n v="392.70000000000005"/>
  </r>
  <r>
    <s v="FN-00946"/>
    <x v="180"/>
    <s v="C0428"/>
    <x v="1"/>
    <x v="0"/>
    <x v="1"/>
    <n v="3500"/>
    <n v="6.8099999999999994E-2"/>
    <n v="24"/>
    <s v="OFF-HAW-1"/>
    <x v="1"/>
    <d v="2026-07-07T00:00:00"/>
    <x v="1"/>
    <s v="Kuwaiti"/>
    <n v="48"/>
    <s v="45+"/>
    <n v="5"/>
    <n v="0"/>
    <n v="0"/>
    <n v="0"/>
  </r>
  <r>
    <s v="FN-00947"/>
    <x v="180"/>
    <s v="C0325"/>
    <x v="5"/>
    <x v="0"/>
    <x v="0"/>
    <n v="13200"/>
    <n v="5.3999999999999999E-2"/>
    <n v="36"/>
    <s v="OFF-JAH-1"/>
    <x v="1"/>
    <d v="2026-07-10T00:00:00"/>
    <x v="0"/>
    <s v="Kuwaiti"/>
    <n v="30"/>
    <s v="30-44"/>
    <n v="8"/>
    <n v="0"/>
    <n v="0"/>
    <n v="0"/>
  </r>
  <r>
    <s v="FN-00966"/>
    <x v="180"/>
    <s v="C0809"/>
    <x v="0"/>
    <x v="2"/>
    <x v="2"/>
    <n v="16900"/>
    <n v="4.4600000000000001E-2"/>
    <n v="60"/>
    <s v="OFF-KUW-3"/>
    <x v="0"/>
    <d v="2026-07-07T00:00:00"/>
    <x v="2"/>
    <s v="Non-Kuwaiti"/>
    <n v="55"/>
    <s v="45+"/>
    <n v="5"/>
    <n v="1"/>
    <n v="16900"/>
    <n v="753.74"/>
  </r>
  <r>
    <s v="FN-00969"/>
    <x v="180"/>
    <s v="C0138"/>
    <x v="4"/>
    <x v="2"/>
    <x v="0"/>
    <n v="16000"/>
    <n v="4.8899999999999999E-2"/>
    <n v="36"/>
    <s v="OFF-AHM-2"/>
    <x v="0"/>
    <d v="2026-07-07T00:00:00"/>
    <x v="0"/>
    <s v="Kuwaiti"/>
    <n v="24"/>
    <s v="Under 30"/>
    <n v="5"/>
    <n v="1"/>
    <n v="16000"/>
    <n v="782.4"/>
  </r>
  <r>
    <s v="FN-00836"/>
    <x v="181"/>
    <s v="C0808"/>
    <x v="3"/>
    <x v="2"/>
    <x v="0"/>
    <n v="6300"/>
    <n v="4.9200000000000001E-2"/>
    <n v="48"/>
    <s v="OFF-FAR-3"/>
    <x v="0"/>
    <d v="2026-07-08T00:00:00"/>
    <x v="1"/>
    <s v="Kuwaiti"/>
    <n v="28"/>
    <s v="Under 30"/>
    <n v="5"/>
    <n v="1"/>
    <n v="6300"/>
    <n v="309.95999999999998"/>
  </r>
  <r>
    <s v="FN-00841"/>
    <x v="181"/>
    <s v="C0116"/>
    <x v="5"/>
    <x v="0"/>
    <x v="2"/>
    <n v="3400"/>
    <n v="5.0200000000000002E-2"/>
    <n v="48"/>
    <s v="OFF-JAH-3"/>
    <x v="1"/>
    <d v="2026-07-11T00:00:00"/>
    <x v="1"/>
    <s v="Kuwaiti"/>
    <n v="38"/>
    <s v="30-44"/>
    <n v="8"/>
    <n v="0"/>
    <n v="0"/>
    <n v="0"/>
  </r>
  <r>
    <s v="FN-00845"/>
    <x v="181"/>
    <s v="C0877"/>
    <x v="0"/>
    <x v="2"/>
    <x v="2"/>
    <n v="6600"/>
    <n v="4.5600000000000002E-2"/>
    <n v="60"/>
    <s v="OFF-KUW-2"/>
    <x v="0"/>
    <d v="2026-07-05T00:00:00"/>
    <x v="1"/>
    <s v="Kuwaiti"/>
    <n v="43"/>
    <s v="30-44"/>
    <n v="2"/>
    <n v="1"/>
    <n v="6600"/>
    <n v="300.96000000000004"/>
  </r>
  <r>
    <s v="FN-00894"/>
    <x v="181"/>
    <s v="C0392"/>
    <x v="2"/>
    <x v="1"/>
    <x v="1"/>
    <n v="242400"/>
    <n v="3.1600000000000003E-2"/>
    <n v="120"/>
    <s v="OFF-SAL-1"/>
    <x v="0"/>
    <d v="2026-07-27T00:00:00"/>
    <x v="1"/>
    <s v="Non-Kuwaiti"/>
    <n v="53"/>
    <s v="45+"/>
    <n v="24"/>
    <n v="1"/>
    <n v="242400"/>
    <n v="7659.8400000000011"/>
  </r>
  <r>
    <s v="FN-00923"/>
    <x v="181"/>
    <s v="C0654"/>
    <x v="1"/>
    <x v="1"/>
    <x v="0"/>
    <n v="183800"/>
    <n v="3.61E-2"/>
    <n v="240"/>
    <s v="OFF-HAW-3"/>
    <x v="0"/>
    <d v="2026-07-13T00:00:00"/>
    <x v="0"/>
    <s v="Non-Kuwaiti"/>
    <n v="44"/>
    <s v="30-44"/>
    <n v="10"/>
    <n v="1"/>
    <n v="183800"/>
    <n v="6635.18"/>
  </r>
  <r>
    <s v="FN-00926"/>
    <x v="181"/>
    <s v="C0456"/>
    <x v="0"/>
    <x v="2"/>
    <x v="0"/>
    <n v="5100"/>
    <n v="4.4499999999999998E-2"/>
    <n v="60"/>
    <s v="OFF-KUW-1"/>
    <x v="0"/>
    <d v="2026-07-08T00:00:00"/>
    <x v="1"/>
    <s v="Kuwaiti"/>
    <n v="54"/>
    <s v="45+"/>
    <n v="5"/>
    <n v="1"/>
    <n v="5100"/>
    <n v="226.95"/>
  </r>
  <r>
    <s v="FN-00964"/>
    <x v="181"/>
    <s v="C0573"/>
    <x v="3"/>
    <x v="0"/>
    <x v="1"/>
    <n v="11000"/>
    <n v="6.8900000000000003E-2"/>
    <n v="60"/>
    <s v="OFF-FAR-2"/>
    <x v="1"/>
    <d v="2026-07-07T00:00:00"/>
    <x v="1"/>
    <s v="Kuwaiti"/>
    <n v="35"/>
    <s v="30-44"/>
    <n v="4"/>
    <n v="0"/>
    <n v="0"/>
    <n v="0"/>
  </r>
  <r>
    <s v="FN-00848"/>
    <x v="182"/>
    <s v="C0004"/>
    <x v="3"/>
    <x v="2"/>
    <x v="0"/>
    <n v="6700"/>
    <n v="4.9000000000000002E-2"/>
    <n v="36"/>
    <s v="OFF-FAR-1"/>
    <x v="0"/>
    <d v="2026-07-07T00:00:00"/>
    <x v="1"/>
    <s v="Kuwaiti"/>
    <n v="36"/>
    <s v="30-44"/>
    <n v="3"/>
    <n v="1"/>
    <n v="6700"/>
    <n v="328.3"/>
  </r>
  <r>
    <s v="FN-00881"/>
    <x v="182"/>
    <s v="C0553"/>
    <x v="4"/>
    <x v="3"/>
    <x v="1"/>
    <n v="154100"/>
    <n v="5.9299999999999999E-2"/>
    <n v="36"/>
    <s v="OFF-AHM-3"/>
    <x v="1"/>
    <d v="2026-07-11T00:00:00"/>
    <x v="2"/>
    <s v="Kuwaiti"/>
    <n v="37"/>
    <s v="30-44"/>
    <n v="7"/>
    <n v="0"/>
    <n v="0"/>
    <n v="0"/>
  </r>
  <r>
    <s v="FN-00914"/>
    <x v="182"/>
    <s v="C0545"/>
    <x v="1"/>
    <x v="2"/>
    <x v="0"/>
    <n v="9800"/>
    <n v="4.58E-2"/>
    <n v="36"/>
    <s v="OFF-HAW-3"/>
    <x v="0"/>
    <d v="2026-07-05T00:00:00"/>
    <x v="1"/>
    <s v="Non-Kuwaiti"/>
    <n v="49"/>
    <s v="45+"/>
    <n v="1"/>
    <n v="1"/>
    <n v="9800"/>
    <n v="448.84000000000003"/>
  </r>
  <r>
    <s v="FN-00917"/>
    <x v="182"/>
    <s v="C0565"/>
    <x v="0"/>
    <x v="0"/>
    <x v="0"/>
    <n v="11400"/>
    <n v="5.2299999999999999E-2"/>
    <n v="24"/>
    <s v="OFF-KUW-3"/>
    <x v="1"/>
    <d v="2026-07-05T00:00:00"/>
    <x v="0"/>
    <s v="Kuwaiti"/>
    <n v="39"/>
    <s v="30-44"/>
    <n v="1"/>
    <n v="0"/>
    <n v="0"/>
    <n v="0"/>
  </r>
  <r>
    <s v="FN-00979"/>
    <x v="182"/>
    <s v="C0845"/>
    <x v="4"/>
    <x v="2"/>
    <x v="2"/>
    <n v="10200"/>
    <n v="4.9200000000000001E-2"/>
    <n v="36"/>
    <s v="OFF-AHM-3"/>
    <x v="0"/>
    <d v="2026-07-05T00:00:00"/>
    <x v="0"/>
    <s v="Non-Kuwaiti"/>
    <n v="51"/>
    <s v="45+"/>
    <n v="1"/>
    <n v="1"/>
    <n v="10200"/>
    <n v="501.84000000000003"/>
  </r>
  <r>
    <s v="FN-00829"/>
    <x v="183"/>
    <s v="C0477"/>
    <x v="2"/>
    <x v="2"/>
    <x v="0"/>
    <n v="6200"/>
    <n v="4.4200000000000003E-2"/>
    <n v="60"/>
    <s v="OFF-SAL-1"/>
    <x v="0"/>
    <d v="2026-07-07T00:00:00"/>
    <x v="1"/>
    <s v="Kuwaiti"/>
    <n v="34"/>
    <s v="30-44"/>
    <n v="2"/>
    <n v="1"/>
    <n v="6200"/>
    <n v="274.04000000000002"/>
  </r>
  <r>
    <s v="FN-00838"/>
    <x v="183"/>
    <s v="C0327"/>
    <x v="0"/>
    <x v="2"/>
    <x v="1"/>
    <n v="5200"/>
    <n v="4.2000000000000003E-2"/>
    <n v="36"/>
    <s v="OFF-KUW-1"/>
    <x v="0"/>
    <d v="2026-07-05T00:00:00"/>
    <x v="0"/>
    <s v="Kuwaiti"/>
    <n v="57"/>
    <s v="45+"/>
    <n v="0"/>
    <n v="1"/>
    <n v="5200"/>
    <n v="218.4"/>
  </r>
  <r>
    <s v="FN-00859"/>
    <x v="183"/>
    <s v="C0834"/>
    <x v="0"/>
    <x v="2"/>
    <x v="0"/>
    <n v="14600"/>
    <n v="4.36E-2"/>
    <n v="48"/>
    <s v="OFF-KUW-3"/>
    <x v="0"/>
    <d v="2026-07-07T00:00:00"/>
    <x v="2"/>
    <s v="Kuwaiti"/>
    <n v="35"/>
    <s v="30-44"/>
    <n v="2"/>
    <n v="1"/>
    <n v="14600"/>
    <n v="636.55999999999995"/>
  </r>
  <r>
    <s v="FN-00904"/>
    <x v="183"/>
    <s v="C0482"/>
    <x v="4"/>
    <x v="0"/>
    <x v="0"/>
    <n v="15600"/>
    <n v="6.6699999999999995E-2"/>
    <n v="48"/>
    <s v="OFF-AHM-2"/>
    <x v="0"/>
    <d v="2026-07-09T00:00:00"/>
    <x v="1"/>
    <s v="Kuwaiti"/>
    <n v="50"/>
    <s v="45+"/>
    <n v="4"/>
    <n v="1"/>
    <n v="15600"/>
    <n v="1040.52"/>
  </r>
  <r>
    <s v="FN-00930"/>
    <x v="183"/>
    <s v="C0815"/>
    <x v="0"/>
    <x v="0"/>
    <x v="1"/>
    <n v="3300"/>
    <n v="5.2499999999999998E-2"/>
    <n v="12"/>
    <s v="OFF-KUW-2"/>
    <x v="0"/>
    <d v="2026-07-09T00:00:00"/>
    <x v="0"/>
    <s v="Kuwaiti"/>
    <n v="63"/>
    <s v="45+"/>
    <n v="4"/>
    <n v="1"/>
    <n v="3300"/>
    <n v="173.25"/>
  </r>
  <r>
    <s v="FN-00933"/>
    <x v="183"/>
    <s v="C0241"/>
    <x v="3"/>
    <x v="2"/>
    <x v="0"/>
    <n v="20300"/>
    <n v="4.6399999999999997E-2"/>
    <n v="60"/>
    <s v="OFF-FAR-2"/>
    <x v="0"/>
    <d v="2026-07-08T00:00:00"/>
    <x v="2"/>
    <s v="Kuwaiti"/>
    <n v="37"/>
    <s v="30-44"/>
    <n v="3"/>
    <n v="1"/>
    <n v="20300"/>
    <n v="941.92"/>
  </r>
  <r>
    <s v="FN-00934"/>
    <x v="183"/>
    <s v="C0093"/>
    <x v="3"/>
    <x v="3"/>
    <x v="0"/>
    <n v="73500"/>
    <n v="6.0299999999999999E-2"/>
    <n v="24"/>
    <s v="OFF-FAR-1"/>
    <x v="0"/>
    <d v="2026-07-20T00:00:00"/>
    <x v="2"/>
    <s v="Kuwaiti"/>
    <n v="32"/>
    <s v="30-44"/>
    <n v="15"/>
    <n v="1"/>
    <n v="73500"/>
    <n v="4432.05"/>
  </r>
  <r>
    <s v="FN-00952"/>
    <x v="183"/>
    <s v="C0022"/>
    <x v="5"/>
    <x v="0"/>
    <x v="0"/>
    <n v="17600"/>
    <n v="6.5299999999999997E-2"/>
    <n v="60"/>
    <s v="OFF-JAH-2"/>
    <x v="1"/>
    <d v="2026-07-12T00:00:00"/>
    <x v="1"/>
    <s v="Kuwaiti"/>
    <n v="43"/>
    <s v="30-44"/>
    <n v="7"/>
    <n v="0"/>
    <n v="0"/>
    <n v="0"/>
  </r>
  <r>
    <s v="FN-00982"/>
    <x v="183"/>
    <s v="C0464"/>
    <x v="0"/>
    <x v="0"/>
    <x v="2"/>
    <n v="25000"/>
    <n v="6.0499999999999998E-2"/>
    <n v="24"/>
    <s v="OFF-KUW-2"/>
    <x v="1"/>
    <d v="2026-07-11T00:00:00"/>
    <x v="0"/>
    <s v="Non-Kuwaiti"/>
    <n v="39"/>
    <s v="30-44"/>
    <n v="6"/>
    <n v="0"/>
    <n v="0"/>
    <n v="0"/>
  </r>
  <r>
    <s v="FN-00834"/>
    <x v="184"/>
    <s v="C0936"/>
    <x v="0"/>
    <x v="0"/>
    <x v="1"/>
    <n v="8200"/>
    <n v="6.6799999999999998E-2"/>
    <n v="12"/>
    <s v="OFF-KUW-3"/>
    <x v="1"/>
    <d v="2026-07-09T00:00:00"/>
    <x v="0"/>
    <s v="Non-Kuwaiti"/>
    <n v="24"/>
    <s v="Under 30"/>
    <n v="3"/>
    <n v="0"/>
    <n v="0"/>
    <n v="0"/>
  </r>
  <r>
    <s v="FN-00837"/>
    <x v="184"/>
    <s v="C0563"/>
    <x v="3"/>
    <x v="1"/>
    <x v="2"/>
    <n v="118300"/>
    <n v="4.3700000000000003E-2"/>
    <n v="180"/>
    <s v="OFF-FAR-2"/>
    <x v="1"/>
    <d v="2026-08-03T00:00:00"/>
    <x v="0"/>
    <s v="Non-Kuwaiti"/>
    <n v="56"/>
    <s v="45+"/>
    <n v="28"/>
    <n v="0"/>
    <n v="0"/>
    <n v="0"/>
  </r>
  <r>
    <s v="FN-00885"/>
    <x v="184"/>
    <s v="C0890"/>
    <x v="1"/>
    <x v="0"/>
    <x v="1"/>
    <n v="4000"/>
    <n v="5.8799999999999998E-2"/>
    <n v="48"/>
    <s v="OFF-HAW-3"/>
    <x v="0"/>
    <d v="2026-07-07T00:00:00"/>
    <x v="1"/>
    <s v="Kuwaiti"/>
    <n v="31"/>
    <s v="30-44"/>
    <n v="1"/>
    <n v="1"/>
    <n v="4000"/>
    <n v="235.2"/>
  </r>
  <r>
    <s v="FN-00889"/>
    <x v="184"/>
    <s v="C0704"/>
    <x v="2"/>
    <x v="2"/>
    <x v="1"/>
    <n v="9800"/>
    <n v="3.6499999999999998E-2"/>
    <n v="36"/>
    <s v="OFF-SAL-1"/>
    <x v="0"/>
    <d v="2026-07-10T00:00:00"/>
    <x v="1"/>
    <s v="Non-Kuwaiti"/>
    <n v="40"/>
    <s v="30-44"/>
    <n v="4"/>
    <n v="1"/>
    <n v="9800"/>
    <n v="357.7"/>
  </r>
  <r>
    <s v="FN-00827"/>
    <x v="185"/>
    <s v="C0588"/>
    <x v="5"/>
    <x v="2"/>
    <x v="0"/>
    <n v="9300"/>
    <n v="3.5499999999999997E-2"/>
    <n v="48"/>
    <s v="OFF-JAH-2"/>
    <x v="1"/>
    <d v="2026-07-13T00:00:00"/>
    <x v="0"/>
    <s v="Kuwaiti"/>
    <n v="23"/>
    <s v="Under 30"/>
    <n v="6"/>
    <n v="0"/>
    <n v="0"/>
    <n v="0"/>
  </r>
  <r>
    <s v="FN-00865"/>
    <x v="185"/>
    <s v="C0083"/>
    <x v="2"/>
    <x v="2"/>
    <x v="1"/>
    <n v="7600"/>
    <n v="4.2700000000000002E-2"/>
    <n v="36"/>
    <s v="OFF-SAL-1"/>
    <x v="0"/>
    <d v="2026-07-09T00:00:00"/>
    <x v="2"/>
    <s v="Kuwaiti"/>
    <n v="41"/>
    <s v="30-44"/>
    <n v="2"/>
    <n v="1"/>
    <n v="7600"/>
    <n v="324.52000000000004"/>
  </r>
  <r>
    <s v="FN-00924"/>
    <x v="185"/>
    <s v="C0219"/>
    <x v="3"/>
    <x v="3"/>
    <x v="0"/>
    <n v="139000"/>
    <n v="6.1100000000000002E-2"/>
    <n v="84"/>
    <s v="OFF-FAR-1"/>
    <x v="0"/>
    <d v="2026-07-22T00:00:00"/>
    <x v="0"/>
    <s v="Kuwaiti"/>
    <n v="36"/>
    <s v="30-44"/>
    <n v="15"/>
    <n v="1"/>
    <n v="139000"/>
    <n v="8492.9"/>
  </r>
  <r>
    <s v="FN-00962"/>
    <x v="185"/>
    <s v="C0575"/>
    <x v="1"/>
    <x v="0"/>
    <x v="0"/>
    <n v="2100"/>
    <n v="6.3100000000000003E-2"/>
    <n v="48"/>
    <s v="OFF-HAW-2"/>
    <x v="0"/>
    <d v="2026-07-11T00:00:00"/>
    <x v="1"/>
    <s v="Non-Kuwaiti"/>
    <n v="36"/>
    <s v="30-44"/>
    <n v="4"/>
    <n v="1"/>
    <n v="2100"/>
    <n v="132.51000000000002"/>
  </r>
  <r>
    <s v="FN-00835"/>
    <x v="186"/>
    <s v="C0915"/>
    <x v="3"/>
    <x v="3"/>
    <x v="1"/>
    <n v="45700"/>
    <n v="6.3500000000000001E-2"/>
    <n v="84"/>
    <s v="OFF-FAR-3"/>
    <x v="0"/>
    <d v="2026-07-23T00:00:00"/>
    <x v="1"/>
    <s v="Non-Kuwaiti"/>
    <n v="26"/>
    <s v="Under 30"/>
    <n v="15"/>
    <n v="1"/>
    <n v="45700"/>
    <n v="2901.95"/>
  </r>
  <r>
    <s v="FN-00884"/>
    <x v="186"/>
    <s v="C0870"/>
    <x v="0"/>
    <x v="3"/>
    <x v="1"/>
    <n v="78800"/>
    <n v="6.5699999999999995E-2"/>
    <n v="84"/>
    <s v="OFF-KUW-1"/>
    <x v="1"/>
    <d v="2026-07-25T00:00:00"/>
    <x v="1"/>
    <s v="Kuwaiti"/>
    <n v="35"/>
    <s v="30-44"/>
    <n v="17"/>
    <n v="0"/>
    <n v="0"/>
    <n v="0"/>
  </r>
  <r>
    <s v="FN-00963"/>
    <x v="186"/>
    <s v="C0178"/>
    <x v="3"/>
    <x v="2"/>
    <x v="0"/>
    <n v="20600"/>
    <n v="4.6300000000000001E-2"/>
    <n v="36"/>
    <s v="OFF-FAR-2"/>
    <x v="0"/>
    <d v="2026-07-13T00:00:00"/>
    <x v="2"/>
    <s v="Kuwaiti"/>
    <n v="24"/>
    <s v="Under 30"/>
    <n v="5"/>
    <n v="1"/>
    <n v="20600"/>
    <n v="953.78"/>
  </r>
  <r>
    <s v="FN-00967"/>
    <x v="186"/>
    <s v="C0754"/>
    <x v="4"/>
    <x v="0"/>
    <x v="0"/>
    <n v="17200"/>
    <n v="5.8799999999999998E-2"/>
    <n v="36"/>
    <s v="OFF-AHM-1"/>
    <x v="1"/>
    <d v="2026-07-10T00:00:00"/>
    <x v="1"/>
    <s v="Kuwaiti"/>
    <n v="43"/>
    <s v="30-44"/>
    <n v="2"/>
    <n v="0"/>
    <n v="0"/>
    <n v="0"/>
  </r>
  <r>
    <s v="FN-00868"/>
    <x v="187"/>
    <s v="C0385"/>
    <x v="1"/>
    <x v="2"/>
    <x v="0"/>
    <n v="14900"/>
    <n v="4.8800000000000003E-2"/>
    <n v="48"/>
    <s v="OFF-HAW-1"/>
    <x v="0"/>
    <d v="2026-07-14T00:00:00"/>
    <x v="1"/>
    <s v="Kuwaiti"/>
    <n v="32"/>
    <s v="30-44"/>
    <n v="5"/>
    <n v="1"/>
    <n v="14900"/>
    <n v="727.12"/>
  </r>
  <r>
    <s v="FN-00883"/>
    <x v="187"/>
    <s v="C0193"/>
    <x v="0"/>
    <x v="2"/>
    <x v="0"/>
    <n v="6200"/>
    <n v="4.9700000000000001E-2"/>
    <n v="48"/>
    <s v="OFF-KUW-3"/>
    <x v="0"/>
    <d v="2026-07-13T00:00:00"/>
    <x v="1"/>
    <s v="Kuwaiti"/>
    <n v="53"/>
    <s v="45+"/>
    <n v="4"/>
    <n v="1"/>
    <n v="6200"/>
    <n v="308.14"/>
  </r>
  <r>
    <s v="FN-00903"/>
    <x v="187"/>
    <s v="C0244"/>
    <x v="3"/>
    <x v="3"/>
    <x v="0"/>
    <n v="120800"/>
    <n v="6.4399999999999999E-2"/>
    <n v="36"/>
    <s v="OFF-FAR-3"/>
    <x v="0"/>
    <d v="2026-07-17T00:00:00"/>
    <x v="1"/>
    <s v="Non-Kuwaiti"/>
    <n v="28"/>
    <s v="Under 30"/>
    <n v="8"/>
    <n v="1"/>
    <n v="120800"/>
    <n v="7779.5199999999995"/>
  </r>
  <r>
    <s v="FN-00909"/>
    <x v="187"/>
    <s v="C0614"/>
    <x v="0"/>
    <x v="3"/>
    <x v="1"/>
    <n v="56400"/>
    <n v="6.4899999999999999E-2"/>
    <n v="84"/>
    <s v="OFF-KUW-2"/>
    <x v="0"/>
    <d v="2026-07-26T00:00:00"/>
    <x v="2"/>
    <s v="Kuwaiti"/>
    <n v="49"/>
    <s v="45+"/>
    <n v="17"/>
    <n v="1"/>
    <n v="56400"/>
    <n v="3660.36"/>
  </r>
  <r>
    <s v="FN-00856"/>
    <x v="188"/>
    <s v="C0127"/>
    <x v="1"/>
    <x v="0"/>
    <x v="1"/>
    <n v="24500"/>
    <n v="6.4500000000000002E-2"/>
    <n v="60"/>
    <s v="OFF-HAW-1"/>
    <x v="0"/>
    <d v="2026-07-14T00:00:00"/>
    <x v="1"/>
    <s v="Kuwaiti"/>
    <n v="53"/>
    <s v="45+"/>
    <n v="4"/>
    <n v="1"/>
    <n v="24500"/>
    <n v="1580.25"/>
  </r>
  <r>
    <s v="FN-00898"/>
    <x v="188"/>
    <s v="C0462"/>
    <x v="2"/>
    <x v="2"/>
    <x v="1"/>
    <n v="11900"/>
    <n v="4.2500000000000003E-2"/>
    <n v="48"/>
    <s v="OFF-SAL-2"/>
    <x v="1"/>
    <d v="2026-07-12T00:00:00"/>
    <x v="1"/>
    <s v="Non-Kuwaiti"/>
    <n v="61"/>
    <s v="45+"/>
    <n v="2"/>
    <n v="0"/>
    <n v="0"/>
    <n v="0"/>
  </r>
  <r>
    <s v="FN-00905"/>
    <x v="188"/>
    <s v="C0576"/>
    <x v="5"/>
    <x v="1"/>
    <x v="0"/>
    <n v="198800"/>
    <n v="4.0300000000000002E-2"/>
    <n v="120"/>
    <s v="OFF-JAH-2"/>
    <x v="1"/>
    <d v="2026-08-07T00:00:00"/>
    <x v="0"/>
    <s v="Kuwaiti"/>
    <n v="47"/>
    <s v="45+"/>
    <n v="28"/>
    <n v="0"/>
    <n v="0"/>
    <n v="0"/>
  </r>
  <r>
    <s v="FN-00936"/>
    <x v="188"/>
    <s v="C0353"/>
    <x v="2"/>
    <x v="2"/>
    <x v="2"/>
    <n v="11600"/>
    <n v="4.02E-2"/>
    <n v="60"/>
    <s v="OFF-SAL-2"/>
    <x v="0"/>
    <d v="2026-07-15T00:00:00"/>
    <x v="0"/>
    <s v="Kuwaiti"/>
    <n v="26"/>
    <s v="Under 30"/>
    <n v="5"/>
    <n v="1"/>
    <n v="11600"/>
    <n v="466.32"/>
  </r>
  <r>
    <s v="FN-00956"/>
    <x v="188"/>
    <s v="C0224"/>
    <x v="0"/>
    <x v="2"/>
    <x v="1"/>
    <n v="4900"/>
    <n v="4.1200000000000001E-2"/>
    <n v="48"/>
    <s v="OFF-KUW-3"/>
    <x v="0"/>
    <d v="2026-07-13T00:00:00"/>
    <x v="0"/>
    <s v="Non-Kuwaiti"/>
    <n v="44"/>
    <s v="30-44"/>
    <n v="3"/>
    <n v="1"/>
    <n v="4900"/>
    <n v="201.88"/>
  </r>
  <r>
    <s v="FN-00958"/>
    <x v="188"/>
    <s v="C0819"/>
    <x v="2"/>
    <x v="0"/>
    <x v="0"/>
    <n v="3700"/>
    <n v="6.1400000000000003E-2"/>
    <n v="36"/>
    <s v="OFF-SAL-2"/>
    <x v="0"/>
    <d v="2026-07-11T00:00:00"/>
    <x v="1"/>
    <s v="Kuwaiti"/>
    <n v="40"/>
    <s v="30-44"/>
    <n v="1"/>
    <n v="1"/>
    <n v="3700"/>
    <n v="227.18"/>
  </r>
  <r>
    <s v="FN-00965"/>
    <x v="188"/>
    <s v="C0706"/>
    <x v="5"/>
    <x v="2"/>
    <x v="2"/>
    <n v="4800"/>
    <n v="4.1300000000000003E-2"/>
    <n v="48"/>
    <s v="OFF-JAH-3"/>
    <x v="0"/>
    <d v="2026-07-16T00:00:00"/>
    <x v="0"/>
    <s v="Kuwaiti"/>
    <n v="26"/>
    <s v="Under 30"/>
    <n v="6"/>
    <n v="1"/>
    <n v="4800"/>
    <n v="198.24"/>
  </r>
  <r>
    <s v="FN-00975"/>
    <x v="188"/>
    <s v="C0016"/>
    <x v="0"/>
    <x v="1"/>
    <x v="0"/>
    <n v="119900"/>
    <n v="3.6700000000000003E-2"/>
    <n v="180"/>
    <s v="OFF-KUW-3"/>
    <x v="1"/>
    <d v="2026-08-02T00:00:00"/>
    <x v="1"/>
    <s v="Non-Kuwaiti"/>
    <n v="43"/>
    <s v="30-44"/>
    <n v="23"/>
    <n v="0"/>
    <n v="0"/>
    <n v="0"/>
  </r>
  <r>
    <s v="FN-00902"/>
    <x v="189"/>
    <s v="C0348"/>
    <x v="3"/>
    <x v="2"/>
    <x v="0"/>
    <n v="12900"/>
    <n v="4.2200000000000001E-2"/>
    <n v="60"/>
    <s v="OFF-FAR-1"/>
    <x v="0"/>
    <d v="2026-07-16T00:00:00"/>
    <x v="1"/>
    <s v="Kuwaiti"/>
    <n v="26"/>
    <s v="Under 30"/>
    <n v="5"/>
    <n v="1"/>
    <n v="12900"/>
    <n v="544.38"/>
  </r>
  <r>
    <s v="FN-00940"/>
    <x v="189"/>
    <s v="C0797"/>
    <x v="0"/>
    <x v="2"/>
    <x v="0"/>
    <n v="15000"/>
    <n v="3.9600000000000003E-2"/>
    <n v="60"/>
    <s v="OFF-KUW-1"/>
    <x v="1"/>
    <d v="2026-07-14T00:00:00"/>
    <x v="1"/>
    <s v="Non-Kuwaiti"/>
    <n v="26"/>
    <s v="Under 30"/>
    <n v="3"/>
    <n v="0"/>
    <n v="0"/>
    <n v="0"/>
  </r>
  <r>
    <s v="FN-00949"/>
    <x v="189"/>
    <s v="C0125"/>
    <x v="2"/>
    <x v="0"/>
    <x v="0"/>
    <n v="7000"/>
    <n v="5.7200000000000001E-2"/>
    <n v="24"/>
    <s v="OFF-SAL-2"/>
    <x v="1"/>
    <d v="2026-07-17T00:00:00"/>
    <x v="1"/>
    <s v="Non-Kuwaiti"/>
    <n v="52"/>
    <s v="45+"/>
    <n v="6"/>
    <n v="0"/>
    <n v="0"/>
    <n v="0"/>
  </r>
  <r>
    <s v="FN-00879"/>
    <x v="190"/>
    <s v="C0629"/>
    <x v="1"/>
    <x v="3"/>
    <x v="0"/>
    <n v="133000"/>
    <n v="5.7799999999999997E-2"/>
    <n v="84"/>
    <s v="OFF-HAW-1"/>
    <x v="1"/>
    <d v="2026-07-25T00:00:00"/>
    <x v="1"/>
    <s v="Kuwaiti"/>
    <n v="30"/>
    <s v="30-44"/>
    <n v="13"/>
    <n v="0"/>
    <n v="0"/>
    <n v="0"/>
  </r>
  <r>
    <s v="FN-00935"/>
    <x v="190"/>
    <s v="C0594"/>
    <x v="5"/>
    <x v="0"/>
    <x v="0"/>
    <n v="23400"/>
    <n v="5.3600000000000002E-2"/>
    <n v="24"/>
    <s v="OFF-JAH-2"/>
    <x v="0"/>
    <d v="2026-07-19T00:00:00"/>
    <x v="2"/>
    <s v="Kuwaiti"/>
    <n v="45"/>
    <s v="45+"/>
    <n v="7"/>
    <n v="1"/>
    <n v="23400"/>
    <n v="1254.24"/>
  </r>
  <r>
    <s v="FN-00957"/>
    <x v="190"/>
    <s v="C0733"/>
    <x v="2"/>
    <x v="0"/>
    <x v="0"/>
    <n v="16400"/>
    <n v="5.3499999999999999E-2"/>
    <n v="12"/>
    <s v="OFF-SAL-1"/>
    <x v="0"/>
    <d v="2026-07-16T00:00:00"/>
    <x v="1"/>
    <s v="Non-Kuwaiti"/>
    <n v="36"/>
    <s v="30-44"/>
    <n v="4"/>
    <n v="1"/>
    <n v="16400"/>
    <n v="877.4"/>
  </r>
  <r>
    <s v="FN-00974"/>
    <x v="190"/>
    <s v="C0268"/>
    <x v="2"/>
    <x v="2"/>
    <x v="0"/>
    <n v="12700"/>
    <n v="4.2599999999999999E-2"/>
    <n v="48"/>
    <s v="OFF-SAL-3"/>
    <x v="0"/>
    <d v="2026-07-16T00:00:00"/>
    <x v="0"/>
    <s v="Kuwaiti"/>
    <n v="47"/>
    <s v="45+"/>
    <n v="4"/>
    <n v="1"/>
    <n v="12700"/>
    <n v="541.02"/>
  </r>
  <r>
    <s v="FN-00863"/>
    <x v="191"/>
    <s v="C0908"/>
    <x v="2"/>
    <x v="2"/>
    <x v="0"/>
    <n v="5000"/>
    <n v="3.6200000000000003E-2"/>
    <n v="48"/>
    <s v="OFF-SAL-2"/>
    <x v="0"/>
    <d v="2026-07-18T00:00:00"/>
    <x v="1"/>
    <s v="Non-Kuwaiti"/>
    <n v="29"/>
    <s v="Under 30"/>
    <n v="5"/>
    <n v="1"/>
    <n v="5000"/>
    <n v="181.00000000000003"/>
  </r>
  <r>
    <s v="FN-00867"/>
    <x v="191"/>
    <s v="C0102"/>
    <x v="2"/>
    <x v="3"/>
    <x v="2"/>
    <n v="27800"/>
    <n v="6.5199999999999994E-2"/>
    <n v="84"/>
    <s v="OFF-SAL-1"/>
    <x v="1"/>
    <d v="2026-08-02T00:00:00"/>
    <x v="1"/>
    <s v="Kuwaiti"/>
    <n v="42"/>
    <s v="30-44"/>
    <n v="20"/>
    <n v="0"/>
    <n v="0"/>
    <n v="0"/>
  </r>
  <r>
    <s v="FN-00872"/>
    <x v="191"/>
    <s v="C0068"/>
    <x v="3"/>
    <x v="2"/>
    <x v="2"/>
    <n v="4900"/>
    <n v="3.7900000000000003E-2"/>
    <n v="48"/>
    <s v="OFF-FAR-2"/>
    <x v="0"/>
    <d v="2026-07-15T00:00:00"/>
    <x v="1"/>
    <s v="Kuwaiti"/>
    <n v="47"/>
    <s v="45+"/>
    <n v="2"/>
    <n v="1"/>
    <n v="4900"/>
    <n v="185.71"/>
  </r>
  <r>
    <s v="FN-00895"/>
    <x v="191"/>
    <s v="C0173"/>
    <x v="1"/>
    <x v="3"/>
    <x v="0"/>
    <n v="33600"/>
    <n v="7.3999999999999996E-2"/>
    <n v="36"/>
    <s v="OFF-HAW-3"/>
    <x v="0"/>
    <d v="2026-07-28T00:00:00"/>
    <x v="0"/>
    <s v="Kuwaiti"/>
    <n v="23"/>
    <s v="Under 30"/>
    <n v="15"/>
    <n v="1"/>
    <n v="33600"/>
    <n v="2486.4"/>
  </r>
  <r>
    <s v="FN-00927"/>
    <x v="191"/>
    <s v="C0381"/>
    <x v="0"/>
    <x v="1"/>
    <x v="1"/>
    <n v="295200"/>
    <n v="3.0499999999999999E-2"/>
    <n v="240"/>
    <s v="OFF-KUW-2"/>
    <x v="1"/>
    <d v="2026-08-10T00:00:00"/>
    <x v="2"/>
    <s v="Kuwaiti"/>
    <n v="45"/>
    <s v="45+"/>
    <n v="28"/>
    <n v="0"/>
    <n v="0"/>
    <n v="0"/>
  </r>
  <r>
    <s v="FN-00929"/>
    <x v="191"/>
    <s v="C0172"/>
    <x v="0"/>
    <x v="2"/>
    <x v="0"/>
    <n v="4700"/>
    <n v="3.5900000000000001E-2"/>
    <n v="60"/>
    <s v="OFF-KUW-3"/>
    <x v="0"/>
    <d v="2026-07-15T00:00:00"/>
    <x v="0"/>
    <s v="Kuwaiti"/>
    <n v="24"/>
    <s v="Under 30"/>
    <n v="2"/>
    <n v="1"/>
    <n v="4700"/>
    <n v="168.73000000000002"/>
  </r>
  <r>
    <s v="FN-00840"/>
    <x v="192"/>
    <s v="C0572"/>
    <x v="5"/>
    <x v="2"/>
    <x v="1"/>
    <n v="12400"/>
    <n v="4.5199999999999997E-2"/>
    <n v="60"/>
    <s v="OFF-JAH-2"/>
    <x v="1"/>
    <d v="2026-07-21T00:00:00"/>
    <x v="1"/>
    <s v="Kuwaiti"/>
    <n v="30"/>
    <s v="30-44"/>
    <n v="7"/>
    <n v="0"/>
    <n v="0"/>
    <n v="0"/>
  </r>
  <r>
    <s v="FN-00846"/>
    <x v="192"/>
    <s v="C0546"/>
    <x v="1"/>
    <x v="2"/>
    <x v="1"/>
    <n v="13100"/>
    <n v="0.04"/>
    <n v="48"/>
    <s v="OFF-HAW-2"/>
    <x v="0"/>
    <d v="2026-07-17T00:00:00"/>
    <x v="0"/>
    <s v="Kuwaiti"/>
    <n v="24"/>
    <s v="Under 30"/>
    <n v="3"/>
    <n v="1"/>
    <n v="13100"/>
    <n v="524"/>
  </r>
  <r>
    <s v="FN-00850"/>
    <x v="192"/>
    <s v="C0418"/>
    <x v="0"/>
    <x v="0"/>
    <x v="0"/>
    <n v="6600"/>
    <n v="5.57E-2"/>
    <n v="12"/>
    <s v="OFF-KUW-2"/>
    <x v="1"/>
    <d v="2026-07-16T00:00:00"/>
    <x v="1"/>
    <s v="Non-Kuwaiti"/>
    <n v="39"/>
    <s v="30-44"/>
    <n v="2"/>
    <n v="0"/>
    <n v="0"/>
    <n v="0"/>
  </r>
  <r>
    <s v="FN-00877"/>
    <x v="192"/>
    <s v="C0877"/>
    <x v="0"/>
    <x v="0"/>
    <x v="2"/>
    <n v="3300"/>
    <n v="7.0000000000000007E-2"/>
    <n v="12"/>
    <s v="OFF-KUW-3"/>
    <x v="0"/>
    <d v="2026-07-16T00:00:00"/>
    <x v="1"/>
    <s v="Kuwaiti"/>
    <n v="43"/>
    <s v="30-44"/>
    <n v="2"/>
    <n v="1"/>
    <n v="3300"/>
    <n v="231.00000000000003"/>
  </r>
  <r>
    <s v="FN-00892"/>
    <x v="192"/>
    <s v="C0640"/>
    <x v="2"/>
    <x v="2"/>
    <x v="0"/>
    <n v="12400"/>
    <n v="4.48E-2"/>
    <n v="48"/>
    <s v="OFF-SAL-1"/>
    <x v="0"/>
    <d v="2026-07-17T00:00:00"/>
    <x v="0"/>
    <s v="Kuwaiti"/>
    <n v="45"/>
    <s v="45+"/>
    <n v="3"/>
    <n v="1"/>
    <n v="12400"/>
    <n v="555.52"/>
  </r>
  <r>
    <s v="FN-00913"/>
    <x v="192"/>
    <s v="C0500"/>
    <x v="1"/>
    <x v="3"/>
    <x v="1"/>
    <n v="25100"/>
    <n v="7.8200000000000006E-2"/>
    <n v="60"/>
    <s v="OFF-HAW-2"/>
    <x v="1"/>
    <d v="2026-07-30T00:00:00"/>
    <x v="1"/>
    <s v="Kuwaiti"/>
    <n v="55"/>
    <s v="45+"/>
    <n v="16"/>
    <n v="0"/>
    <n v="0"/>
    <n v="0"/>
  </r>
  <r>
    <s v="FN-00970"/>
    <x v="192"/>
    <s v="C0869"/>
    <x v="0"/>
    <x v="2"/>
    <x v="0"/>
    <n v="10700"/>
    <n v="4.0300000000000002E-2"/>
    <n v="60"/>
    <s v="OFF-KUW-2"/>
    <x v="0"/>
    <d v="2026-07-19T00:00:00"/>
    <x v="0"/>
    <s v="Kuwaiti"/>
    <n v="51"/>
    <s v="45+"/>
    <n v="5"/>
    <n v="1"/>
    <n v="10700"/>
    <n v="431.21000000000004"/>
  </r>
  <r>
    <s v="FN-00951"/>
    <x v="193"/>
    <s v="C0114"/>
    <x v="0"/>
    <x v="0"/>
    <x v="1"/>
    <n v="19200"/>
    <n v="6.7500000000000004E-2"/>
    <n v="60"/>
    <s v="OFF-KUW-1"/>
    <x v="1"/>
    <d v="2026-07-17T00:00:00"/>
    <x v="2"/>
    <s v="Kuwaiti"/>
    <n v="29"/>
    <s v="Under 30"/>
    <n v="2"/>
    <n v="0"/>
    <n v="0"/>
    <n v="0"/>
  </r>
  <r>
    <s v="FN-00960"/>
    <x v="193"/>
    <s v="C0557"/>
    <x v="0"/>
    <x v="2"/>
    <x v="0"/>
    <n v="4900"/>
    <n v="4.1000000000000002E-2"/>
    <n v="36"/>
    <s v="OFF-KUW-1"/>
    <x v="0"/>
    <d v="2026-07-17T00:00:00"/>
    <x v="0"/>
    <s v="Kuwaiti"/>
    <n v="33"/>
    <s v="30-44"/>
    <n v="2"/>
    <n v="1"/>
    <n v="4900"/>
    <n v="200.9"/>
  </r>
  <r>
    <s v="FN-00900"/>
    <x v="194"/>
    <s v="C0841"/>
    <x v="3"/>
    <x v="2"/>
    <x v="0"/>
    <n v="12100"/>
    <n v="4.2500000000000003E-2"/>
    <n v="36"/>
    <s v="OFF-FAR-1"/>
    <x v="0"/>
    <d v="2026-07-20T00:00:00"/>
    <x v="0"/>
    <s v="Kuwaiti"/>
    <n v="68"/>
    <s v="45+"/>
    <n v="4"/>
    <n v="1"/>
    <n v="12100"/>
    <n v="514.25"/>
  </r>
  <r>
    <s v="FN-00912"/>
    <x v="194"/>
    <s v="C0845"/>
    <x v="5"/>
    <x v="0"/>
    <x v="1"/>
    <n v="20700"/>
    <n v="6.6400000000000001E-2"/>
    <n v="48"/>
    <s v="OFF-JAH-3"/>
    <x v="1"/>
    <d v="2026-07-23T00:00:00"/>
    <x v="0"/>
    <s v="Non-Kuwaiti"/>
    <n v="51"/>
    <s v="45+"/>
    <n v="7"/>
    <n v="0"/>
    <n v="0"/>
    <n v="0"/>
  </r>
  <r>
    <s v="FN-00972"/>
    <x v="194"/>
    <s v="C0950"/>
    <x v="2"/>
    <x v="2"/>
    <x v="1"/>
    <n v="6900"/>
    <n v="4.8300000000000003E-2"/>
    <n v="48"/>
    <s v="OFF-SAL-3"/>
    <x v="0"/>
    <d v="2026-07-19T00:00:00"/>
    <x v="0"/>
    <s v="Non-Kuwaiti"/>
    <n v="58"/>
    <s v="45+"/>
    <n v="3"/>
    <n v="1"/>
    <n v="6900"/>
    <n v="333.27000000000004"/>
  </r>
  <r>
    <s v="FN-00973"/>
    <x v="194"/>
    <s v="C0176"/>
    <x v="0"/>
    <x v="1"/>
    <x v="1"/>
    <n v="110900"/>
    <n v="3.3700000000000001E-2"/>
    <n v="180"/>
    <s v="OFF-KUW-2"/>
    <x v="1"/>
    <d v="2026-08-10T00:00:00"/>
    <x v="2"/>
    <s v="Kuwaiti"/>
    <n v="55"/>
    <s v="45+"/>
    <n v="25"/>
    <n v="0"/>
    <n v="0"/>
    <n v="0"/>
  </r>
  <r>
    <s v="FN-00908"/>
    <x v="195"/>
    <s v="C0110"/>
    <x v="1"/>
    <x v="2"/>
    <x v="0"/>
    <n v="5900"/>
    <n v="4.6899999999999997E-2"/>
    <n v="48"/>
    <s v="OFF-HAW-2"/>
    <x v="0"/>
    <d v="2026-07-21T00:00:00"/>
    <x v="0"/>
    <s v="Kuwaiti"/>
    <n v="56"/>
    <s v="45+"/>
    <n v="4"/>
    <n v="1"/>
    <n v="5900"/>
    <n v="276.70999999999998"/>
  </r>
  <r>
    <s v="FN-00925"/>
    <x v="195"/>
    <s v="C0670"/>
    <x v="0"/>
    <x v="0"/>
    <x v="1"/>
    <n v="9800"/>
    <n v="5.1700000000000003E-2"/>
    <n v="36"/>
    <s v="OFF-KUW-2"/>
    <x v="0"/>
    <d v="2026-07-18T00:00:00"/>
    <x v="0"/>
    <s v="Kuwaiti"/>
    <n v="50"/>
    <s v="45+"/>
    <n v="1"/>
    <n v="1"/>
    <n v="9800"/>
    <n v="506.66"/>
  </r>
  <r>
    <s v="FN-00937"/>
    <x v="195"/>
    <s v="C0419"/>
    <x v="4"/>
    <x v="2"/>
    <x v="1"/>
    <n v="12300"/>
    <n v="4.4299999999999999E-2"/>
    <n v="60"/>
    <s v="OFF-AHM-2"/>
    <x v="0"/>
    <d v="2026-07-19T00:00:00"/>
    <x v="0"/>
    <s v="Non-Kuwaiti"/>
    <n v="35"/>
    <s v="30-44"/>
    <n v="2"/>
    <n v="1"/>
    <n v="12300"/>
    <n v="544.89"/>
  </r>
  <r>
    <s v="FN-00886"/>
    <x v="196"/>
    <s v="C0157"/>
    <x v="1"/>
    <x v="0"/>
    <x v="0"/>
    <n v="3400"/>
    <n v="5.3800000000000001E-2"/>
    <n v="12"/>
    <s v="OFF-HAW-1"/>
    <x v="0"/>
    <d v="2026-07-19T00:00:00"/>
    <x v="1"/>
    <s v="Kuwaiti"/>
    <n v="31"/>
    <s v="30-44"/>
    <n v="1"/>
    <n v="1"/>
    <n v="3400"/>
    <n v="182.92000000000002"/>
  </r>
  <r>
    <s v="FN-00943"/>
    <x v="196"/>
    <s v="C0535"/>
    <x v="3"/>
    <x v="1"/>
    <x v="0"/>
    <n v="155000"/>
    <n v="3.4500000000000003E-2"/>
    <n v="180"/>
    <s v="OFF-FAR-2"/>
    <x v="0"/>
    <d v="2026-08-03T00:00:00"/>
    <x v="1"/>
    <s v="Kuwaiti"/>
    <n v="56"/>
    <s v="45+"/>
    <n v="16"/>
    <n v="1"/>
    <n v="155000"/>
    <n v="5347.5"/>
  </r>
  <r>
    <s v="FN-00953"/>
    <x v="196"/>
    <s v="C0485"/>
    <x v="5"/>
    <x v="0"/>
    <x v="1"/>
    <n v="10700"/>
    <n v="6.1499999999999999E-2"/>
    <n v="12"/>
    <s v="OFF-JAH-2"/>
    <x v="1"/>
    <d v="2026-07-23T00:00:00"/>
    <x v="0"/>
    <s v="Non-Kuwaiti"/>
    <n v="26"/>
    <s v="Under 30"/>
    <n v="5"/>
    <n v="0"/>
    <n v="0"/>
    <n v="0"/>
  </r>
  <r>
    <s v="FN-00976"/>
    <x v="196"/>
    <s v="C0104"/>
    <x v="2"/>
    <x v="0"/>
    <x v="0"/>
    <n v="2600"/>
    <n v="5.0500000000000003E-2"/>
    <n v="60"/>
    <s v="OFF-SAL-3"/>
    <x v="0"/>
    <d v="2026-07-24T00:00:00"/>
    <x v="1"/>
    <s v="Non-Kuwaiti"/>
    <n v="52"/>
    <s v="45+"/>
    <n v="6"/>
    <n v="1"/>
    <n v="2600"/>
    <n v="131.30000000000001"/>
  </r>
  <r>
    <s v="FN-00826"/>
    <x v="197"/>
    <s v="C0452"/>
    <x v="1"/>
    <x v="2"/>
    <x v="2"/>
    <n v="14200"/>
    <n v="4.0399999999999998E-2"/>
    <n v="60"/>
    <s v="OFF-HAW-3"/>
    <x v="0"/>
    <d v="2026-07-23T00:00:00"/>
    <x v="1"/>
    <s v="Kuwaiti"/>
    <n v="46"/>
    <s v="45+"/>
    <n v="4"/>
    <n v="1"/>
    <n v="14200"/>
    <n v="573.67999999999995"/>
  </r>
  <r>
    <s v="FN-00832"/>
    <x v="197"/>
    <s v="C0383"/>
    <x v="1"/>
    <x v="0"/>
    <x v="0"/>
    <n v="10600"/>
    <n v="6.7100000000000007E-2"/>
    <n v="60"/>
    <s v="OFF-HAW-1"/>
    <x v="0"/>
    <d v="2026-07-20T00:00:00"/>
    <x v="1"/>
    <s v="Kuwaiti"/>
    <n v="28"/>
    <s v="Under 30"/>
    <n v="1"/>
    <n v="1"/>
    <n v="10600"/>
    <n v="711.2600000000001"/>
  </r>
  <r>
    <s v="FN-00843"/>
    <x v="197"/>
    <s v="C0145"/>
    <x v="0"/>
    <x v="2"/>
    <x v="0"/>
    <n v="12900"/>
    <n v="4.5400000000000003E-2"/>
    <n v="36"/>
    <s v="OFF-KUW-2"/>
    <x v="0"/>
    <d v="2026-07-21T00:00:00"/>
    <x v="1"/>
    <s v="Kuwaiti"/>
    <n v="41"/>
    <s v="30-44"/>
    <n v="2"/>
    <n v="1"/>
    <n v="12900"/>
    <n v="585.66000000000008"/>
  </r>
  <r>
    <s v="FN-00906"/>
    <x v="197"/>
    <s v="C0394"/>
    <x v="1"/>
    <x v="2"/>
    <x v="0"/>
    <n v="12800"/>
    <n v="4.02E-2"/>
    <n v="48"/>
    <s v="OFF-HAW-3"/>
    <x v="1"/>
    <d v="2026-07-23T00:00:00"/>
    <x v="0"/>
    <s v="Kuwaiti"/>
    <n v="51"/>
    <s v="45+"/>
    <n v="4"/>
    <n v="0"/>
    <n v="0"/>
    <n v="0"/>
  </r>
  <r>
    <s v="FN-00830"/>
    <x v="198"/>
    <s v="C0919"/>
    <x v="0"/>
    <x v="3"/>
    <x v="0"/>
    <n v="50200"/>
    <n v="6.4199999999999993E-2"/>
    <n v="24"/>
    <s v="OFF-KUW-1"/>
    <x v="1"/>
    <d v="2026-07-29T00:00:00"/>
    <x v="0"/>
    <s v="Kuwaiti"/>
    <n v="30"/>
    <s v="30-44"/>
    <n v="9"/>
    <n v="0"/>
    <n v="0"/>
    <n v="0"/>
  </r>
  <r>
    <s v="FN-00842"/>
    <x v="198"/>
    <s v="C0947"/>
    <x v="1"/>
    <x v="2"/>
    <x v="2"/>
    <n v="10300"/>
    <n v="4.6600000000000003E-2"/>
    <n v="60"/>
    <s v="OFF-HAW-1"/>
    <x v="0"/>
    <d v="2026-07-24T00:00:00"/>
    <x v="0"/>
    <s v="Kuwaiti"/>
    <n v="29"/>
    <s v="Under 30"/>
    <n v="4"/>
    <n v="1"/>
    <n v="10300"/>
    <n v="479.98"/>
  </r>
  <r>
    <s v="FN-00878"/>
    <x v="198"/>
    <s v="C0840"/>
    <x v="2"/>
    <x v="3"/>
    <x v="0"/>
    <n v="95700"/>
    <n v="7.2300000000000003E-2"/>
    <n v="36"/>
    <s v="OFF-SAL-1"/>
    <x v="0"/>
    <d v="2026-08-06T00:00:00"/>
    <x v="1"/>
    <s v="Kuwaiti"/>
    <n v="34"/>
    <s v="30-44"/>
    <n v="17"/>
    <n v="1"/>
    <n v="95700"/>
    <n v="6919.1100000000006"/>
  </r>
  <r>
    <s v="FN-00888"/>
    <x v="198"/>
    <s v="C0354"/>
    <x v="3"/>
    <x v="2"/>
    <x v="1"/>
    <n v="7500"/>
    <n v="4.1799999999999997E-2"/>
    <n v="60"/>
    <s v="OFF-FAR-3"/>
    <x v="1"/>
    <d v="2026-07-23T00:00:00"/>
    <x v="1"/>
    <s v="Kuwaiti"/>
    <n v="23"/>
    <s v="Under 30"/>
    <n v="3"/>
    <n v="0"/>
    <n v="0"/>
    <n v="0"/>
  </r>
  <r>
    <s v="FN-00948"/>
    <x v="198"/>
    <s v="C0235"/>
    <x v="1"/>
    <x v="2"/>
    <x v="0"/>
    <n v="4900"/>
    <n v="4.4400000000000002E-2"/>
    <n v="48"/>
    <s v="OFF-HAW-3"/>
    <x v="0"/>
    <d v="2026-07-22T00:00:00"/>
    <x v="1"/>
    <s v="Kuwaiti"/>
    <n v="27"/>
    <s v="Under 30"/>
    <n v="2"/>
    <n v="1"/>
    <n v="4900"/>
    <n v="217.56"/>
  </r>
  <r>
    <s v="FN-00954"/>
    <x v="198"/>
    <s v="C0616"/>
    <x v="5"/>
    <x v="2"/>
    <x v="2"/>
    <n v="19200"/>
    <n v="3.7100000000000001E-2"/>
    <n v="48"/>
    <s v="OFF-JAH-3"/>
    <x v="0"/>
    <d v="2026-07-28T00:00:00"/>
    <x v="2"/>
    <s v="Kuwaiti"/>
    <n v="35"/>
    <s v="30-44"/>
    <n v="8"/>
    <n v="1"/>
    <n v="19200"/>
    <n v="712.32"/>
  </r>
  <r>
    <s v="FN-00844"/>
    <x v="199"/>
    <s v="C0400"/>
    <x v="2"/>
    <x v="2"/>
    <x v="2"/>
    <n v="4600"/>
    <n v="3.7499999999999999E-2"/>
    <n v="48"/>
    <s v="OFF-SAL-2"/>
    <x v="0"/>
    <d v="2026-07-23T00:00:00"/>
    <x v="1"/>
    <s v="Kuwaiti"/>
    <n v="47"/>
    <s v="45+"/>
    <n v="2"/>
    <n v="1"/>
    <n v="4600"/>
    <n v="172.5"/>
  </r>
  <r>
    <s v="FN-00890"/>
    <x v="199"/>
    <s v="C0554"/>
    <x v="4"/>
    <x v="0"/>
    <x v="0"/>
    <n v="15400"/>
    <n v="6.0600000000000001E-2"/>
    <n v="24"/>
    <s v="OFF-AHM-1"/>
    <x v="0"/>
    <d v="2026-07-24T00:00:00"/>
    <x v="1"/>
    <s v="Kuwaiti"/>
    <n v="23"/>
    <s v="Under 30"/>
    <n v="3"/>
    <n v="1"/>
    <n v="15400"/>
    <n v="933.24"/>
  </r>
  <r>
    <s v="FN-00901"/>
    <x v="199"/>
    <s v="C0458"/>
    <x v="2"/>
    <x v="2"/>
    <x v="0"/>
    <n v="9200"/>
    <n v="4.19E-2"/>
    <n v="60"/>
    <s v="OFF-SAL-1"/>
    <x v="0"/>
    <d v="2026-07-24T00:00:00"/>
    <x v="0"/>
    <s v="Kuwaiti"/>
    <n v="26"/>
    <s v="Under 30"/>
    <n v="3"/>
    <n v="1"/>
    <n v="9200"/>
    <n v="385.48"/>
  </r>
  <r>
    <s v="FN-00968"/>
    <x v="199"/>
    <s v="C0625"/>
    <x v="5"/>
    <x v="3"/>
    <x v="0"/>
    <n v="49400"/>
    <n v="6.6900000000000001E-2"/>
    <n v="36"/>
    <s v="OFF-JAH-1"/>
    <x v="0"/>
    <d v="2026-08-03T00:00:00"/>
    <x v="0"/>
    <s v="Non-Kuwaiti"/>
    <n v="55"/>
    <s v="45+"/>
    <n v="13"/>
    <n v="1"/>
    <n v="49400"/>
    <n v="3304.86"/>
  </r>
  <r>
    <s v="FN-00971"/>
    <x v="199"/>
    <s v="C0513"/>
    <x v="1"/>
    <x v="0"/>
    <x v="0"/>
    <n v="24100"/>
    <n v="5.6000000000000001E-2"/>
    <n v="60"/>
    <s v="OFF-HAW-2"/>
    <x v="0"/>
    <d v="2026-07-24T00:00:00"/>
    <x v="1"/>
    <s v="Non-Kuwaiti"/>
    <n v="34"/>
    <s v="30-44"/>
    <n v="3"/>
    <n v="1"/>
    <n v="24100"/>
    <n v="1349.6000000000001"/>
  </r>
  <r>
    <s v="FN-00871"/>
    <x v="200"/>
    <s v="C0463"/>
    <x v="3"/>
    <x v="2"/>
    <x v="0"/>
    <n v="4100"/>
    <n v="4.1000000000000002E-2"/>
    <n v="48"/>
    <s v="OFF-FAR-2"/>
    <x v="0"/>
    <d v="2026-07-25T00:00:00"/>
    <x v="1"/>
    <s v="Non-Kuwaiti"/>
    <n v="26"/>
    <s v="Under 30"/>
    <n v="3"/>
    <n v="1"/>
    <n v="4100"/>
    <n v="168.1"/>
  </r>
  <r>
    <s v="FN-00874"/>
    <x v="200"/>
    <s v="C0657"/>
    <x v="0"/>
    <x v="3"/>
    <x v="0"/>
    <n v="49400"/>
    <n v="7.9200000000000007E-2"/>
    <n v="36"/>
    <s v="OFF-KUW-3"/>
    <x v="0"/>
    <d v="2026-07-29T00:00:00"/>
    <x v="0"/>
    <s v="Non-Kuwaiti"/>
    <n v="24"/>
    <s v="Under 30"/>
    <n v="7"/>
    <n v="1"/>
    <n v="49400"/>
    <n v="3912.4800000000005"/>
  </r>
  <r>
    <s v="FN-00915"/>
    <x v="200"/>
    <s v="C0412"/>
    <x v="4"/>
    <x v="0"/>
    <x v="0"/>
    <n v="19700"/>
    <n v="5.1799999999999999E-2"/>
    <n v="24"/>
    <s v="OFF-AHM-3"/>
    <x v="0"/>
    <d v="2026-07-29T00:00:00"/>
    <x v="1"/>
    <s v="Kuwaiti"/>
    <n v="34"/>
    <s v="30-44"/>
    <n v="7"/>
    <n v="1"/>
    <n v="19700"/>
    <n v="1020.4599999999999"/>
  </r>
  <r>
    <s v="FN-00980"/>
    <x v="200"/>
    <s v="C0269"/>
    <x v="1"/>
    <x v="2"/>
    <x v="0"/>
    <n v="12200"/>
    <n v="4.4299999999999999E-2"/>
    <n v="48"/>
    <s v="OFF-HAW-3"/>
    <x v="0"/>
    <d v="2026-07-23T00:00:00"/>
    <x v="1"/>
    <s v="Non-Kuwaiti"/>
    <n v="56"/>
    <s v="45+"/>
    <n v="1"/>
    <n v="1"/>
    <n v="12200"/>
    <n v="540.46"/>
  </r>
  <r>
    <s v="FN-00828"/>
    <x v="201"/>
    <s v="C0812"/>
    <x v="2"/>
    <x v="1"/>
    <x v="0"/>
    <n v="47600"/>
    <n v="3.8899999999999997E-2"/>
    <n v="240"/>
    <s v="OFF-SAL-3"/>
    <x v="0"/>
    <d v="2026-08-18T00:00:00"/>
    <x v="1"/>
    <s v="Kuwaiti"/>
    <n v="44"/>
    <s v="30-44"/>
    <n v="26"/>
    <n v="1"/>
    <n v="47600"/>
    <n v="1851.6399999999999"/>
  </r>
  <r>
    <s v="FN-00849"/>
    <x v="201"/>
    <s v="C0683"/>
    <x v="2"/>
    <x v="0"/>
    <x v="1"/>
    <n v="18000"/>
    <n v="6.2E-2"/>
    <n v="36"/>
    <s v="OFF-SAL-2"/>
    <x v="0"/>
    <d v="2026-07-26T00:00:00"/>
    <x v="0"/>
    <s v="Kuwaiti"/>
    <n v="61"/>
    <s v="45+"/>
    <n v="3"/>
    <n v="1"/>
    <n v="18000"/>
    <n v="1116"/>
  </r>
  <r>
    <s v="FN-00861"/>
    <x v="201"/>
    <s v="C0316"/>
    <x v="5"/>
    <x v="2"/>
    <x v="0"/>
    <n v="9100"/>
    <n v="4.5900000000000003E-2"/>
    <n v="60"/>
    <s v="OFF-JAH-3"/>
    <x v="1"/>
    <d v="2026-07-29T00:00:00"/>
    <x v="1"/>
    <s v="Non-Kuwaiti"/>
    <n v="41"/>
    <s v="30-44"/>
    <n v="6"/>
    <n v="0"/>
    <n v="0"/>
    <n v="0"/>
  </r>
  <r>
    <s v="FN-00862"/>
    <x v="201"/>
    <s v="C0894"/>
    <x v="3"/>
    <x v="0"/>
    <x v="0"/>
    <n v="25000"/>
    <n v="5.3100000000000001E-2"/>
    <n v="12"/>
    <s v="OFF-FAR-1"/>
    <x v="0"/>
    <d v="2026-07-25T00:00:00"/>
    <x v="0"/>
    <s v="Non-Kuwaiti"/>
    <n v="43"/>
    <s v="30-44"/>
    <n v="2"/>
    <n v="1"/>
    <n v="25000"/>
    <n v="1327.5"/>
  </r>
  <r>
    <s v="FN-00945"/>
    <x v="201"/>
    <s v="C0218"/>
    <x v="4"/>
    <x v="0"/>
    <x v="0"/>
    <n v="13900"/>
    <n v="6.7000000000000004E-2"/>
    <n v="36"/>
    <s v="OFF-AHM-3"/>
    <x v="0"/>
    <d v="2026-07-26T00:00:00"/>
    <x v="1"/>
    <s v="Kuwaiti"/>
    <n v="51"/>
    <s v="45+"/>
    <n v="3"/>
    <n v="1"/>
    <n v="13900"/>
    <n v="931.30000000000007"/>
  </r>
  <r>
    <s v="FN-00981"/>
    <x v="201"/>
    <s v="C0198"/>
    <x v="2"/>
    <x v="3"/>
    <x v="1"/>
    <n v="65200"/>
    <n v="5.8099999999999999E-2"/>
    <n v="24"/>
    <s v="OFF-SAL-2"/>
    <x v="1"/>
    <d v="2026-08-09T00:00:00"/>
    <x v="1"/>
    <s v="Kuwaiti"/>
    <n v="69"/>
    <s v="45+"/>
    <n v="17"/>
    <n v="0"/>
    <n v="0"/>
    <n v="0"/>
  </r>
  <r>
    <s v="FN-00839"/>
    <x v="202"/>
    <s v="C0372"/>
    <x v="1"/>
    <x v="0"/>
    <x v="0"/>
    <n v="19000"/>
    <n v="5.6099999999999997E-2"/>
    <n v="24"/>
    <s v="OFF-HAW-2"/>
    <x v="1"/>
    <d v="2026-07-30T00:00:00"/>
    <x v="1"/>
    <s v="Kuwaiti"/>
    <n v="52"/>
    <s v="45+"/>
    <n v="6"/>
    <n v="0"/>
    <n v="0"/>
    <n v="0"/>
  </r>
  <r>
    <s v="FN-00855"/>
    <x v="202"/>
    <s v="C0242"/>
    <x v="3"/>
    <x v="3"/>
    <x v="0"/>
    <n v="77900"/>
    <n v="5.7700000000000001E-2"/>
    <n v="84"/>
    <s v="OFF-FAR-3"/>
    <x v="0"/>
    <d v="2026-08-13T00:00:00"/>
    <x v="0"/>
    <s v="Non-Kuwaiti"/>
    <n v="22"/>
    <s v="Under 30"/>
    <n v="20"/>
    <n v="1"/>
    <n v="77900"/>
    <n v="4494.83"/>
  </r>
  <r>
    <s v="FN-00866"/>
    <x v="202"/>
    <s v="C0316"/>
    <x v="1"/>
    <x v="3"/>
    <x v="0"/>
    <n v="129500"/>
    <n v="7.0499999999999993E-2"/>
    <n v="24"/>
    <s v="OFF-HAW-1"/>
    <x v="1"/>
    <d v="2026-08-08T00:00:00"/>
    <x v="1"/>
    <s v="Non-Kuwaiti"/>
    <n v="41"/>
    <s v="30-44"/>
    <n v="15"/>
    <n v="0"/>
    <n v="0"/>
    <n v="0"/>
  </r>
  <r>
    <s v="FN-00873"/>
    <x v="202"/>
    <s v="C0294"/>
    <x v="2"/>
    <x v="0"/>
    <x v="0"/>
    <n v="19800"/>
    <n v="6.2799999999999995E-2"/>
    <n v="24"/>
    <s v="OFF-SAL-2"/>
    <x v="1"/>
    <d v="2026-07-27T00:00:00"/>
    <x v="1"/>
    <s v="Kuwaiti"/>
    <n v="26"/>
    <s v="Under 30"/>
    <n v="3"/>
    <n v="0"/>
    <n v="0"/>
    <n v="0"/>
  </r>
  <r>
    <s v="FN-00944"/>
    <x v="202"/>
    <s v="C0025"/>
    <x v="3"/>
    <x v="2"/>
    <x v="0"/>
    <n v="14600"/>
    <n v="4.9000000000000002E-2"/>
    <n v="36"/>
    <s v="OFF-FAR-1"/>
    <x v="1"/>
    <d v="2026-07-28T00:00:00"/>
    <x v="0"/>
    <s v="Non-Kuwaiti"/>
    <n v="34"/>
    <s v="30-44"/>
    <n v="4"/>
    <n v="0"/>
    <n v="0"/>
    <n v="0"/>
  </r>
  <r>
    <s v="FN-00959"/>
    <x v="202"/>
    <s v="C0076"/>
    <x v="1"/>
    <x v="3"/>
    <x v="1"/>
    <n v="130700"/>
    <n v="7.0699999999999999E-2"/>
    <n v="60"/>
    <s v="OFF-HAW-1"/>
    <x v="0"/>
    <d v="2026-08-04T00:00:00"/>
    <x v="1"/>
    <s v="Kuwaiti"/>
    <n v="47"/>
    <s v="45+"/>
    <n v="11"/>
    <n v="1"/>
    <n v="130700"/>
    <n v="9240.49"/>
  </r>
  <r>
    <s v="FN-00853"/>
    <x v="203"/>
    <s v="C0492"/>
    <x v="1"/>
    <x v="0"/>
    <x v="0"/>
    <n v="9300"/>
    <n v="5.0200000000000002E-2"/>
    <n v="60"/>
    <s v="OFF-HAW-3"/>
    <x v="0"/>
    <d v="2026-07-29T00:00:00"/>
    <x v="1"/>
    <s v="Non-Kuwaiti"/>
    <n v="26"/>
    <s v="Under 30"/>
    <n v="4"/>
    <n v="1"/>
    <n v="9300"/>
    <n v="466.86"/>
  </r>
  <r>
    <s v="FN-00864"/>
    <x v="203"/>
    <s v="C0650"/>
    <x v="2"/>
    <x v="0"/>
    <x v="1"/>
    <n v="6800"/>
    <n v="6.1199999999999997E-2"/>
    <n v="12"/>
    <s v="OFF-SAL-2"/>
    <x v="1"/>
    <d v="2026-07-28T00:00:00"/>
    <x v="1"/>
    <s v="Non-Kuwaiti"/>
    <n v="30"/>
    <s v="30-44"/>
    <n v="3"/>
    <n v="0"/>
    <n v="0"/>
    <n v="0"/>
  </r>
  <r>
    <s v="FN-00875"/>
    <x v="203"/>
    <s v="C0855"/>
    <x v="1"/>
    <x v="0"/>
    <x v="0"/>
    <n v="21200"/>
    <n v="6.0499999999999998E-2"/>
    <n v="24"/>
    <s v="OFF-HAW-2"/>
    <x v="1"/>
    <d v="2026-07-31T00:00:00"/>
    <x v="0"/>
    <s v="Non-Kuwaiti"/>
    <n v="48"/>
    <s v="45+"/>
    <n v="6"/>
    <n v="0"/>
    <n v="0"/>
    <n v="0"/>
  </r>
  <r>
    <s v="FN-00891"/>
    <x v="203"/>
    <s v="C0709"/>
    <x v="3"/>
    <x v="3"/>
    <x v="1"/>
    <n v="216000"/>
    <n v="7.6200000000000004E-2"/>
    <n v="36"/>
    <s v="OFF-FAR-2"/>
    <x v="0"/>
    <d v="2026-08-14T00:00:00"/>
    <x v="2"/>
    <s v="Kuwaiti"/>
    <n v="33"/>
    <s v="30-44"/>
    <n v="20"/>
    <n v="1"/>
    <n v="216000"/>
    <n v="16459.2"/>
  </r>
  <r>
    <s v="FN-00896"/>
    <x v="203"/>
    <s v="C0412"/>
    <x v="0"/>
    <x v="1"/>
    <x v="1"/>
    <n v="44800"/>
    <n v="3.5400000000000001E-2"/>
    <n v="180"/>
    <s v="OFF-KUW-2"/>
    <x v="0"/>
    <d v="2026-08-09T00:00:00"/>
    <x v="1"/>
    <s v="Kuwaiti"/>
    <n v="34"/>
    <s v="30-44"/>
    <n v="15"/>
    <n v="1"/>
    <n v="44800"/>
    <n v="1585.92"/>
  </r>
  <r>
    <s v="FN-00911"/>
    <x v="203"/>
    <s v="C0649"/>
    <x v="3"/>
    <x v="2"/>
    <x v="0"/>
    <n v="13900"/>
    <n v="4.9399999999999999E-2"/>
    <n v="48"/>
    <s v="OFF-FAR-1"/>
    <x v="0"/>
    <d v="2026-07-29T00:00:00"/>
    <x v="1"/>
    <s v="Kuwaiti"/>
    <n v="25"/>
    <s v="Under 30"/>
    <n v="4"/>
    <n v="1"/>
    <n v="13900"/>
    <n v="686.66"/>
  </r>
  <r>
    <s v="FN-00922"/>
    <x v="203"/>
    <s v="C0538"/>
    <x v="3"/>
    <x v="1"/>
    <x v="1"/>
    <n v="74900"/>
    <n v="4.0899999999999999E-2"/>
    <n v="300"/>
    <s v="OFF-FAR-2"/>
    <x v="0"/>
    <d v="2026-08-11T00:00:00"/>
    <x v="1"/>
    <s v="Kuwaiti"/>
    <n v="26"/>
    <s v="Under 30"/>
    <n v="17"/>
    <n v="1"/>
    <n v="74900"/>
    <n v="3063.41"/>
  </r>
  <r>
    <s v="FN-00931"/>
    <x v="203"/>
    <s v="C0330"/>
    <x v="0"/>
    <x v="2"/>
    <x v="1"/>
    <n v="6700"/>
    <n v="4.8500000000000001E-2"/>
    <n v="60"/>
    <s v="OFF-KUW-2"/>
    <x v="0"/>
    <d v="2026-07-29T00:00:00"/>
    <x v="1"/>
    <s v="Kuwaiti"/>
    <n v="49"/>
    <s v="45+"/>
    <n v="4"/>
    <n v="1"/>
    <n v="6700"/>
    <n v="324.95"/>
  </r>
  <r>
    <s v="FN-00941"/>
    <x v="203"/>
    <s v="C0940"/>
    <x v="1"/>
    <x v="2"/>
    <x v="0"/>
    <n v="8400"/>
    <n v="4.7800000000000002E-2"/>
    <n v="36"/>
    <s v="OFF-HAW-1"/>
    <x v="0"/>
    <d v="2026-07-29T00:00:00"/>
    <x v="0"/>
    <s v="Kuwaiti"/>
    <n v="58"/>
    <s v="45+"/>
    <n v="4"/>
    <n v="1"/>
    <n v="8400"/>
    <n v="401.52000000000004"/>
  </r>
  <r>
    <s v="FN-00919"/>
    <x v="204"/>
    <s v="C0177"/>
    <x v="1"/>
    <x v="0"/>
    <x v="1"/>
    <n v="23300"/>
    <n v="5.0299999999999997E-2"/>
    <n v="48"/>
    <s v="OFF-HAW-3"/>
    <x v="0"/>
    <d v="2026-08-01T00:00:00"/>
    <x v="1"/>
    <s v="Kuwaiti"/>
    <n v="39"/>
    <s v="30-44"/>
    <n v="6"/>
    <n v="1"/>
    <n v="23300"/>
    <n v="1171.99"/>
  </r>
  <r>
    <s v="FN-00920"/>
    <x v="204"/>
    <s v="C0737"/>
    <x v="2"/>
    <x v="2"/>
    <x v="0"/>
    <n v="10900"/>
    <n v="3.6400000000000002E-2"/>
    <n v="48"/>
    <s v="OFF-SAL-2"/>
    <x v="0"/>
    <d v="2026-07-29T00:00:00"/>
    <x v="1"/>
    <s v="Kuwaiti"/>
    <n v="29"/>
    <s v="Under 30"/>
    <n v="3"/>
    <n v="1"/>
    <n v="10900"/>
    <n v="396.76000000000005"/>
  </r>
  <r>
    <s v="FN-00921"/>
    <x v="204"/>
    <s v="C0191"/>
    <x v="3"/>
    <x v="0"/>
    <x v="0"/>
    <n v="19800"/>
    <n v="6.3E-2"/>
    <n v="48"/>
    <s v="OFF-FAR-1"/>
    <x v="1"/>
    <d v="2026-07-29T00:00:00"/>
    <x v="1"/>
    <s v="Kuwaiti"/>
    <n v="68"/>
    <s v="45+"/>
    <n v="3"/>
    <n v="0"/>
    <n v="0"/>
    <n v="0"/>
  </r>
  <r>
    <s v="FN-00932"/>
    <x v="204"/>
    <s v="C0363"/>
    <x v="2"/>
    <x v="1"/>
    <x v="1"/>
    <n v="127500"/>
    <n v="3.5299999999999998E-2"/>
    <n v="180"/>
    <s v="OFF-SAL-3"/>
    <x v="1"/>
    <d v="2026-08-12T00:00:00"/>
    <x v="0"/>
    <s v="Kuwaiti"/>
    <n v="42"/>
    <s v="30-44"/>
    <n v="17"/>
    <n v="0"/>
    <n v="0"/>
    <n v="0"/>
  </r>
  <r>
    <s v="FN-00876"/>
    <x v="205"/>
    <s v="C0399"/>
    <x v="0"/>
    <x v="0"/>
    <x v="2"/>
    <n v="25000"/>
    <n v="5.9900000000000002E-2"/>
    <n v="24"/>
    <s v="OFF-KUW-1"/>
    <x v="0"/>
    <d v="2026-07-30T00:00:00"/>
    <x v="0"/>
    <s v="Kuwaiti"/>
    <n v="35"/>
    <s v="30-44"/>
    <n v="3"/>
    <n v="1"/>
    <n v="25000"/>
    <n v="1497.5"/>
  </r>
  <r>
    <s v="FN-00882"/>
    <x v="205"/>
    <s v="C0757"/>
    <x v="4"/>
    <x v="2"/>
    <x v="1"/>
    <n v="14800"/>
    <n v="3.5499999999999997E-2"/>
    <n v="60"/>
    <s v="OFF-AHM-3"/>
    <x v="1"/>
    <d v="2026-07-31T00:00:00"/>
    <x v="2"/>
    <s v="Non-Kuwaiti"/>
    <n v="66"/>
    <s v="45+"/>
    <n v="4"/>
    <n v="0"/>
    <n v="0"/>
    <n v="0"/>
  </r>
  <r>
    <s v="FN-00897"/>
    <x v="205"/>
    <s v="C0312"/>
    <x v="0"/>
    <x v="3"/>
    <x v="0"/>
    <n v="115200"/>
    <n v="5.62E-2"/>
    <n v="36"/>
    <s v="OFF-KUW-2"/>
    <x v="0"/>
    <d v="2026-08-17T00:00:00"/>
    <x v="1"/>
    <s v="Kuwaiti"/>
    <n v="40"/>
    <s v="30-44"/>
    <n v="21"/>
    <n v="1"/>
    <n v="115200"/>
    <n v="6474.24"/>
  </r>
  <r>
    <s v="FN-00928"/>
    <x v="205"/>
    <s v="C0877"/>
    <x v="5"/>
    <x v="3"/>
    <x v="0"/>
    <n v="74600"/>
    <n v="6.83E-2"/>
    <n v="24"/>
    <s v="OFF-JAH-3"/>
    <x v="1"/>
    <d v="2026-08-09T00:00:00"/>
    <x v="1"/>
    <s v="Kuwaiti"/>
    <n v="43"/>
    <s v="30-44"/>
    <n v="13"/>
    <n v="0"/>
    <n v="0"/>
    <n v="0"/>
  </r>
  <r>
    <s v="FN-00939"/>
    <x v="205"/>
    <s v="C0663"/>
    <x v="3"/>
    <x v="2"/>
    <x v="0"/>
    <n v="5700"/>
    <n v="4.24E-2"/>
    <n v="48"/>
    <s v="OFF-FAR-1"/>
    <x v="0"/>
    <d v="2026-08-01T00:00:00"/>
    <x v="1"/>
    <s v="Kuwaiti"/>
    <n v="34"/>
    <s v="30-44"/>
    <n v="5"/>
    <n v="1"/>
    <n v="5700"/>
    <n v="241.68"/>
  </r>
  <r>
    <s v="FN-00961"/>
    <x v="205"/>
    <s v="C0234"/>
    <x v="1"/>
    <x v="1"/>
    <x v="0"/>
    <n v="79000"/>
    <n v="3.2300000000000002E-2"/>
    <n v="180"/>
    <s v="OFF-HAW-3"/>
    <x v="0"/>
    <d v="2026-08-13T00:00:00"/>
    <x v="2"/>
    <s v="Non-Kuwaiti"/>
    <n v="51"/>
    <s v="45+"/>
    <n v="17"/>
    <n v="1"/>
    <n v="79000"/>
    <n v="2551.7000000000003"/>
  </r>
  <r>
    <s v="FN-00983"/>
    <x v="205"/>
    <s v="C0188"/>
    <x v="1"/>
    <x v="0"/>
    <x v="1"/>
    <n v="20600"/>
    <n v="6.2300000000000001E-2"/>
    <n v="36"/>
    <s v="OFF-HAW-3"/>
    <x v="0"/>
    <d v="2026-07-27T00:00:00"/>
    <x v="0"/>
    <s v="Non-Kuwaiti"/>
    <n v="34"/>
    <s v="30-44"/>
    <n v="0"/>
    <n v="1"/>
    <n v="20600"/>
    <n v="1283.3800000000001"/>
  </r>
  <r>
    <s v="FN-00984"/>
    <x v="205"/>
    <s v="C0878"/>
    <x v="3"/>
    <x v="1"/>
    <x v="1"/>
    <n v="116100"/>
    <n v="3.7600000000000001E-2"/>
    <n v="240"/>
    <s v="OFF-FAR-3"/>
    <x v="1"/>
    <d v="2026-08-14T00:00:00"/>
    <x v="1"/>
    <s v="Kuwaiti"/>
    <n v="50"/>
    <s v="45+"/>
    <n v="18"/>
    <n v="0"/>
    <n v="0"/>
    <n v="0"/>
  </r>
  <r>
    <s v="FN-00858"/>
    <x v="206"/>
    <s v="C0009"/>
    <x v="5"/>
    <x v="3"/>
    <x v="1"/>
    <n v="155700"/>
    <n v="6.1400000000000003E-2"/>
    <n v="60"/>
    <s v="OFF-JAH-3"/>
    <x v="1"/>
    <d v="2026-08-07T00:00:00"/>
    <x v="0"/>
    <s v="Kuwaiti"/>
    <n v="36"/>
    <s v="30-44"/>
    <n v="10"/>
    <n v="0"/>
    <n v="0"/>
    <n v="0"/>
  </r>
  <r>
    <s v="FN-00880"/>
    <x v="206"/>
    <s v="C0757"/>
    <x v="3"/>
    <x v="2"/>
    <x v="0"/>
    <n v="19400"/>
    <n v="4.6899999999999997E-2"/>
    <n v="36"/>
    <s v="OFF-FAR-3"/>
    <x v="0"/>
    <d v="2026-07-30T00:00:00"/>
    <x v="2"/>
    <s v="Non-Kuwaiti"/>
    <n v="66"/>
    <s v="45+"/>
    <n v="2"/>
    <n v="1"/>
    <n v="19400"/>
    <n v="909.8599999999999"/>
  </r>
  <r>
    <s v="FN-00899"/>
    <x v="206"/>
    <s v="C0618"/>
    <x v="2"/>
    <x v="2"/>
    <x v="1"/>
    <n v="8800"/>
    <n v="4.5900000000000003E-2"/>
    <n v="60"/>
    <s v="OFF-SAL-3"/>
    <x v="0"/>
    <d v="2026-08-02T00:00:00"/>
    <x v="0"/>
    <s v="Non-Kuwaiti"/>
    <n v="53"/>
    <s v="45+"/>
    <n v="5"/>
    <n v="1"/>
    <n v="8800"/>
    <n v="403.92"/>
  </r>
  <r>
    <s v="FN-00938"/>
    <x v="206"/>
    <s v="C0756"/>
    <x v="0"/>
    <x v="2"/>
    <x v="2"/>
    <n v="4200"/>
    <n v="4.6600000000000003E-2"/>
    <n v="48"/>
    <s v="OFF-KUW-3"/>
    <x v="0"/>
    <d v="2026-08-02T00:00:00"/>
    <x v="1"/>
    <s v="Kuwaiti"/>
    <n v="24"/>
    <s v="Under 30"/>
    <n v="5"/>
    <n v="1"/>
    <n v="4200"/>
    <n v="195.72"/>
  </r>
  <r>
    <s v="FN-00942"/>
    <x v="206"/>
    <s v="C0394"/>
    <x v="3"/>
    <x v="1"/>
    <x v="0"/>
    <n v="167000"/>
    <n v="3.8600000000000002E-2"/>
    <n v="180"/>
    <s v="OFF-FAR-3"/>
    <x v="0"/>
    <d v="2026-08-08T00:00:00"/>
    <x v="0"/>
    <s v="Kuwaiti"/>
    <n v="51"/>
    <s v="45+"/>
    <n v="11"/>
    <n v="1"/>
    <n v="167000"/>
    <n v="6446.2000000000007"/>
  </r>
  <r>
    <s v="FN-00950"/>
    <x v="206"/>
    <s v="C0380"/>
    <x v="1"/>
    <x v="1"/>
    <x v="1"/>
    <n v="172200"/>
    <n v="3.8300000000000001E-2"/>
    <n v="120"/>
    <s v="OFF-HAW-2"/>
    <x v="1"/>
    <d v="2026-08-20T00:00:00"/>
    <x v="1"/>
    <s v="Non-Kuwaiti"/>
    <n v="47"/>
    <s v="45+"/>
    <n v="23"/>
    <n v="0"/>
    <n v="0"/>
    <n v="0"/>
  </r>
  <r>
    <s v="FN-00977"/>
    <x v="206"/>
    <s v="C0392"/>
    <x v="1"/>
    <x v="0"/>
    <x v="0"/>
    <n v="14200"/>
    <n v="5.8400000000000001E-2"/>
    <n v="12"/>
    <s v="OFF-HAW-1"/>
    <x v="1"/>
    <d v="2026-08-04T00:00:00"/>
    <x v="1"/>
    <s v="Non-Kuwaiti"/>
    <n v="53"/>
    <s v="45+"/>
    <n v="7"/>
    <n v="0"/>
    <n v="0"/>
    <n v="0"/>
  </r>
  <r>
    <s v="FN-00851"/>
    <x v="207"/>
    <s v="C0435"/>
    <x v="1"/>
    <x v="1"/>
    <x v="0"/>
    <n v="188100"/>
    <n v="3.39E-2"/>
    <n v="300"/>
    <s v="OFF-HAW-2"/>
    <x v="0"/>
    <d v="2026-08-09T00:00:00"/>
    <x v="1"/>
    <s v="Kuwaiti"/>
    <n v="60"/>
    <s v="45+"/>
    <n v="11"/>
    <n v="1"/>
    <n v="188100"/>
    <n v="6376.59"/>
  </r>
  <r>
    <s v="FN-00860"/>
    <x v="207"/>
    <s v="C0494"/>
    <x v="1"/>
    <x v="0"/>
    <x v="1"/>
    <n v="11000"/>
    <n v="6.1400000000000003E-2"/>
    <n v="24"/>
    <s v="OFF-HAW-1"/>
    <x v="1"/>
    <d v="2026-08-04T00:00:00"/>
    <x v="1"/>
    <s v="Non-Kuwaiti"/>
    <n v="35"/>
    <s v="30-44"/>
    <n v="6"/>
    <n v="0"/>
    <n v="0"/>
    <n v="0"/>
  </r>
  <r>
    <s v="FN-00893"/>
    <x v="207"/>
    <s v="C0347"/>
    <x v="5"/>
    <x v="0"/>
    <x v="0"/>
    <n v="8800"/>
    <n v="6.1699999999999998E-2"/>
    <n v="36"/>
    <s v="OFF-JAH-2"/>
    <x v="0"/>
    <d v="2026-08-06T00:00:00"/>
    <x v="1"/>
    <s v="Non-Kuwaiti"/>
    <n v="54"/>
    <s v="45+"/>
    <n v="8"/>
    <n v="1"/>
    <n v="8800"/>
    <n v="542.96"/>
  </r>
  <r>
    <s v="FN-00918"/>
    <x v="207"/>
    <s v="C0291"/>
    <x v="4"/>
    <x v="0"/>
    <x v="0"/>
    <n v="16000"/>
    <n v="6.0499999999999998E-2"/>
    <n v="48"/>
    <s v="OFF-AHM-3"/>
    <x v="0"/>
    <d v="2026-08-01T00:00:00"/>
    <x v="0"/>
    <s v="Kuwaiti"/>
    <n v="36"/>
    <s v="30-44"/>
    <n v="3"/>
    <n v="1"/>
    <n v="16000"/>
    <n v="968"/>
  </r>
  <r>
    <s v="FN-00985"/>
    <x v="208"/>
    <s v="C0701"/>
    <x v="0"/>
    <x v="3"/>
    <x v="2"/>
    <n v="136700"/>
    <n v="7.8799999999999995E-2"/>
    <n v="36"/>
    <s v="OFF-KUW-2"/>
    <x v="0"/>
    <d v="2026-08-07T00:00:00"/>
    <x v="2"/>
    <s v="Kuwaiti"/>
    <n v="40"/>
    <s v="30-44"/>
    <n v="8"/>
    <n v="1"/>
    <n v="136700"/>
    <n v="10771.96"/>
  </r>
  <r>
    <s v="FN-00831"/>
    <x v="209"/>
    <s v="C0315"/>
    <x v="1"/>
    <x v="0"/>
    <x v="2"/>
    <n v="5200"/>
    <n v="5.2600000000000001E-2"/>
    <n v="36"/>
    <s v="OFF-HAW-1"/>
    <x v="0"/>
    <d v="2026-08-03T00:00:00"/>
    <x v="1"/>
    <s v="Kuwaiti"/>
    <n v="46"/>
    <s v="45+"/>
    <n v="3"/>
    <n v="1"/>
    <n v="5200"/>
    <n v="273.52"/>
  </r>
  <r>
    <s v="FN-00847"/>
    <x v="209"/>
    <s v="C0749"/>
    <x v="1"/>
    <x v="2"/>
    <x v="1"/>
    <n v="16000"/>
    <n v="4.0599999999999997E-2"/>
    <n v="36"/>
    <s v="OFF-HAW-2"/>
    <x v="0"/>
    <d v="2026-08-02T00:00:00"/>
    <x v="0"/>
    <s v="Non-Kuwaiti"/>
    <n v="51"/>
    <s v="45+"/>
    <n v="2"/>
    <n v="1"/>
    <n v="16000"/>
    <n v="649.59999999999991"/>
  </r>
  <r>
    <s v="FN-00852"/>
    <x v="209"/>
    <s v="C0686"/>
    <x v="1"/>
    <x v="1"/>
    <x v="2"/>
    <n v="138000"/>
    <n v="4.24E-2"/>
    <n v="180"/>
    <s v="OFF-HAW-3"/>
    <x v="0"/>
    <d v="2026-08-29T00:00:00"/>
    <x v="1"/>
    <s v="Non-Kuwaiti"/>
    <n v="67"/>
    <s v="45+"/>
    <n v="29"/>
    <n v="1"/>
    <n v="138000"/>
    <n v="5851.2"/>
  </r>
  <r>
    <s v="FN-00854"/>
    <x v="209"/>
    <s v="C0940"/>
    <x v="1"/>
    <x v="2"/>
    <x v="0"/>
    <n v="5300"/>
    <n v="4.5699999999999998E-2"/>
    <n v="48"/>
    <s v="OFF-HAW-2"/>
    <x v="0"/>
    <d v="2026-08-02T00:00:00"/>
    <x v="0"/>
    <s v="Kuwaiti"/>
    <n v="58"/>
    <s v="45+"/>
    <n v="2"/>
    <n v="1"/>
    <n v="5300"/>
    <n v="242.20999999999998"/>
  </r>
  <r>
    <s v="FN-00870"/>
    <x v="209"/>
    <s v="C0007"/>
    <x v="0"/>
    <x v="2"/>
    <x v="2"/>
    <n v="5500"/>
    <n v="3.5700000000000003E-2"/>
    <n v="36"/>
    <s v="OFF-KUW-1"/>
    <x v="0"/>
    <d v="2026-08-04T00:00:00"/>
    <x v="0"/>
    <s v="Kuwaiti"/>
    <n v="63"/>
    <s v="45+"/>
    <n v="4"/>
    <n v="1"/>
    <n v="5500"/>
    <n v="196.35000000000002"/>
  </r>
  <r>
    <s v="FN-00907"/>
    <x v="209"/>
    <s v="C0760"/>
    <x v="3"/>
    <x v="2"/>
    <x v="0"/>
    <n v="11100"/>
    <n v="4.53E-2"/>
    <n v="48"/>
    <s v="OFF-FAR-2"/>
    <x v="0"/>
    <d v="2026-08-03T00:00:00"/>
    <x v="1"/>
    <s v="Kuwaiti"/>
    <n v="55"/>
    <s v="45+"/>
    <n v="3"/>
    <n v="1"/>
    <n v="11100"/>
    <n v="502.83"/>
  </r>
  <r>
    <s v="FN-00916"/>
    <x v="209"/>
    <s v="C0710"/>
    <x v="0"/>
    <x v="0"/>
    <x v="0"/>
    <n v="18100"/>
    <n v="6.2799999999999995E-2"/>
    <n v="48"/>
    <s v="OFF-KUW-1"/>
    <x v="1"/>
    <d v="2026-08-02T00:00:00"/>
    <x v="1"/>
    <s v="Non-Kuwaiti"/>
    <n v="39"/>
    <s v="30-44"/>
    <n v="2"/>
    <n v="0"/>
    <n v="0"/>
    <n v="0"/>
  </r>
  <r>
    <s v="FN-00955"/>
    <x v="209"/>
    <s v="C0401"/>
    <x v="2"/>
    <x v="1"/>
    <x v="0"/>
    <n v="202800"/>
    <n v="4.2200000000000001E-2"/>
    <n v="240"/>
    <s v="OFF-SAL-2"/>
    <x v="0"/>
    <d v="2026-08-27T00:00:00"/>
    <x v="0"/>
    <s v="Non-Kuwaiti"/>
    <n v="38"/>
    <s v="30-44"/>
    <n v="27"/>
    <n v="1"/>
    <n v="202800"/>
    <n v="8558.16"/>
  </r>
  <r>
    <s v="FN-01079"/>
    <x v="210"/>
    <s v="C0615"/>
    <x v="5"/>
    <x v="0"/>
    <x v="0"/>
    <n v="15900"/>
    <n v="5.1799999999999999E-2"/>
    <n v="24"/>
    <s v="OFF-JAH-1"/>
    <x v="1"/>
    <d v="2026-08-09T00:00:00"/>
    <x v="1"/>
    <s v="Kuwaiti"/>
    <n v="56"/>
    <s v="45+"/>
    <n v="8"/>
    <n v="0"/>
    <n v="0"/>
    <n v="0"/>
  </r>
  <r>
    <s v="FN-00995"/>
    <x v="211"/>
    <s v="C0268"/>
    <x v="1"/>
    <x v="0"/>
    <x v="1"/>
    <n v="20900"/>
    <n v="6.6600000000000006E-2"/>
    <n v="36"/>
    <s v="OFF-HAW-1"/>
    <x v="1"/>
    <d v="2026-08-07T00:00:00"/>
    <x v="0"/>
    <s v="Kuwaiti"/>
    <n v="47"/>
    <s v="45+"/>
    <n v="5"/>
    <n v="0"/>
    <n v="0"/>
    <n v="0"/>
  </r>
  <r>
    <s v="FN-01052"/>
    <x v="211"/>
    <s v="C0348"/>
    <x v="2"/>
    <x v="2"/>
    <x v="0"/>
    <n v="11400"/>
    <n v="4.2500000000000003E-2"/>
    <n v="48"/>
    <s v="OFF-SAL-3"/>
    <x v="1"/>
    <d v="2026-08-05T00:00:00"/>
    <x v="1"/>
    <s v="Kuwaiti"/>
    <n v="26"/>
    <s v="Under 30"/>
    <n v="3"/>
    <n v="0"/>
    <n v="0"/>
    <n v="0"/>
  </r>
  <r>
    <s v="FN-01086"/>
    <x v="211"/>
    <s v="C0729"/>
    <x v="1"/>
    <x v="3"/>
    <x v="2"/>
    <n v="102100"/>
    <n v="5.8799999999999998E-2"/>
    <n v="84"/>
    <s v="OFF-HAW-3"/>
    <x v="0"/>
    <d v="2026-08-09T00:00:00"/>
    <x v="1"/>
    <s v="Kuwaiti"/>
    <n v="55"/>
    <s v="45+"/>
    <n v="7"/>
    <n v="1"/>
    <n v="102100"/>
    <n v="6003.48"/>
  </r>
  <r>
    <s v="FN-01099"/>
    <x v="211"/>
    <s v="C0447"/>
    <x v="5"/>
    <x v="1"/>
    <x v="0"/>
    <n v="193600"/>
    <n v="4.0099999999999997E-2"/>
    <n v="120"/>
    <s v="OFF-JAH-1"/>
    <x v="1"/>
    <d v="2026-09-05T00:00:00"/>
    <x v="1"/>
    <s v="Kuwaiti"/>
    <n v="28"/>
    <s v="Under 30"/>
    <n v="34"/>
    <n v="0"/>
    <n v="0"/>
    <n v="0"/>
  </r>
  <r>
    <s v="FN-01126"/>
    <x v="211"/>
    <s v="C0780"/>
    <x v="5"/>
    <x v="2"/>
    <x v="0"/>
    <n v="7500"/>
    <n v="3.7699999999999997E-2"/>
    <n v="48"/>
    <s v="OFF-JAH-3"/>
    <x v="1"/>
    <d v="2026-08-11T00:00:00"/>
    <x v="1"/>
    <s v="Non-Kuwaiti"/>
    <n v="25"/>
    <s v="Under 30"/>
    <n v="9"/>
    <n v="0"/>
    <n v="0"/>
    <n v="0"/>
  </r>
  <r>
    <s v="FN-01144"/>
    <x v="211"/>
    <s v="C0027"/>
    <x v="0"/>
    <x v="1"/>
    <x v="0"/>
    <n v="166400"/>
    <n v="3.3300000000000003E-2"/>
    <n v="120"/>
    <s v="OFF-KUW-3"/>
    <x v="0"/>
    <d v="2026-08-27T00:00:00"/>
    <x v="1"/>
    <s v="Non-Kuwaiti"/>
    <n v="30"/>
    <s v="30-44"/>
    <n v="25"/>
    <n v="1"/>
    <n v="166400"/>
    <n v="5541.1200000000008"/>
  </r>
  <r>
    <s v="FN-01149"/>
    <x v="211"/>
    <s v="C0229"/>
    <x v="3"/>
    <x v="2"/>
    <x v="1"/>
    <n v="5100"/>
    <n v="3.8800000000000001E-2"/>
    <n v="60"/>
    <s v="OFF-FAR-3"/>
    <x v="0"/>
    <d v="2026-08-06T00:00:00"/>
    <x v="0"/>
    <s v="Non-Kuwaiti"/>
    <n v="31"/>
    <s v="30-44"/>
    <n v="4"/>
    <n v="1"/>
    <n v="5100"/>
    <n v="197.88"/>
  </r>
  <r>
    <s v="FN-01155"/>
    <x v="211"/>
    <s v="C0392"/>
    <x v="0"/>
    <x v="0"/>
    <x v="1"/>
    <n v="23400"/>
    <n v="6.7599999999999993E-2"/>
    <n v="24"/>
    <s v="OFF-KUW-2"/>
    <x v="0"/>
    <d v="2026-08-03T00:00:00"/>
    <x v="1"/>
    <s v="Non-Kuwaiti"/>
    <n v="53"/>
    <s v="45+"/>
    <n v="1"/>
    <n v="1"/>
    <n v="23400"/>
    <n v="1581.84"/>
  </r>
  <r>
    <s v="FN-01010"/>
    <x v="212"/>
    <s v="C0495"/>
    <x v="5"/>
    <x v="0"/>
    <x v="1"/>
    <n v="15500"/>
    <n v="5.2200000000000003E-2"/>
    <n v="12"/>
    <s v="OFF-JAH-1"/>
    <x v="1"/>
    <d v="2026-08-09T00:00:00"/>
    <x v="0"/>
    <s v="Kuwaiti"/>
    <n v="26"/>
    <s v="Under 30"/>
    <n v="6"/>
    <n v="0"/>
    <n v="0"/>
    <n v="0"/>
  </r>
  <r>
    <s v="FN-01050"/>
    <x v="212"/>
    <s v="C0739"/>
    <x v="2"/>
    <x v="2"/>
    <x v="1"/>
    <n v="4300"/>
    <n v="3.7699999999999997E-2"/>
    <n v="60"/>
    <s v="OFF-SAL-3"/>
    <x v="0"/>
    <d v="2026-08-06T00:00:00"/>
    <x v="1"/>
    <s v="Non-Kuwaiti"/>
    <n v="46"/>
    <s v="45+"/>
    <n v="3"/>
    <n v="1"/>
    <n v="4300"/>
    <n v="162.10999999999999"/>
  </r>
  <r>
    <s v="FN-01051"/>
    <x v="212"/>
    <s v="C0398"/>
    <x v="3"/>
    <x v="2"/>
    <x v="0"/>
    <n v="9900"/>
    <n v="4.3299999999999998E-2"/>
    <n v="60"/>
    <s v="OFF-FAR-1"/>
    <x v="0"/>
    <d v="2026-08-07T00:00:00"/>
    <x v="1"/>
    <s v="Kuwaiti"/>
    <n v="49"/>
    <s v="45+"/>
    <n v="4"/>
    <n v="1"/>
    <n v="9900"/>
    <n v="428.66999999999996"/>
  </r>
  <r>
    <s v="FN-01056"/>
    <x v="212"/>
    <s v="C0641"/>
    <x v="3"/>
    <x v="0"/>
    <x v="0"/>
    <n v="6700"/>
    <n v="5.9700000000000003E-2"/>
    <n v="60"/>
    <s v="OFF-FAR-2"/>
    <x v="0"/>
    <d v="2026-08-07T00:00:00"/>
    <x v="0"/>
    <s v="Kuwaiti"/>
    <n v="45"/>
    <s v="45+"/>
    <n v="4"/>
    <n v="1"/>
    <n v="6700"/>
    <n v="399.99"/>
  </r>
  <r>
    <s v="FN-01070"/>
    <x v="212"/>
    <s v="C0606"/>
    <x v="0"/>
    <x v="2"/>
    <x v="0"/>
    <n v="12400"/>
    <n v="4.87E-2"/>
    <n v="60"/>
    <s v="OFF-KUW-1"/>
    <x v="0"/>
    <d v="2026-08-08T00:00:00"/>
    <x v="1"/>
    <s v="Kuwaiti"/>
    <n v="23"/>
    <s v="Under 30"/>
    <n v="5"/>
    <n v="1"/>
    <n v="12400"/>
    <n v="603.88"/>
  </r>
  <r>
    <s v="FN-01017"/>
    <x v="213"/>
    <s v="C0608"/>
    <x v="3"/>
    <x v="1"/>
    <x v="0"/>
    <n v="94000"/>
    <n v="3.3399999999999999E-2"/>
    <n v="180"/>
    <s v="OFF-FAR-3"/>
    <x v="1"/>
    <d v="2026-08-24T00:00:00"/>
    <x v="1"/>
    <s v="Non-Kuwaiti"/>
    <n v="38"/>
    <s v="30-44"/>
    <n v="20"/>
    <n v="0"/>
    <n v="0"/>
    <n v="0"/>
  </r>
  <r>
    <s v="FN-01000"/>
    <x v="214"/>
    <s v="C0456"/>
    <x v="1"/>
    <x v="3"/>
    <x v="1"/>
    <n v="119400"/>
    <n v="6.83E-2"/>
    <n v="60"/>
    <s v="OFF-HAW-3"/>
    <x v="1"/>
    <d v="2026-08-15T00:00:00"/>
    <x v="1"/>
    <s v="Kuwaiti"/>
    <n v="54"/>
    <s v="45+"/>
    <n v="10"/>
    <n v="0"/>
    <n v="0"/>
    <n v="0"/>
  </r>
  <r>
    <s v="FN-01016"/>
    <x v="214"/>
    <s v="C0480"/>
    <x v="4"/>
    <x v="2"/>
    <x v="1"/>
    <n v="16400"/>
    <n v="4.0399999999999998E-2"/>
    <n v="48"/>
    <s v="OFF-AHM-2"/>
    <x v="0"/>
    <d v="2026-08-05T00:00:00"/>
    <x v="0"/>
    <s v="Kuwaiti"/>
    <n v="31"/>
    <s v="30-44"/>
    <n v="0"/>
    <n v="1"/>
    <n v="16400"/>
    <n v="662.56"/>
  </r>
  <r>
    <s v="FN-01106"/>
    <x v="214"/>
    <s v="C0736"/>
    <x v="2"/>
    <x v="2"/>
    <x v="1"/>
    <n v="5500"/>
    <n v="4.4999999999999998E-2"/>
    <n v="48"/>
    <s v="OFF-SAL-3"/>
    <x v="1"/>
    <d v="2026-08-07T00:00:00"/>
    <x v="1"/>
    <s v="Non-Kuwaiti"/>
    <n v="53"/>
    <s v="45+"/>
    <n v="2"/>
    <n v="0"/>
    <n v="0"/>
    <n v="0"/>
  </r>
  <r>
    <s v="FN-01139"/>
    <x v="214"/>
    <s v="C0310"/>
    <x v="3"/>
    <x v="0"/>
    <x v="0"/>
    <n v="24800"/>
    <n v="6.7900000000000002E-2"/>
    <n v="36"/>
    <s v="OFF-FAR-2"/>
    <x v="0"/>
    <d v="2026-08-07T00:00:00"/>
    <x v="1"/>
    <s v="Kuwaiti"/>
    <n v="68"/>
    <s v="45+"/>
    <n v="2"/>
    <n v="1"/>
    <n v="24800"/>
    <n v="1683.92"/>
  </r>
  <r>
    <s v="FN-01140"/>
    <x v="214"/>
    <s v="C0285"/>
    <x v="5"/>
    <x v="3"/>
    <x v="2"/>
    <n v="58700"/>
    <n v="6.3E-2"/>
    <n v="24"/>
    <s v="OFF-JAH-3"/>
    <x v="1"/>
    <d v="2026-08-18T00:00:00"/>
    <x v="1"/>
    <s v="Non-Kuwaiti"/>
    <n v="25"/>
    <s v="Under 30"/>
    <n v="13"/>
    <n v="0"/>
    <n v="0"/>
    <n v="0"/>
  </r>
  <r>
    <s v="FN-01154"/>
    <x v="214"/>
    <s v="C0124"/>
    <x v="5"/>
    <x v="2"/>
    <x v="2"/>
    <n v="14000"/>
    <n v="4.7699999999999999E-2"/>
    <n v="36"/>
    <s v="OFF-JAH-2"/>
    <x v="0"/>
    <d v="2026-08-13T00:00:00"/>
    <x v="1"/>
    <s v="Non-Kuwaiti"/>
    <n v="40"/>
    <s v="30-44"/>
    <n v="8"/>
    <n v="1"/>
    <n v="14000"/>
    <n v="667.8"/>
  </r>
  <r>
    <s v="FN-01023"/>
    <x v="215"/>
    <s v="C0082"/>
    <x v="0"/>
    <x v="0"/>
    <x v="1"/>
    <n v="23000"/>
    <n v="6.6100000000000006E-2"/>
    <n v="48"/>
    <s v="OFF-KUW-2"/>
    <x v="0"/>
    <d v="2026-08-12T00:00:00"/>
    <x v="1"/>
    <s v="Kuwaiti"/>
    <n v="64"/>
    <s v="45+"/>
    <n v="6"/>
    <n v="1"/>
    <n v="23000"/>
    <n v="1520.3000000000002"/>
  </r>
  <r>
    <s v="FN-01030"/>
    <x v="215"/>
    <s v="C0048"/>
    <x v="4"/>
    <x v="3"/>
    <x v="1"/>
    <n v="75900"/>
    <n v="5.5800000000000002E-2"/>
    <n v="60"/>
    <s v="OFF-AHM-3"/>
    <x v="0"/>
    <d v="2026-08-26T00:00:00"/>
    <x v="1"/>
    <s v="Non-Kuwaiti"/>
    <n v="68"/>
    <s v="45+"/>
    <n v="20"/>
    <n v="1"/>
    <n v="75900"/>
    <n v="4235.22"/>
  </r>
  <r>
    <s v="FN-01046"/>
    <x v="215"/>
    <s v="C0772"/>
    <x v="4"/>
    <x v="3"/>
    <x v="1"/>
    <n v="93200"/>
    <n v="6.0600000000000001E-2"/>
    <n v="36"/>
    <s v="OFF-AHM-3"/>
    <x v="0"/>
    <d v="2026-08-22T00:00:00"/>
    <x v="1"/>
    <s v="Kuwaiti"/>
    <n v="47"/>
    <s v="45+"/>
    <n v="16"/>
    <n v="1"/>
    <n v="93200"/>
    <n v="5647.92"/>
  </r>
  <r>
    <s v="FN-01059"/>
    <x v="215"/>
    <s v="C0615"/>
    <x v="1"/>
    <x v="2"/>
    <x v="1"/>
    <n v="9200"/>
    <n v="4.0099999999999997E-2"/>
    <n v="60"/>
    <s v="OFF-HAW-2"/>
    <x v="0"/>
    <d v="2026-08-06T00:00:00"/>
    <x v="1"/>
    <s v="Kuwaiti"/>
    <n v="56"/>
    <s v="45+"/>
    <n v="0"/>
    <n v="1"/>
    <n v="9200"/>
    <n v="368.91999999999996"/>
  </r>
  <r>
    <s v="FN-01064"/>
    <x v="215"/>
    <s v="C0701"/>
    <x v="1"/>
    <x v="0"/>
    <x v="0"/>
    <n v="19800"/>
    <n v="6.8599999999999994E-2"/>
    <n v="12"/>
    <s v="OFF-HAW-2"/>
    <x v="0"/>
    <d v="2026-08-09T00:00:00"/>
    <x v="2"/>
    <s v="Kuwaiti"/>
    <n v="40"/>
    <s v="30-44"/>
    <n v="3"/>
    <n v="1"/>
    <n v="19800"/>
    <n v="1358.28"/>
  </r>
  <r>
    <s v="FN-01105"/>
    <x v="215"/>
    <s v="C0078"/>
    <x v="5"/>
    <x v="2"/>
    <x v="1"/>
    <n v="10200"/>
    <n v="4.8300000000000003E-2"/>
    <n v="48"/>
    <s v="OFF-JAH-3"/>
    <x v="0"/>
    <d v="2026-08-14T00:00:00"/>
    <x v="1"/>
    <s v="Kuwaiti"/>
    <n v="48"/>
    <s v="45+"/>
    <n v="8"/>
    <n v="1"/>
    <n v="10200"/>
    <n v="492.66"/>
  </r>
  <r>
    <s v="FN-01110"/>
    <x v="215"/>
    <s v="C0590"/>
    <x v="1"/>
    <x v="0"/>
    <x v="0"/>
    <n v="23900"/>
    <n v="5.9400000000000001E-2"/>
    <n v="48"/>
    <s v="OFF-HAW-1"/>
    <x v="0"/>
    <d v="2026-08-10T00:00:00"/>
    <x v="1"/>
    <s v="Kuwaiti"/>
    <n v="42"/>
    <s v="30-44"/>
    <n v="4"/>
    <n v="1"/>
    <n v="23900"/>
    <n v="1419.66"/>
  </r>
  <r>
    <s v="FN-01112"/>
    <x v="215"/>
    <s v="C0766"/>
    <x v="4"/>
    <x v="2"/>
    <x v="0"/>
    <n v="7300"/>
    <n v="3.8300000000000001E-2"/>
    <n v="36"/>
    <s v="OFF-AHM-3"/>
    <x v="0"/>
    <d v="2026-08-11T00:00:00"/>
    <x v="1"/>
    <s v="Non-Kuwaiti"/>
    <n v="53"/>
    <s v="45+"/>
    <n v="5"/>
    <n v="1"/>
    <n v="7300"/>
    <n v="279.59000000000003"/>
  </r>
  <r>
    <s v="FN-01129"/>
    <x v="215"/>
    <s v="C0802"/>
    <x v="4"/>
    <x v="2"/>
    <x v="2"/>
    <n v="8900"/>
    <n v="4.53E-2"/>
    <n v="48"/>
    <s v="OFF-AHM-2"/>
    <x v="1"/>
    <d v="2026-08-10T00:00:00"/>
    <x v="1"/>
    <s v="Kuwaiti"/>
    <n v="40"/>
    <s v="30-44"/>
    <n v="4"/>
    <n v="0"/>
    <n v="0"/>
    <n v="0"/>
  </r>
  <r>
    <s v="FN-01145"/>
    <x v="215"/>
    <s v="C0573"/>
    <x v="4"/>
    <x v="1"/>
    <x v="0"/>
    <n v="134300"/>
    <n v="3.8699999999999998E-2"/>
    <n v="300"/>
    <s v="OFF-AHM-3"/>
    <x v="0"/>
    <d v="2026-08-24T00:00:00"/>
    <x v="1"/>
    <s v="Kuwaiti"/>
    <n v="35"/>
    <s v="30-44"/>
    <n v="18"/>
    <n v="1"/>
    <n v="134300"/>
    <n v="5197.41"/>
  </r>
  <r>
    <s v="FN-01093"/>
    <x v="216"/>
    <s v="C0863"/>
    <x v="5"/>
    <x v="2"/>
    <x v="0"/>
    <n v="11800"/>
    <n v="4.8300000000000003E-2"/>
    <n v="36"/>
    <s v="OFF-JAH-2"/>
    <x v="0"/>
    <d v="2026-08-16T00:00:00"/>
    <x v="0"/>
    <s v="Non-Kuwaiti"/>
    <n v="22"/>
    <s v="Under 30"/>
    <n v="9"/>
    <n v="1"/>
    <n v="11800"/>
    <n v="569.94000000000005"/>
  </r>
  <r>
    <s v="FN-01100"/>
    <x v="216"/>
    <s v="C0148"/>
    <x v="2"/>
    <x v="1"/>
    <x v="0"/>
    <n v="125600"/>
    <n v="3.3399999999999999E-2"/>
    <n v="120"/>
    <s v="OFF-SAL-1"/>
    <x v="0"/>
    <d v="2026-08-18T00:00:00"/>
    <x v="1"/>
    <s v="Kuwaiti"/>
    <n v="66"/>
    <s v="45+"/>
    <n v="11"/>
    <n v="1"/>
    <n v="125600"/>
    <n v="4195.04"/>
  </r>
  <r>
    <s v="FN-01142"/>
    <x v="216"/>
    <s v="C0665"/>
    <x v="1"/>
    <x v="2"/>
    <x v="0"/>
    <n v="10800"/>
    <n v="4.6899999999999997E-2"/>
    <n v="36"/>
    <s v="OFF-HAW-1"/>
    <x v="0"/>
    <d v="2026-08-11T00:00:00"/>
    <x v="0"/>
    <s v="Kuwaiti"/>
    <n v="44"/>
    <s v="30-44"/>
    <n v="4"/>
    <n v="1"/>
    <n v="10800"/>
    <n v="506.52"/>
  </r>
  <r>
    <s v="FN-01039"/>
    <x v="217"/>
    <s v="C0756"/>
    <x v="5"/>
    <x v="2"/>
    <x v="0"/>
    <n v="5900"/>
    <n v="4.2999999999999997E-2"/>
    <n v="36"/>
    <s v="OFF-JAH-1"/>
    <x v="0"/>
    <d v="2026-08-16T00:00:00"/>
    <x v="1"/>
    <s v="Kuwaiti"/>
    <n v="24"/>
    <s v="Under 30"/>
    <n v="8"/>
    <n v="1"/>
    <n v="5900"/>
    <n v="253.7"/>
  </r>
  <r>
    <s v="FN-01049"/>
    <x v="217"/>
    <s v="C0319"/>
    <x v="1"/>
    <x v="2"/>
    <x v="2"/>
    <n v="9200"/>
    <n v="3.5799999999999998E-2"/>
    <n v="36"/>
    <s v="OFF-HAW-1"/>
    <x v="0"/>
    <d v="2026-08-11T00:00:00"/>
    <x v="0"/>
    <s v="Non-Kuwaiti"/>
    <n v="35"/>
    <s v="30-44"/>
    <n v="3"/>
    <n v="1"/>
    <n v="9200"/>
    <n v="329.36"/>
  </r>
  <r>
    <s v="FN-01065"/>
    <x v="217"/>
    <s v="C0719"/>
    <x v="3"/>
    <x v="1"/>
    <x v="1"/>
    <n v="207200"/>
    <n v="3.5999999999999997E-2"/>
    <n v="240"/>
    <s v="OFF-FAR-3"/>
    <x v="1"/>
    <d v="2026-08-23T00:00:00"/>
    <x v="1"/>
    <s v="Kuwaiti"/>
    <n v="24"/>
    <s v="Under 30"/>
    <n v="15"/>
    <n v="0"/>
    <n v="0"/>
    <n v="0"/>
  </r>
  <r>
    <s v="FN-01078"/>
    <x v="217"/>
    <s v="C0874"/>
    <x v="5"/>
    <x v="2"/>
    <x v="1"/>
    <n v="11800"/>
    <n v="3.5900000000000001E-2"/>
    <n v="36"/>
    <s v="OFF-JAH-3"/>
    <x v="0"/>
    <d v="2026-08-14T00:00:00"/>
    <x v="1"/>
    <s v="Kuwaiti"/>
    <n v="35"/>
    <s v="30-44"/>
    <n v="6"/>
    <n v="1"/>
    <n v="11800"/>
    <n v="423.62"/>
  </r>
  <r>
    <s v="FN-01080"/>
    <x v="217"/>
    <s v="C0445"/>
    <x v="5"/>
    <x v="2"/>
    <x v="0"/>
    <n v="16800"/>
    <n v="4.4999999999999998E-2"/>
    <n v="36"/>
    <s v="OFF-JAH-1"/>
    <x v="1"/>
    <d v="2026-08-13T00:00:00"/>
    <x v="0"/>
    <s v="Kuwaiti"/>
    <n v="26"/>
    <s v="Under 30"/>
    <n v="5"/>
    <n v="0"/>
    <n v="0"/>
    <n v="0"/>
  </r>
  <r>
    <s v="FN-01091"/>
    <x v="217"/>
    <s v="C0924"/>
    <x v="1"/>
    <x v="0"/>
    <x v="0"/>
    <n v="18100"/>
    <n v="5.0799999999999998E-2"/>
    <n v="60"/>
    <s v="OFF-HAW-3"/>
    <x v="0"/>
    <d v="2026-08-13T00:00:00"/>
    <x v="0"/>
    <s v="Kuwaiti"/>
    <n v="66"/>
    <s v="45+"/>
    <n v="5"/>
    <n v="1"/>
    <n v="18100"/>
    <n v="919.48"/>
  </r>
  <r>
    <s v="FN-01120"/>
    <x v="217"/>
    <s v="C0888"/>
    <x v="3"/>
    <x v="2"/>
    <x v="1"/>
    <n v="11300"/>
    <n v="4.6600000000000003E-2"/>
    <n v="36"/>
    <s v="OFF-FAR-3"/>
    <x v="0"/>
    <d v="2026-08-09T00:00:00"/>
    <x v="1"/>
    <s v="Kuwaiti"/>
    <n v="26"/>
    <s v="Under 30"/>
    <n v="1"/>
    <n v="1"/>
    <n v="11300"/>
    <n v="526.58000000000004"/>
  </r>
  <r>
    <s v="FN-00988"/>
    <x v="218"/>
    <s v="C0434"/>
    <x v="1"/>
    <x v="1"/>
    <x v="0"/>
    <n v="199800"/>
    <n v="4.1000000000000002E-2"/>
    <n v="300"/>
    <s v="OFF-HAW-3"/>
    <x v="0"/>
    <d v="2026-08-26T00:00:00"/>
    <x v="0"/>
    <s v="Kuwaiti"/>
    <n v="26"/>
    <s v="Under 30"/>
    <n v="17"/>
    <n v="1"/>
    <n v="199800"/>
    <n v="8191.8"/>
  </r>
  <r>
    <s v="FN-00994"/>
    <x v="218"/>
    <s v="C0027"/>
    <x v="4"/>
    <x v="2"/>
    <x v="1"/>
    <n v="5200"/>
    <n v="4.41E-2"/>
    <n v="48"/>
    <s v="OFF-AHM-3"/>
    <x v="0"/>
    <d v="2026-08-09T00:00:00"/>
    <x v="1"/>
    <s v="Non-Kuwaiti"/>
    <n v="30"/>
    <s v="30-44"/>
    <n v="0"/>
    <n v="1"/>
    <n v="5200"/>
    <n v="229.32"/>
  </r>
  <r>
    <s v="FN-01085"/>
    <x v="218"/>
    <s v="C0530"/>
    <x v="3"/>
    <x v="2"/>
    <x v="1"/>
    <n v="4100"/>
    <n v="3.8199999999999998E-2"/>
    <n v="48"/>
    <s v="OFF-FAR-1"/>
    <x v="1"/>
    <d v="2026-08-11T00:00:00"/>
    <x v="1"/>
    <s v="Kuwaiti"/>
    <n v="33"/>
    <s v="30-44"/>
    <n v="2"/>
    <n v="0"/>
    <n v="0"/>
    <n v="0"/>
  </r>
  <r>
    <s v="FN-01103"/>
    <x v="218"/>
    <s v="C0224"/>
    <x v="1"/>
    <x v="2"/>
    <x v="0"/>
    <n v="7000"/>
    <n v="4.5400000000000003E-2"/>
    <n v="60"/>
    <s v="OFF-HAW-1"/>
    <x v="0"/>
    <d v="2026-08-10T00:00:00"/>
    <x v="0"/>
    <s v="Non-Kuwaiti"/>
    <n v="44"/>
    <s v="30-44"/>
    <n v="1"/>
    <n v="1"/>
    <n v="7000"/>
    <n v="317.8"/>
  </r>
  <r>
    <s v="FN-01119"/>
    <x v="218"/>
    <s v="C0295"/>
    <x v="4"/>
    <x v="0"/>
    <x v="1"/>
    <n v="15400"/>
    <n v="5.96E-2"/>
    <n v="12"/>
    <s v="OFF-AHM-3"/>
    <x v="1"/>
    <d v="2026-08-15T00:00:00"/>
    <x v="1"/>
    <s v="Kuwaiti"/>
    <n v="58"/>
    <s v="45+"/>
    <n v="6"/>
    <n v="0"/>
    <n v="0"/>
    <n v="0"/>
  </r>
  <r>
    <s v="FN-01132"/>
    <x v="218"/>
    <s v="C0268"/>
    <x v="0"/>
    <x v="3"/>
    <x v="1"/>
    <n v="70100"/>
    <n v="6.4699999999999994E-2"/>
    <n v="84"/>
    <s v="OFF-KUW-2"/>
    <x v="0"/>
    <d v="2026-08-17T00:00:00"/>
    <x v="0"/>
    <s v="Kuwaiti"/>
    <n v="47"/>
    <s v="45+"/>
    <n v="8"/>
    <n v="1"/>
    <n v="70100"/>
    <n v="4535.4699999999993"/>
  </r>
  <r>
    <s v="FN-01128"/>
    <x v="219"/>
    <s v="C0699"/>
    <x v="4"/>
    <x v="1"/>
    <x v="2"/>
    <n v="358800"/>
    <n v="4.0500000000000001E-2"/>
    <n v="300"/>
    <s v="OFF-AHM-3"/>
    <x v="1"/>
    <d v="2026-09-09T00:00:00"/>
    <x v="2"/>
    <s v="Non-Kuwaiti"/>
    <n v="35"/>
    <s v="30-44"/>
    <n v="30"/>
    <n v="0"/>
    <n v="0"/>
    <n v="0"/>
  </r>
  <r>
    <s v="FN-01135"/>
    <x v="219"/>
    <s v="C0932"/>
    <x v="2"/>
    <x v="3"/>
    <x v="0"/>
    <n v="78600"/>
    <n v="6.3799999999999996E-2"/>
    <n v="24"/>
    <s v="OFF-SAL-1"/>
    <x v="0"/>
    <d v="2026-08-22T00:00:00"/>
    <x v="1"/>
    <s v="Non-Kuwaiti"/>
    <n v="27"/>
    <s v="Under 30"/>
    <n v="12"/>
    <n v="1"/>
    <n v="78600"/>
    <n v="5014.6799999999994"/>
  </r>
  <r>
    <s v="FN-01026"/>
    <x v="220"/>
    <s v="C0649"/>
    <x v="1"/>
    <x v="2"/>
    <x v="0"/>
    <n v="13700"/>
    <n v="4.1799999999999997E-2"/>
    <n v="48"/>
    <s v="OFF-HAW-3"/>
    <x v="0"/>
    <d v="2026-08-14T00:00:00"/>
    <x v="1"/>
    <s v="Kuwaiti"/>
    <n v="25"/>
    <s v="Under 30"/>
    <n v="3"/>
    <n v="1"/>
    <n v="13700"/>
    <n v="572.66"/>
  </r>
  <r>
    <s v="FN-01029"/>
    <x v="220"/>
    <s v="C0731"/>
    <x v="0"/>
    <x v="3"/>
    <x v="2"/>
    <n v="155700"/>
    <n v="6.25E-2"/>
    <n v="36"/>
    <s v="OFF-KUW-2"/>
    <x v="1"/>
    <d v="2026-08-29T00:00:00"/>
    <x v="0"/>
    <s v="Kuwaiti"/>
    <n v="40"/>
    <s v="30-44"/>
    <n v="18"/>
    <n v="0"/>
    <n v="0"/>
    <n v="0"/>
  </r>
  <r>
    <s v="FN-01058"/>
    <x v="220"/>
    <s v="C0444"/>
    <x v="5"/>
    <x v="0"/>
    <x v="0"/>
    <n v="23900"/>
    <n v="5.0999999999999997E-2"/>
    <n v="48"/>
    <s v="OFF-JAH-3"/>
    <x v="0"/>
    <d v="2026-08-19T00:00:00"/>
    <x v="2"/>
    <s v="Kuwaiti"/>
    <n v="25"/>
    <s v="Under 30"/>
    <n v="8"/>
    <n v="1"/>
    <n v="23900"/>
    <n v="1218.8999999999999"/>
  </r>
  <r>
    <s v="FN-01071"/>
    <x v="220"/>
    <s v="C0238"/>
    <x v="1"/>
    <x v="0"/>
    <x v="2"/>
    <n v="18700"/>
    <n v="6.8500000000000005E-2"/>
    <n v="24"/>
    <s v="OFF-HAW-3"/>
    <x v="0"/>
    <d v="2026-08-12T00:00:00"/>
    <x v="1"/>
    <s v="Kuwaiti"/>
    <n v="49"/>
    <s v="45+"/>
    <n v="1"/>
    <n v="1"/>
    <n v="18700"/>
    <n v="1280.95"/>
  </r>
  <r>
    <s v="FN-01098"/>
    <x v="220"/>
    <s v="C0036"/>
    <x v="0"/>
    <x v="2"/>
    <x v="1"/>
    <n v="9400"/>
    <n v="4.4200000000000003E-2"/>
    <n v="60"/>
    <s v="OFF-KUW-2"/>
    <x v="0"/>
    <d v="2026-08-12T00:00:00"/>
    <x v="1"/>
    <s v="Kuwaiti"/>
    <n v="30"/>
    <s v="30-44"/>
    <n v="1"/>
    <n v="1"/>
    <n v="9400"/>
    <n v="415.48"/>
  </r>
  <r>
    <s v="FN-01148"/>
    <x v="220"/>
    <s v="C0937"/>
    <x v="1"/>
    <x v="0"/>
    <x v="1"/>
    <n v="24700"/>
    <n v="5.4699999999999999E-2"/>
    <n v="36"/>
    <s v="OFF-HAW-1"/>
    <x v="0"/>
    <d v="2026-08-13T00:00:00"/>
    <x v="0"/>
    <s v="Kuwaiti"/>
    <n v="37"/>
    <s v="30-44"/>
    <n v="2"/>
    <n v="1"/>
    <n v="24700"/>
    <n v="1351.09"/>
  </r>
  <r>
    <s v="FN-01153"/>
    <x v="220"/>
    <s v="C0471"/>
    <x v="2"/>
    <x v="3"/>
    <x v="0"/>
    <n v="91600"/>
    <n v="6.4199999999999993E-2"/>
    <n v="36"/>
    <s v="OFF-SAL-3"/>
    <x v="0"/>
    <d v="2026-08-21T00:00:00"/>
    <x v="1"/>
    <s v="Kuwaiti"/>
    <n v="48"/>
    <s v="45+"/>
    <n v="10"/>
    <n v="1"/>
    <n v="91600"/>
    <n v="5880.7199999999993"/>
  </r>
  <r>
    <s v="FN-00993"/>
    <x v="221"/>
    <s v="C0047"/>
    <x v="4"/>
    <x v="2"/>
    <x v="0"/>
    <n v="10400"/>
    <n v="4.1200000000000001E-2"/>
    <n v="60"/>
    <s v="OFF-AHM-3"/>
    <x v="0"/>
    <d v="2026-08-17T00:00:00"/>
    <x v="1"/>
    <s v="Kuwaiti"/>
    <n v="64"/>
    <s v="45+"/>
    <n v="5"/>
    <n v="1"/>
    <n v="10400"/>
    <n v="428.48"/>
  </r>
  <r>
    <s v="FN-01004"/>
    <x v="221"/>
    <s v="C0692"/>
    <x v="2"/>
    <x v="2"/>
    <x v="1"/>
    <n v="14000"/>
    <n v="4.1200000000000001E-2"/>
    <n v="48"/>
    <s v="OFF-SAL-1"/>
    <x v="0"/>
    <d v="2026-08-13T00:00:00"/>
    <x v="1"/>
    <s v="Kuwaiti"/>
    <n v="38"/>
    <s v="30-44"/>
    <n v="1"/>
    <n v="1"/>
    <n v="14000"/>
    <n v="576.79999999999995"/>
  </r>
  <r>
    <s v="FN-01012"/>
    <x v="221"/>
    <s v="C0784"/>
    <x v="5"/>
    <x v="0"/>
    <x v="0"/>
    <n v="20500"/>
    <n v="6.5199999999999994E-2"/>
    <n v="36"/>
    <s v="OFF-JAH-3"/>
    <x v="1"/>
    <d v="2026-08-20T00:00:00"/>
    <x v="1"/>
    <s v="Kuwaiti"/>
    <n v="31"/>
    <s v="30-44"/>
    <n v="8"/>
    <n v="0"/>
    <n v="0"/>
    <n v="0"/>
  </r>
  <r>
    <s v="FN-01047"/>
    <x v="221"/>
    <s v="C0108"/>
    <x v="3"/>
    <x v="2"/>
    <x v="0"/>
    <n v="7000"/>
    <n v="4.6600000000000003E-2"/>
    <n v="36"/>
    <s v="OFF-FAR-3"/>
    <x v="1"/>
    <d v="2026-08-16T00:00:00"/>
    <x v="1"/>
    <s v="Non-Kuwaiti"/>
    <n v="49"/>
    <s v="45+"/>
    <n v="4"/>
    <n v="0"/>
    <n v="0"/>
    <n v="0"/>
  </r>
  <r>
    <s v="FN-01094"/>
    <x v="221"/>
    <s v="C0048"/>
    <x v="3"/>
    <x v="3"/>
    <x v="2"/>
    <n v="104800"/>
    <n v="6.7900000000000002E-2"/>
    <n v="24"/>
    <s v="OFF-FAR-1"/>
    <x v="1"/>
    <d v="2026-08-29T00:00:00"/>
    <x v="1"/>
    <s v="Non-Kuwaiti"/>
    <n v="68"/>
    <s v="45+"/>
    <n v="17"/>
    <n v="0"/>
    <n v="0"/>
    <n v="0"/>
  </r>
  <r>
    <s v="FN-01104"/>
    <x v="221"/>
    <s v="C0362"/>
    <x v="2"/>
    <x v="3"/>
    <x v="1"/>
    <n v="20700"/>
    <n v="0.06"/>
    <n v="60"/>
    <s v="OFF-SAL-1"/>
    <x v="1"/>
    <d v="2026-08-30T00:00:00"/>
    <x v="1"/>
    <s v="Kuwaiti"/>
    <n v="33"/>
    <s v="30-44"/>
    <n v="18"/>
    <n v="0"/>
    <n v="0"/>
    <n v="0"/>
  </r>
  <r>
    <s v="FN-01107"/>
    <x v="221"/>
    <s v="C0080"/>
    <x v="2"/>
    <x v="3"/>
    <x v="1"/>
    <n v="156700"/>
    <n v="5.9400000000000001E-2"/>
    <n v="24"/>
    <s v="OFF-SAL-2"/>
    <x v="0"/>
    <d v="2026-08-24T00:00:00"/>
    <x v="0"/>
    <s v="Non-Kuwaiti"/>
    <n v="32"/>
    <s v="30-44"/>
    <n v="12"/>
    <n v="1"/>
    <n v="156700"/>
    <n v="9307.98"/>
  </r>
  <r>
    <s v="FN-01141"/>
    <x v="221"/>
    <s v="C0410"/>
    <x v="2"/>
    <x v="0"/>
    <x v="1"/>
    <n v="13300"/>
    <n v="6.9000000000000006E-2"/>
    <n v="48"/>
    <s v="OFF-SAL-1"/>
    <x v="0"/>
    <d v="2026-08-17T00:00:00"/>
    <x v="1"/>
    <s v="Kuwaiti"/>
    <n v="32"/>
    <s v="30-44"/>
    <n v="5"/>
    <n v="1"/>
    <n v="13300"/>
    <n v="917.7"/>
  </r>
  <r>
    <s v="FN-01089"/>
    <x v="222"/>
    <s v="C0753"/>
    <x v="2"/>
    <x v="2"/>
    <x v="1"/>
    <n v="14300"/>
    <n v="4.2700000000000002E-2"/>
    <n v="48"/>
    <s v="OFF-SAL-3"/>
    <x v="0"/>
    <d v="2026-08-14T00:00:00"/>
    <x v="0"/>
    <s v="Kuwaiti"/>
    <n v="31"/>
    <s v="30-44"/>
    <n v="1"/>
    <n v="1"/>
    <n v="14300"/>
    <n v="610.61"/>
  </r>
  <r>
    <s v="FN-01118"/>
    <x v="222"/>
    <s v="C0151"/>
    <x v="1"/>
    <x v="2"/>
    <x v="2"/>
    <n v="4200"/>
    <n v="4.2000000000000003E-2"/>
    <n v="48"/>
    <s v="OFF-HAW-3"/>
    <x v="0"/>
    <d v="2026-08-14T00:00:00"/>
    <x v="1"/>
    <s v="Non-Kuwaiti"/>
    <n v="65"/>
    <s v="45+"/>
    <n v="1"/>
    <n v="1"/>
    <n v="4200"/>
    <n v="176.4"/>
  </r>
  <r>
    <s v="FN-01009"/>
    <x v="223"/>
    <s v="C0830"/>
    <x v="4"/>
    <x v="0"/>
    <x v="0"/>
    <n v="24900"/>
    <n v="5.1400000000000001E-2"/>
    <n v="36"/>
    <s v="OFF-AHM-1"/>
    <x v="0"/>
    <d v="2026-08-15T00:00:00"/>
    <x v="0"/>
    <s v="Kuwaiti"/>
    <n v="32"/>
    <s v="30-44"/>
    <n v="1"/>
    <n v="1"/>
    <n v="24900"/>
    <n v="1279.8600000000001"/>
  </r>
  <r>
    <s v="FN-01069"/>
    <x v="223"/>
    <s v="C0114"/>
    <x v="5"/>
    <x v="0"/>
    <x v="1"/>
    <n v="25000"/>
    <n v="6.3E-2"/>
    <n v="48"/>
    <s v="OFF-JAH-3"/>
    <x v="0"/>
    <d v="2026-08-20T00:00:00"/>
    <x v="2"/>
    <s v="Kuwaiti"/>
    <n v="29"/>
    <s v="Under 30"/>
    <n v="6"/>
    <n v="1"/>
    <n v="25000"/>
    <n v="1575"/>
  </r>
  <r>
    <s v="FN-01123"/>
    <x v="223"/>
    <s v="C0849"/>
    <x v="3"/>
    <x v="0"/>
    <x v="2"/>
    <n v="3700"/>
    <n v="6.4799999999999996E-2"/>
    <n v="36"/>
    <s v="OFF-FAR-3"/>
    <x v="0"/>
    <d v="2026-08-16T00:00:00"/>
    <x v="1"/>
    <s v="Non-Kuwaiti"/>
    <n v="40"/>
    <s v="30-44"/>
    <n v="2"/>
    <n v="1"/>
    <n v="3700"/>
    <n v="239.76"/>
  </r>
  <r>
    <s v="FN-01147"/>
    <x v="223"/>
    <s v="C0600"/>
    <x v="0"/>
    <x v="0"/>
    <x v="0"/>
    <n v="3800"/>
    <n v="5.5599999999999997E-2"/>
    <n v="48"/>
    <s v="OFF-KUW-3"/>
    <x v="0"/>
    <d v="2026-08-17T00:00:00"/>
    <x v="0"/>
    <s v="Kuwaiti"/>
    <n v="28"/>
    <s v="Under 30"/>
    <n v="3"/>
    <n v="1"/>
    <n v="3800"/>
    <n v="211.28"/>
  </r>
  <r>
    <s v="FN-01001"/>
    <x v="224"/>
    <s v="C0740"/>
    <x v="5"/>
    <x v="2"/>
    <x v="0"/>
    <n v="9400"/>
    <n v="4.3999999999999997E-2"/>
    <n v="36"/>
    <s v="OFF-JAH-2"/>
    <x v="0"/>
    <d v="2026-08-22T00:00:00"/>
    <x v="1"/>
    <s v="Non-Kuwaiti"/>
    <n v="64"/>
    <s v="45+"/>
    <n v="7"/>
    <n v="1"/>
    <n v="9400"/>
    <n v="413.59999999999997"/>
  </r>
  <r>
    <s v="FN-01068"/>
    <x v="224"/>
    <s v="C0545"/>
    <x v="1"/>
    <x v="1"/>
    <x v="0"/>
    <n v="126000"/>
    <n v="4.0099999999999997E-2"/>
    <n v="240"/>
    <s v="OFF-HAW-3"/>
    <x v="1"/>
    <d v="2026-09-03T00:00:00"/>
    <x v="1"/>
    <s v="Non-Kuwaiti"/>
    <n v="49"/>
    <s v="45+"/>
    <n v="19"/>
    <n v="0"/>
    <n v="0"/>
    <n v="0"/>
  </r>
  <r>
    <s v="FN-01111"/>
    <x v="224"/>
    <s v="C0917"/>
    <x v="4"/>
    <x v="0"/>
    <x v="0"/>
    <n v="8000"/>
    <n v="6.1100000000000002E-2"/>
    <n v="36"/>
    <s v="OFF-AHM-2"/>
    <x v="1"/>
    <d v="2026-08-21T00:00:00"/>
    <x v="1"/>
    <s v="Kuwaiti"/>
    <n v="54"/>
    <s v="45+"/>
    <n v="6"/>
    <n v="0"/>
    <n v="0"/>
    <n v="0"/>
  </r>
  <r>
    <s v="FN-01116"/>
    <x v="224"/>
    <s v="C0699"/>
    <x v="0"/>
    <x v="0"/>
    <x v="0"/>
    <n v="25000"/>
    <n v="5.0200000000000002E-2"/>
    <n v="60"/>
    <s v="OFF-KUW-1"/>
    <x v="0"/>
    <d v="2026-08-19T00:00:00"/>
    <x v="2"/>
    <s v="Non-Kuwaiti"/>
    <n v="35"/>
    <s v="30-44"/>
    <n v="4"/>
    <n v="1"/>
    <n v="25000"/>
    <n v="1255"/>
  </r>
  <r>
    <s v="FN-01121"/>
    <x v="224"/>
    <s v="C0533"/>
    <x v="2"/>
    <x v="1"/>
    <x v="1"/>
    <n v="286800"/>
    <n v="3.04E-2"/>
    <n v="120"/>
    <s v="OFF-SAL-2"/>
    <x v="0"/>
    <d v="2026-08-30T00:00:00"/>
    <x v="0"/>
    <s v="Kuwaiti"/>
    <n v="39"/>
    <s v="30-44"/>
    <n v="15"/>
    <n v="1"/>
    <n v="286800"/>
    <n v="8718.7199999999993"/>
  </r>
  <r>
    <s v="FN-00987"/>
    <x v="225"/>
    <s v="C0950"/>
    <x v="3"/>
    <x v="0"/>
    <x v="0"/>
    <n v="23300"/>
    <n v="5.6500000000000002E-2"/>
    <n v="36"/>
    <s v="OFF-FAR-3"/>
    <x v="0"/>
    <d v="2026-08-20T00:00:00"/>
    <x v="0"/>
    <s v="Non-Kuwaiti"/>
    <n v="58"/>
    <s v="45+"/>
    <n v="4"/>
    <n v="1"/>
    <n v="23300"/>
    <n v="1316.45"/>
  </r>
  <r>
    <s v="FN-01002"/>
    <x v="225"/>
    <s v="C0123"/>
    <x v="3"/>
    <x v="3"/>
    <x v="0"/>
    <n v="35900"/>
    <n v="7.22E-2"/>
    <n v="24"/>
    <s v="OFF-FAR-1"/>
    <x v="0"/>
    <d v="2026-09-05T00:00:00"/>
    <x v="1"/>
    <s v="Non-Kuwaiti"/>
    <n v="49"/>
    <s v="45+"/>
    <n v="20"/>
    <n v="1"/>
    <n v="35900"/>
    <n v="2591.98"/>
  </r>
  <r>
    <s v="FN-01044"/>
    <x v="225"/>
    <s v="C0673"/>
    <x v="5"/>
    <x v="2"/>
    <x v="2"/>
    <n v="10400"/>
    <n v="4.6399999999999997E-2"/>
    <n v="36"/>
    <s v="OFF-JAH-2"/>
    <x v="0"/>
    <d v="2026-08-22T00:00:00"/>
    <x v="1"/>
    <s v="Kuwaiti"/>
    <n v="42"/>
    <s v="30-44"/>
    <n v="6"/>
    <n v="1"/>
    <n v="10400"/>
    <n v="482.55999999999995"/>
  </r>
  <r>
    <s v="FN-01074"/>
    <x v="225"/>
    <s v="C0283"/>
    <x v="0"/>
    <x v="1"/>
    <x v="1"/>
    <n v="211600"/>
    <n v="3.2500000000000001E-2"/>
    <n v="120"/>
    <s v="OFF-KUW-3"/>
    <x v="0"/>
    <d v="2026-08-31T00:00:00"/>
    <x v="1"/>
    <s v="Non-Kuwaiti"/>
    <n v="44"/>
    <s v="30-44"/>
    <n v="15"/>
    <n v="1"/>
    <n v="211600"/>
    <n v="6877"/>
  </r>
  <r>
    <s v="FN-01075"/>
    <x v="225"/>
    <s v="C0586"/>
    <x v="0"/>
    <x v="1"/>
    <x v="0"/>
    <n v="141900"/>
    <n v="3.7100000000000001E-2"/>
    <n v="240"/>
    <s v="OFF-KUW-2"/>
    <x v="1"/>
    <d v="2026-09-07T00:00:00"/>
    <x v="1"/>
    <s v="Kuwaiti"/>
    <n v="40"/>
    <s v="30-44"/>
    <n v="22"/>
    <n v="0"/>
    <n v="0"/>
    <n v="0"/>
  </r>
  <r>
    <s v="FN-01076"/>
    <x v="225"/>
    <s v="C0159"/>
    <x v="4"/>
    <x v="1"/>
    <x v="1"/>
    <n v="229300"/>
    <n v="3.6700000000000003E-2"/>
    <n v="240"/>
    <s v="OFF-AHM-2"/>
    <x v="0"/>
    <d v="2026-08-29T00:00:00"/>
    <x v="2"/>
    <s v="Kuwaiti"/>
    <n v="37"/>
    <s v="30-44"/>
    <n v="13"/>
    <n v="1"/>
    <n v="229300"/>
    <n v="8415.3100000000013"/>
  </r>
  <r>
    <s v="FN-01109"/>
    <x v="225"/>
    <s v="C0533"/>
    <x v="1"/>
    <x v="2"/>
    <x v="2"/>
    <n v="8600"/>
    <n v="4.5499999999999999E-2"/>
    <n v="36"/>
    <s v="OFF-HAW-3"/>
    <x v="0"/>
    <d v="2026-08-20T00:00:00"/>
    <x v="0"/>
    <s v="Kuwaiti"/>
    <n v="39"/>
    <s v="30-44"/>
    <n v="4"/>
    <n v="1"/>
    <n v="8600"/>
    <n v="391.3"/>
  </r>
  <r>
    <s v="FN-01151"/>
    <x v="225"/>
    <s v="C0249"/>
    <x v="0"/>
    <x v="0"/>
    <x v="0"/>
    <n v="16500"/>
    <n v="6.6199999999999995E-2"/>
    <n v="48"/>
    <s v="OFF-KUW-2"/>
    <x v="0"/>
    <d v="2026-08-19T00:00:00"/>
    <x v="1"/>
    <s v="Kuwaiti"/>
    <n v="29"/>
    <s v="Under 30"/>
    <n v="3"/>
    <n v="1"/>
    <n v="16500"/>
    <n v="1092.3"/>
  </r>
  <r>
    <s v="FN-00997"/>
    <x v="226"/>
    <s v="C0654"/>
    <x v="3"/>
    <x v="2"/>
    <x v="0"/>
    <n v="8000"/>
    <n v="4.48E-2"/>
    <n v="60"/>
    <s v="OFF-FAR-3"/>
    <x v="0"/>
    <d v="2026-08-21T00:00:00"/>
    <x v="0"/>
    <s v="Non-Kuwaiti"/>
    <n v="44"/>
    <s v="30-44"/>
    <n v="4"/>
    <n v="1"/>
    <n v="8000"/>
    <n v="358.4"/>
  </r>
  <r>
    <s v="FN-01027"/>
    <x v="226"/>
    <s v="C0697"/>
    <x v="1"/>
    <x v="2"/>
    <x v="1"/>
    <n v="4300"/>
    <n v="3.9800000000000002E-2"/>
    <n v="36"/>
    <s v="OFF-HAW-2"/>
    <x v="1"/>
    <d v="2026-08-19T00:00:00"/>
    <x v="1"/>
    <s v="Kuwaiti"/>
    <n v="41"/>
    <s v="30-44"/>
    <n v="2"/>
    <n v="0"/>
    <n v="0"/>
    <n v="0"/>
  </r>
  <r>
    <s v="FN-01031"/>
    <x v="226"/>
    <s v="C0427"/>
    <x v="2"/>
    <x v="0"/>
    <x v="1"/>
    <n v="20400"/>
    <n v="5.6899999999999999E-2"/>
    <n v="60"/>
    <s v="OFF-SAL-1"/>
    <x v="0"/>
    <d v="2026-08-23T00:00:00"/>
    <x v="0"/>
    <s v="Kuwaiti"/>
    <n v="41"/>
    <s v="30-44"/>
    <n v="6"/>
    <n v="1"/>
    <n v="20400"/>
    <n v="1160.76"/>
  </r>
  <r>
    <s v="FN-01033"/>
    <x v="226"/>
    <s v="C0395"/>
    <x v="2"/>
    <x v="2"/>
    <x v="0"/>
    <n v="7400"/>
    <n v="4.5199999999999997E-2"/>
    <n v="36"/>
    <s v="OFF-SAL-2"/>
    <x v="0"/>
    <d v="2026-08-20T00:00:00"/>
    <x v="0"/>
    <s v="Non-Kuwaiti"/>
    <n v="29"/>
    <s v="Under 30"/>
    <n v="3"/>
    <n v="1"/>
    <n v="7400"/>
    <n v="334.47999999999996"/>
  </r>
  <r>
    <s v="FN-01036"/>
    <x v="226"/>
    <s v="C0760"/>
    <x v="2"/>
    <x v="2"/>
    <x v="1"/>
    <n v="10000"/>
    <n v="3.78E-2"/>
    <n v="60"/>
    <s v="OFF-SAL-3"/>
    <x v="1"/>
    <d v="2026-08-19T00:00:00"/>
    <x v="1"/>
    <s v="Kuwaiti"/>
    <n v="55"/>
    <s v="45+"/>
    <n v="2"/>
    <n v="0"/>
    <n v="0"/>
    <n v="0"/>
  </r>
  <r>
    <s v="FN-01057"/>
    <x v="226"/>
    <s v="C0537"/>
    <x v="2"/>
    <x v="2"/>
    <x v="1"/>
    <n v="16200"/>
    <n v="3.6200000000000003E-2"/>
    <n v="36"/>
    <s v="OFF-SAL-2"/>
    <x v="0"/>
    <d v="2026-08-17T00:00:00"/>
    <x v="0"/>
    <s v="Kuwaiti"/>
    <n v="26"/>
    <s v="Under 30"/>
    <n v="0"/>
    <n v="1"/>
    <n v="16200"/>
    <n v="586.44000000000005"/>
  </r>
  <r>
    <s v="FN-01088"/>
    <x v="226"/>
    <s v="C0159"/>
    <x v="4"/>
    <x v="1"/>
    <x v="0"/>
    <n v="337500"/>
    <n v="3.49E-2"/>
    <n v="300"/>
    <s v="OFF-AHM-3"/>
    <x v="1"/>
    <d v="2026-09-04T00:00:00"/>
    <x v="2"/>
    <s v="Kuwaiti"/>
    <n v="37"/>
    <s v="30-44"/>
    <n v="18"/>
    <n v="0"/>
    <n v="0"/>
    <n v="0"/>
  </r>
  <r>
    <s v="FN-01117"/>
    <x v="226"/>
    <s v="C0769"/>
    <x v="0"/>
    <x v="2"/>
    <x v="2"/>
    <n v="13000"/>
    <n v="4.8399999999999999E-2"/>
    <n v="48"/>
    <s v="OFF-KUW-2"/>
    <x v="0"/>
    <d v="2026-08-19T00:00:00"/>
    <x v="0"/>
    <s v="Kuwaiti"/>
    <n v="23"/>
    <s v="Under 30"/>
    <n v="2"/>
    <n v="1"/>
    <n v="13000"/>
    <n v="629.19999999999993"/>
  </r>
  <r>
    <s v="FN-01146"/>
    <x v="226"/>
    <s v="C0691"/>
    <x v="0"/>
    <x v="0"/>
    <x v="0"/>
    <n v="19700"/>
    <n v="6.8500000000000005E-2"/>
    <n v="60"/>
    <s v="OFF-KUW-2"/>
    <x v="0"/>
    <d v="2026-08-20T00:00:00"/>
    <x v="0"/>
    <s v="Kuwaiti"/>
    <n v="31"/>
    <s v="30-44"/>
    <n v="3"/>
    <n v="1"/>
    <n v="19700"/>
    <n v="1349.45"/>
  </r>
  <r>
    <s v="FN-00998"/>
    <x v="227"/>
    <s v="C0357"/>
    <x v="5"/>
    <x v="3"/>
    <x v="1"/>
    <n v="55400"/>
    <n v="7.7499999999999999E-2"/>
    <n v="36"/>
    <s v="OFF-JAH-1"/>
    <x v="1"/>
    <d v="2026-08-30T00:00:00"/>
    <x v="1"/>
    <s v="Kuwaiti"/>
    <n v="41"/>
    <s v="30-44"/>
    <n v="12"/>
    <n v="0"/>
    <n v="0"/>
    <n v="0"/>
  </r>
  <r>
    <s v="FN-01014"/>
    <x v="227"/>
    <s v="C0692"/>
    <x v="4"/>
    <x v="0"/>
    <x v="1"/>
    <n v="7700"/>
    <n v="5.3100000000000001E-2"/>
    <n v="48"/>
    <s v="OFF-AHM-1"/>
    <x v="1"/>
    <d v="2026-08-20T00:00:00"/>
    <x v="1"/>
    <s v="Kuwaiti"/>
    <n v="38"/>
    <s v="30-44"/>
    <n v="2"/>
    <n v="0"/>
    <n v="0"/>
    <n v="0"/>
  </r>
  <r>
    <s v="FN-01077"/>
    <x v="227"/>
    <s v="C0169"/>
    <x v="2"/>
    <x v="1"/>
    <x v="2"/>
    <n v="64800"/>
    <n v="3.4299999999999997E-2"/>
    <n v="300"/>
    <s v="OFF-SAL-2"/>
    <x v="0"/>
    <d v="2026-09-02T00:00:00"/>
    <x v="1"/>
    <s v="Kuwaiti"/>
    <n v="68"/>
    <s v="45+"/>
    <n v="15"/>
    <n v="1"/>
    <n v="64800"/>
    <n v="2222.64"/>
  </r>
  <r>
    <s v="FN-01130"/>
    <x v="227"/>
    <s v="C0245"/>
    <x v="1"/>
    <x v="2"/>
    <x v="1"/>
    <n v="8800"/>
    <n v="3.8199999999999998E-2"/>
    <n v="60"/>
    <s v="OFF-HAW-2"/>
    <x v="1"/>
    <d v="2026-08-22T00:00:00"/>
    <x v="1"/>
    <s v="Kuwaiti"/>
    <n v="40"/>
    <s v="30-44"/>
    <n v="4"/>
    <n v="0"/>
    <n v="0"/>
    <n v="0"/>
  </r>
  <r>
    <s v="FN-01150"/>
    <x v="227"/>
    <s v="C0814"/>
    <x v="4"/>
    <x v="0"/>
    <x v="0"/>
    <n v="23600"/>
    <n v="6.3500000000000001E-2"/>
    <n v="36"/>
    <s v="OFF-AHM-1"/>
    <x v="0"/>
    <d v="2026-08-24T00:00:00"/>
    <x v="0"/>
    <s v="Kuwaiti"/>
    <n v="52"/>
    <s v="45+"/>
    <n v="6"/>
    <n v="1"/>
    <n v="23600"/>
    <n v="1498.6"/>
  </r>
  <r>
    <s v="FN-01021"/>
    <x v="228"/>
    <s v="C0669"/>
    <x v="0"/>
    <x v="0"/>
    <x v="0"/>
    <n v="20700"/>
    <n v="5.62E-2"/>
    <n v="36"/>
    <s v="OFF-KUW-1"/>
    <x v="1"/>
    <d v="2026-08-21T00:00:00"/>
    <x v="1"/>
    <s v="Non-Kuwaiti"/>
    <n v="33"/>
    <s v="30-44"/>
    <n v="2"/>
    <n v="0"/>
    <n v="0"/>
    <n v="0"/>
  </r>
  <r>
    <s v="FN-01041"/>
    <x v="228"/>
    <s v="C0861"/>
    <x v="5"/>
    <x v="2"/>
    <x v="2"/>
    <n v="16000"/>
    <n v="4.8300000000000003E-2"/>
    <n v="60"/>
    <s v="OFF-JAH-3"/>
    <x v="0"/>
    <d v="2026-08-27T00:00:00"/>
    <x v="0"/>
    <s v="Kuwaiti"/>
    <n v="23"/>
    <s v="Under 30"/>
    <n v="8"/>
    <n v="1"/>
    <n v="16000"/>
    <n v="772.80000000000007"/>
  </r>
  <r>
    <s v="FN-01055"/>
    <x v="228"/>
    <s v="C0571"/>
    <x v="0"/>
    <x v="2"/>
    <x v="1"/>
    <n v="5200"/>
    <n v="4.8500000000000001E-2"/>
    <n v="48"/>
    <s v="OFF-KUW-2"/>
    <x v="0"/>
    <d v="2026-08-24T00:00:00"/>
    <x v="1"/>
    <s v="Non-Kuwaiti"/>
    <n v="69"/>
    <s v="45+"/>
    <n v="5"/>
    <n v="1"/>
    <n v="5200"/>
    <n v="252.20000000000002"/>
  </r>
  <r>
    <s v="FN-01122"/>
    <x v="228"/>
    <s v="C0314"/>
    <x v="5"/>
    <x v="1"/>
    <x v="2"/>
    <n v="141200"/>
    <n v="4.4299999999999999E-2"/>
    <n v="240"/>
    <s v="OFF-JAH-1"/>
    <x v="0"/>
    <d v="2026-09-20T00:00:00"/>
    <x v="1"/>
    <s v="Non-Kuwaiti"/>
    <n v="27"/>
    <s v="Under 30"/>
    <n v="32"/>
    <n v="1"/>
    <n v="141200"/>
    <n v="6255.16"/>
  </r>
  <r>
    <s v="FN-01138"/>
    <x v="228"/>
    <s v="C0592"/>
    <x v="0"/>
    <x v="2"/>
    <x v="2"/>
    <n v="17000"/>
    <n v="4.8300000000000003E-2"/>
    <n v="60"/>
    <s v="OFF-KUW-2"/>
    <x v="0"/>
    <d v="2026-08-20T00:00:00"/>
    <x v="0"/>
    <s v="Kuwaiti"/>
    <n v="32"/>
    <s v="30-44"/>
    <n v="1"/>
    <n v="1"/>
    <n v="17000"/>
    <n v="821.1"/>
  </r>
  <r>
    <s v="FN-00992"/>
    <x v="229"/>
    <s v="C0071"/>
    <x v="2"/>
    <x v="3"/>
    <x v="0"/>
    <n v="50700"/>
    <n v="7.9500000000000001E-2"/>
    <n v="84"/>
    <s v="OFF-SAL-2"/>
    <x v="0"/>
    <d v="2026-09-08T00:00:00"/>
    <x v="1"/>
    <s v="Kuwaiti"/>
    <n v="50"/>
    <s v="45+"/>
    <n v="19"/>
    <n v="1"/>
    <n v="50700"/>
    <n v="4030.65"/>
  </r>
  <r>
    <s v="FN-01005"/>
    <x v="229"/>
    <s v="C0424"/>
    <x v="1"/>
    <x v="3"/>
    <x v="0"/>
    <n v="132200"/>
    <n v="6.3100000000000003E-2"/>
    <n v="36"/>
    <s v="OFF-HAW-1"/>
    <x v="1"/>
    <d v="2026-09-04T00:00:00"/>
    <x v="2"/>
    <s v="Non-Kuwaiti"/>
    <n v="56"/>
    <s v="45+"/>
    <n v="15"/>
    <n v="0"/>
    <n v="0"/>
    <n v="0"/>
  </r>
  <r>
    <s v="FN-01020"/>
    <x v="229"/>
    <s v="C0139"/>
    <x v="4"/>
    <x v="0"/>
    <x v="1"/>
    <n v="20400"/>
    <n v="5.7000000000000002E-2"/>
    <n v="48"/>
    <s v="OFF-AHM-1"/>
    <x v="0"/>
    <d v="2026-08-25T00:00:00"/>
    <x v="0"/>
    <s v="Kuwaiti"/>
    <n v="26"/>
    <s v="Under 30"/>
    <n v="5"/>
    <n v="1"/>
    <n v="20400"/>
    <n v="1162.8"/>
  </r>
  <r>
    <s v="FN-01024"/>
    <x v="229"/>
    <s v="C0638"/>
    <x v="1"/>
    <x v="2"/>
    <x v="1"/>
    <n v="7900"/>
    <n v="3.6900000000000002E-2"/>
    <n v="48"/>
    <s v="OFF-HAW-2"/>
    <x v="0"/>
    <d v="2026-08-23T00:00:00"/>
    <x v="0"/>
    <s v="Non-Kuwaiti"/>
    <n v="29"/>
    <s v="Under 30"/>
    <n v="3"/>
    <n v="1"/>
    <n v="7900"/>
    <n v="291.51"/>
  </r>
  <r>
    <s v="FN-01032"/>
    <x v="229"/>
    <s v="C0400"/>
    <x v="2"/>
    <x v="0"/>
    <x v="0"/>
    <n v="15100"/>
    <n v="5.4800000000000001E-2"/>
    <n v="36"/>
    <s v="OFF-SAL-1"/>
    <x v="1"/>
    <d v="2026-08-27T00:00:00"/>
    <x v="1"/>
    <s v="Kuwaiti"/>
    <n v="47"/>
    <s v="45+"/>
    <n v="7"/>
    <n v="0"/>
    <n v="0"/>
    <n v="0"/>
  </r>
  <r>
    <s v="FN-01034"/>
    <x v="229"/>
    <s v="C0423"/>
    <x v="0"/>
    <x v="0"/>
    <x v="0"/>
    <n v="17800"/>
    <n v="5.0900000000000001E-2"/>
    <n v="48"/>
    <s v="OFF-KUW-1"/>
    <x v="0"/>
    <d v="2026-08-27T00:00:00"/>
    <x v="2"/>
    <s v="Kuwaiti"/>
    <n v="51"/>
    <s v="45+"/>
    <n v="7"/>
    <n v="1"/>
    <n v="17800"/>
    <n v="906.02"/>
  </r>
  <r>
    <s v="FN-01072"/>
    <x v="229"/>
    <s v="C0858"/>
    <x v="0"/>
    <x v="3"/>
    <x v="0"/>
    <n v="125200"/>
    <n v="7.5800000000000006E-2"/>
    <n v="84"/>
    <s v="OFF-KUW-2"/>
    <x v="1"/>
    <d v="2026-08-28T00:00:00"/>
    <x v="2"/>
    <s v="Kuwaiti"/>
    <n v="65"/>
    <s v="45+"/>
    <n v="8"/>
    <n v="0"/>
    <n v="0"/>
    <n v="0"/>
  </r>
  <r>
    <s v="FN-01143"/>
    <x v="229"/>
    <s v="C0848"/>
    <x v="4"/>
    <x v="2"/>
    <x v="2"/>
    <n v="7500"/>
    <n v="4.9700000000000001E-2"/>
    <n v="60"/>
    <s v="OFF-AHM-2"/>
    <x v="1"/>
    <d v="2026-08-23T00:00:00"/>
    <x v="1"/>
    <s v="Non-Kuwaiti"/>
    <n v="54"/>
    <s v="45+"/>
    <n v="3"/>
    <n v="0"/>
    <n v="0"/>
    <n v="0"/>
  </r>
  <r>
    <s v="FN-01060"/>
    <x v="230"/>
    <s v="C0137"/>
    <x v="3"/>
    <x v="0"/>
    <x v="0"/>
    <n v="7400"/>
    <n v="6.2300000000000001E-2"/>
    <n v="36"/>
    <s v="OFF-FAR-3"/>
    <x v="0"/>
    <d v="2026-08-25T00:00:00"/>
    <x v="1"/>
    <s v="Non-Kuwaiti"/>
    <n v="25"/>
    <s v="Under 30"/>
    <n v="4"/>
    <n v="1"/>
    <n v="7400"/>
    <n v="461.02"/>
  </r>
  <r>
    <s v="FN-01081"/>
    <x v="230"/>
    <s v="C0179"/>
    <x v="0"/>
    <x v="0"/>
    <x v="0"/>
    <n v="19400"/>
    <n v="5.2699999999999997E-2"/>
    <n v="12"/>
    <s v="OFF-KUW-1"/>
    <x v="0"/>
    <d v="2026-08-28T00:00:00"/>
    <x v="0"/>
    <s v="Kuwaiti"/>
    <n v="30"/>
    <s v="30-44"/>
    <n v="7"/>
    <n v="1"/>
    <n v="19400"/>
    <n v="1022.38"/>
  </r>
  <r>
    <s v="FN-01084"/>
    <x v="230"/>
    <s v="C0928"/>
    <x v="0"/>
    <x v="2"/>
    <x v="0"/>
    <n v="8200"/>
    <n v="4.1500000000000002E-2"/>
    <n v="36"/>
    <s v="OFF-KUW-1"/>
    <x v="0"/>
    <d v="2026-08-24T00:00:00"/>
    <x v="1"/>
    <s v="Non-Kuwaiti"/>
    <n v="41"/>
    <s v="30-44"/>
    <n v="3"/>
    <n v="1"/>
    <n v="8200"/>
    <n v="340.3"/>
  </r>
  <r>
    <s v="FN-01087"/>
    <x v="230"/>
    <s v="C0122"/>
    <x v="2"/>
    <x v="2"/>
    <x v="0"/>
    <n v="9800"/>
    <n v="4.36E-2"/>
    <n v="60"/>
    <s v="OFF-SAL-2"/>
    <x v="0"/>
    <d v="2026-08-24T00:00:00"/>
    <x v="0"/>
    <s v="Kuwaiti"/>
    <n v="39"/>
    <s v="30-44"/>
    <n v="3"/>
    <n v="1"/>
    <n v="9800"/>
    <n v="427.28"/>
  </r>
  <r>
    <s v="FN-01115"/>
    <x v="230"/>
    <s v="C0482"/>
    <x v="1"/>
    <x v="0"/>
    <x v="0"/>
    <n v="11400"/>
    <n v="6.6600000000000006E-2"/>
    <n v="36"/>
    <s v="OFF-HAW-1"/>
    <x v="0"/>
    <d v="2026-08-25T00:00:00"/>
    <x v="1"/>
    <s v="Kuwaiti"/>
    <n v="50"/>
    <s v="45+"/>
    <n v="4"/>
    <n v="1"/>
    <n v="11400"/>
    <n v="759.24000000000012"/>
  </r>
  <r>
    <s v="FN-01127"/>
    <x v="230"/>
    <s v="C0941"/>
    <x v="5"/>
    <x v="3"/>
    <x v="1"/>
    <n v="154600"/>
    <n v="5.57E-2"/>
    <n v="36"/>
    <s v="OFF-JAH-1"/>
    <x v="1"/>
    <d v="2026-09-06T00:00:00"/>
    <x v="0"/>
    <s v="Kuwaiti"/>
    <n v="40"/>
    <s v="30-44"/>
    <n v="16"/>
    <n v="0"/>
    <n v="0"/>
    <n v="0"/>
  </r>
  <r>
    <s v="FN-01134"/>
    <x v="230"/>
    <s v="C0467"/>
    <x v="1"/>
    <x v="0"/>
    <x v="0"/>
    <n v="14600"/>
    <n v="5.4600000000000003E-2"/>
    <n v="36"/>
    <s v="OFF-HAW-3"/>
    <x v="0"/>
    <d v="2026-08-22T00:00:00"/>
    <x v="1"/>
    <s v="Kuwaiti"/>
    <n v="24"/>
    <s v="Under 30"/>
    <n v="1"/>
    <n v="1"/>
    <n v="14600"/>
    <n v="797.16000000000008"/>
  </r>
  <r>
    <s v="FN-00991"/>
    <x v="231"/>
    <s v="C0521"/>
    <x v="5"/>
    <x v="2"/>
    <x v="1"/>
    <n v="14500"/>
    <n v="4.48E-2"/>
    <n v="48"/>
    <s v="OFF-JAH-3"/>
    <x v="1"/>
    <d v="2026-08-30T00:00:00"/>
    <x v="2"/>
    <s v="Kuwaiti"/>
    <n v="59"/>
    <s v="45+"/>
    <n v="8"/>
    <n v="0"/>
    <n v="0"/>
    <n v="0"/>
  </r>
  <r>
    <s v="FN-00999"/>
    <x v="231"/>
    <s v="C0709"/>
    <x v="0"/>
    <x v="1"/>
    <x v="0"/>
    <n v="315100"/>
    <n v="3.2599999999999997E-2"/>
    <n v="240"/>
    <s v="OFF-KUW-2"/>
    <x v="0"/>
    <d v="2026-09-18T00:00:00"/>
    <x v="2"/>
    <s v="Kuwaiti"/>
    <n v="33"/>
    <s v="30-44"/>
    <n v="27"/>
    <n v="1"/>
    <n v="315100"/>
    <n v="10272.259999999998"/>
  </r>
  <r>
    <s v="FN-00989"/>
    <x v="232"/>
    <s v="C0424"/>
    <x v="2"/>
    <x v="0"/>
    <x v="1"/>
    <n v="15600"/>
    <n v="6.7799999999999999E-2"/>
    <n v="24"/>
    <s v="OFF-SAL-3"/>
    <x v="0"/>
    <d v="2026-08-28T00:00:00"/>
    <x v="2"/>
    <s v="Non-Kuwaiti"/>
    <n v="56"/>
    <s v="45+"/>
    <n v="5"/>
    <n v="1"/>
    <n v="15600"/>
    <n v="1057.68"/>
  </r>
  <r>
    <s v="FN-00996"/>
    <x v="232"/>
    <s v="C0363"/>
    <x v="0"/>
    <x v="0"/>
    <x v="2"/>
    <n v="17000"/>
    <n v="5.5500000000000001E-2"/>
    <n v="36"/>
    <s v="OFF-KUW-1"/>
    <x v="0"/>
    <d v="2026-08-24T00:00:00"/>
    <x v="0"/>
    <s v="Kuwaiti"/>
    <n v="42"/>
    <s v="30-44"/>
    <n v="1"/>
    <n v="1"/>
    <n v="17000"/>
    <n v="943.5"/>
  </r>
  <r>
    <s v="FN-01083"/>
    <x v="232"/>
    <s v="C0776"/>
    <x v="5"/>
    <x v="2"/>
    <x v="0"/>
    <n v="4100"/>
    <n v="4.7199999999999999E-2"/>
    <n v="36"/>
    <s v="OFF-JAH-1"/>
    <x v="1"/>
    <d v="2026-08-31T00:00:00"/>
    <x v="1"/>
    <s v="Kuwaiti"/>
    <n v="26"/>
    <s v="Under 30"/>
    <n v="8"/>
    <n v="0"/>
    <n v="0"/>
    <n v="0"/>
  </r>
  <r>
    <s v="FN-01131"/>
    <x v="232"/>
    <s v="C0863"/>
    <x v="0"/>
    <x v="2"/>
    <x v="1"/>
    <n v="16800"/>
    <n v="4.7399999999999998E-2"/>
    <n v="36"/>
    <s v="OFF-KUW-1"/>
    <x v="0"/>
    <d v="2026-08-23T00:00:00"/>
    <x v="0"/>
    <s v="Non-Kuwaiti"/>
    <n v="22"/>
    <s v="Under 30"/>
    <n v="0"/>
    <n v="1"/>
    <n v="16800"/>
    <n v="796.31999999999994"/>
  </r>
  <r>
    <s v="FN-01008"/>
    <x v="233"/>
    <s v="C0494"/>
    <x v="5"/>
    <x v="0"/>
    <x v="0"/>
    <n v="24500"/>
    <n v="6.7699999999999996E-2"/>
    <n v="60"/>
    <s v="OFF-JAH-2"/>
    <x v="1"/>
    <d v="2026-09-01T00:00:00"/>
    <x v="1"/>
    <s v="Non-Kuwaiti"/>
    <n v="35"/>
    <s v="30-44"/>
    <n v="8"/>
    <n v="0"/>
    <n v="0"/>
    <n v="0"/>
  </r>
  <r>
    <s v="FN-01025"/>
    <x v="233"/>
    <s v="C0766"/>
    <x v="1"/>
    <x v="2"/>
    <x v="0"/>
    <n v="4600"/>
    <n v="4.1300000000000003E-2"/>
    <n v="48"/>
    <s v="OFF-HAW-1"/>
    <x v="0"/>
    <d v="2026-08-26T00:00:00"/>
    <x v="1"/>
    <s v="Non-Kuwaiti"/>
    <n v="53"/>
    <s v="45+"/>
    <n v="2"/>
    <n v="1"/>
    <n v="4600"/>
    <n v="189.98000000000002"/>
  </r>
  <r>
    <s v="FN-01043"/>
    <x v="233"/>
    <s v="C0441"/>
    <x v="0"/>
    <x v="2"/>
    <x v="2"/>
    <n v="11100"/>
    <n v="4.2900000000000001E-2"/>
    <n v="48"/>
    <s v="OFF-KUW-2"/>
    <x v="0"/>
    <d v="2026-08-29T00:00:00"/>
    <x v="1"/>
    <s v="Kuwaiti"/>
    <n v="27"/>
    <s v="Under 30"/>
    <n v="5"/>
    <n v="1"/>
    <n v="11100"/>
    <n v="476.19"/>
  </r>
  <r>
    <s v="FN-01101"/>
    <x v="233"/>
    <s v="C0245"/>
    <x v="3"/>
    <x v="2"/>
    <x v="0"/>
    <n v="14800"/>
    <n v="3.8300000000000001E-2"/>
    <n v="60"/>
    <s v="OFF-FAR-1"/>
    <x v="0"/>
    <d v="2026-08-28T00:00:00"/>
    <x v="1"/>
    <s v="Kuwaiti"/>
    <n v="40"/>
    <s v="30-44"/>
    <n v="4"/>
    <n v="1"/>
    <n v="14800"/>
    <n v="566.84"/>
  </r>
  <r>
    <s v="FN-01062"/>
    <x v="234"/>
    <s v="C0710"/>
    <x v="1"/>
    <x v="0"/>
    <x v="1"/>
    <n v="17900"/>
    <n v="6.8000000000000005E-2"/>
    <n v="60"/>
    <s v="OFF-HAW-3"/>
    <x v="1"/>
    <d v="2026-08-28T00:00:00"/>
    <x v="1"/>
    <s v="Non-Kuwaiti"/>
    <n v="39"/>
    <s v="30-44"/>
    <n v="3"/>
    <n v="0"/>
    <n v="0"/>
    <n v="0"/>
  </r>
  <r>
    <s v="FN-01082"/>
    <x v="234"/>
    <s v="C0546"/>
    <x v="3"/>
    <x v="2"/>
    <x v="0"/>
    <n v="13800"/>
    <n v="4.9599999999999998E-2"/>
    <n v="36"/>
    <s v="OFF-FAR-3"/>
    <x v="0"/>
    <d v="2026-08-30T00:00:00"/>
    <x v="0"/>
    <s v="Kuwaiti"/>
    <n v="24"/>
    <s v="Under 30"/>
    <n v="5"/>
    <n v="1"/>
    <n v="13800"/>
    <n v="684.48"/>
  </r>
  <r>
    <s v="FN-01102"/>
    <x v="234"/>
    <s v="C0690"/>
    <x v="0"/>
    <x v="3"/>
    <x v="0"/>
    <n v="42500"/>
    <n v="7.2099999999999997E-2"/>
    <n v="36"/>
    <s v="OFF-KUW-1"/>
    <x v="0"/>
    <d v="2026-09-07T00:00:00"/>
    <x v="0"/>
    <s v="Kuwaiti"/>
    <n v="62"/>
    <s v="45+"/>
    <n v="13"/>
    <n v="1"/>
    <n v="42500"/>
    <n v="3064.25"/>
  </r>
  <r>
    <s v="FN-01108"/>
    <x v="234"/>
    <s v="C0170"/>
    <x v="0"/>
    <x v="3"/>
    <x v="0"/>
    <n v="121200"/>
    <n v="7.2599999999999998E-2"/>
    <n v="24"/>
    <s v="OFF-KUW-2"/>
    <x v="0"/>
    <d v="2026-09-08T00:00:00"/>
    <x v="1"/>
    <s v="Kuwaiti"/>
    <n v="28"/>
    <s v="Under 30"/>
    <n v="14"/>
    <n v="1"/>
    <n v="121200"/>
    <n v="8799.119999999999"/>
  </r>
  <r>
    <s v="FN-01136"/>
    <x v="234"/>
    <s v="C0311"/>
    <x v="1"/>
    <x v="3"/>
    <x v="0"/>
    <n v="68800"/>
    <n v="5.7299999999999997E-2"/>
    <n v="60"/>
    <s v="OFF-HAW-1"/>
    <x v="1"/>
    <d v="2026-09-10T00:00:00"/>
    <x v="1"/>
    <s v="Non-Kuwaiti"/>
    <n v="47"/>
    <s v="45+"/>
    <n v="16"/>
    <n v="0"/>
    <n v="0"/>
    <n v="0"/>
  </r>
  <r>
    <s v="FN-01028"/>
    <x v="235"/>
    <s v="C0191"/>
    <x v="0"/>
    <x v="0"/>
    <x v="1"/>
    <n v="15300"/>
    <n v="5.2999999999999999E-2"/>
    <n v="12"/>
    <s v="OFF-KUW-3"/>
    <x v="0"/>
    <d v="2026-08-31T00:00:00"/>
    <x v="1"/>
    <s v="Kuwaiti"/>
    <n v="68"/>
    <s v="45+"/>
    <n v="5"/>
    <n v="1"/>
    <n v="15300"/>
    <n v="810.9"/>
  </r>
  <r>
    <s v="FN-01037"/>
    <x v="235"/>
    <s v="C0526"/>
    <x v="2"/>
    <x v="2"/>
    <x v="2"/>
    <n v="12200"/>
    <n v="4.07E-2"/>
    <n v="36"/>
    <s v="OFF-SAL-2"/>
    <x v="0"/>
    <d v="2026-08-27T00:00:00"/>
    <x v="1"/>
    <s v="Kuwaiti"/>
    <n v="38"/>
    <s v="30-44"/>
    <n v="1"/>
    <n v="1"/>
    <n v="12200"/>
    <n v="496.54"/>
  </r>
  <r>
    <s v="FN-01092"/>
    <x v="235"/>
    <s v="C0845"/>
    <x v="3"/>
    <x v="0"/>
    <x v="0"/>
    <n v="25000"/>
    <n v="6.3299999999999995E-2"/>
    <n v="48"/>
    <s v="OFF-FAR-2"/>
    <x v="0"/>
    <d v="2026-08-27T00:00:00"/>
    <x v="0"/>
    <s v="Non-Kuwaiti"/>
    <n v="51"/>
    <s v="45+"/>
    <n v="1"/>
    <n v="1"/>
    <n v="25000"/>
    <n v="1582.4999999999998"/>
  </r>
  <r>
    <s v="FN-01125"/>
    <x v="235"/>
    <s v="C0421"/>
    <x v="1"/>
    <x v="2"/>
    <x v="2"/>
    <n v="18600"/>
    <n v="4.3900000000000002E-2"/>
    <n v="36"/>
    <s v="OFF-HAW-3"/>
    <x v="0"/>
    <d v="2026-08-27T00:00:00"/>
    <x v="2"/>
    <s v="Kuwaiti"/>
    <n v="23"/>
    <s v="Under 30"/>
    <n v="1"/>
    <n v="1"/>
    <n v="18600"/>
    <n v="816.54000000000008"/>
  </r>
  <r>
    <s v="FN-01133"/>
    <x v="235"/>
    <s v="C0827"/>
    <x v="2"/>
    <x v="0"/>
    <x v="2"/>
    <n v="3700"/>
    <n v="5.4600000000000003E-2"/>
    <n v="24"/>
    <s v="OFF-SAL-2"/>
    <x v="0"/>
    <d v="2026-08-30T00:00:00"/>
    <x v="1"/>
    <s v="Kuwaiti"/>
    <n v="32"/>
    <s v="30-44"/>
    <n v="4"/>
    <n v="1"/>
    <n v="3700"/>
    <n v="202.02"/>
  </r>
  <r>
    <s v="FN-01152"/>
    <x v="235"/>
    <s v="C0289"/>
    <x v="0"/>
    <x v="3"/>
    <x v="1"/>
    <n v="36500"/>
    <n v="6.2700000000000006E-2"/>
    <n v="24"/>
    <s v="OFF-KUW-3"/>
    <x v="0"/>
    <d v="2026-09-03T00:00:00"/>
    <x v="1"/>
    <s v="Kuwaiti"/>
    <n v="43"/>
    <s v="30-44"/>
    <n v="8"/>
    <n v="1"/>
    <n v="36500"/>
    <n v="2288.5500000000002"/>
  </r>
  <r>
    <s v="FN-01011"/>
    <x v="236"/>
    <s v="C0603"/>
    <x v="3"/>
    <x v="3"/>
    <x v="1"/>
    <n v="108700"/>
    <n v="6.7599999999999993E-2"/>
    <n v="60"/>
    <s v="OFF-FAR-1"/>
    <x v="1"/>
    <d v="2026-09-02T00:00:00"/>
    <x v="1"/>
    <s v="Non-Kuwaiti"/>
    <n v="71"/>
    <s v="45+"/>
    <n v="6"/>
    <n v="0"/>
    <n v="0"/>
    <n v="0"/>
  </r>
  <r>
    <s v="FN-01018"/>
    <x v="236"/>
    <s v="C0728"/>
    <x v="2"/>
    <x v="2"/>
    <x v="0"/>
    <n v="5000"/>
    <n v="4.4999999999999998E-2"/>
    <n v="36"/>
    <s v="OFF-SAL-3"/>
    <x v="0"/>
    <d v="2026-08-29T00:00:00"/>
    <x v="1"/>
    <s v="Kuwaiti"/>
    <n v="56"/>
    <s v="45+"/>
    <n v="2"/>
    <n v="1"/>
    <n v="5000"/>
    <n v="225"/>
  </r>
  <r>
    <s v="FN-01019"/>
    <x v="236"/>
    <s v="C0098"/>
    <x v="2"/>
    <x v="0"/>
    <x v="0"/>
    <n v="25000"/>
    <n v="5.4699999999999999E-2"/>
    <n v="48"/>
    <s v="OFF-SAL-1"/>
    <x v="0"/>
    <d v="2026-08-31T00:00:00"/>
    <x v="0"/>
    <s v="Kuwaiti"/>
    <n v="48"/>
    <s v="45+"/>
    <n v="4"/>
    <n v="1"/>
    <n v="25000"/>
    <n v="1367.5"/>
  </r>
  <r>
    <s v="FN-01022"/>
    <x v="236"/>
    <s v="C0086"/>
    <x v="2"/>
    <x v="3"/>
    <x v="0"/>
    <n v="106100"/>
    <n v="7.0800000000000002E-2"/>
    <n v="60"/>
    <s v="OFF-SAL-2"/>
    <x v="0"/>
    <d v="2026-09-08T00:00:00"/>
    <x v="0"/>
    <s v="Kuwaiti"/>
    <n v="48"/>
    <s v="45+"/>
    <n v="12"/>
    <n v="1"/>
    <n v="106100"/>
    <n v="7511.88"/>
  </r>
  <r>
    <s v="FN-01035"/>
    <x v="236"/>
    <s v="C0245"/>
    <x v="5"/>
    <x v="0"/>
    <x v="0"/>
    <n v="13400"/>
    <n v="6.4000000000000001E-2"/>
    <n v="48"/>
    <s v="OFF-JAH-2"/>
    <x v="0"/>
    <d v="2026-09-07T00:00:00"/>
    <x v="1"/>
    <s v="Kuwaiti"/>
    <n v="40"/>
    <s v="30-44"/>
    <n v="11"/>
    <n v="1"/>
    <n v="13400"/>
    <n v="857.6"/>
  </r>
  <r>
    <s v="FN-01090"/>
    <x v="236"/>
    <s v="C0564"/>
    <x v="4"/>
    <x v="3"/>
    <x v="0"/>
    <n v="147500"/>
    <n v="7.4499999999999997E-2"/>
    <n v="36"/>
    <s v="OFF-AHM-1"/>
    <x v="1"/>
    <d v="2026-09-15T00:00:00"/>
    <x v="1"/>
    <s v="Non-Kuwaiti"/>
    <n v="37"/>
    <s v="30-44"/>
    <n v="19"/>
    <n v="0"/>
    <n v="0"/>
    <n v="0"/>
  </r>
  <r>
    <s v="FN-01137"/>
    <x v="236"/>
    <s v="C0466"/>
    <x v="1"/>
    <x v="2"/>
    <x v="0"/>
    <n v="15700"/>
    <n v="4.2999999999999997E-2"/>
    <n v="48"/>
    <s v="OFF-HAW-1"/>
    <x v="0"/>
    <d v="2026-09-01T00:00:00"/>
    <x v="0"/>
    <s v="Kuwaiti"/>
    <n v="36"/>
    <s v="30-44"/>
    <n v="5"/>
    <n v="1"/>
    <n v="15700"/>
    <n v="675.09999999999991"/>
  </r>
  <r>
    <s v="FN-00990"/>
    <x v="237"/>
    <s v="C0769"/>
    <x v="2"/>
    <x v="0"/>
    <x v="1"/>
    <n v="25000"/>
    <n v="6.3799999999999996E-2"/>
    <n v="36"/>
    <s v="OFF-SAL-2"/>
    <x v="0"/>
    <d v="2026-09-01T00:00:00"/>
    <x v="0"/>
    <s v="Kuwaiti"/>
    <n v="23"/>
    <s v="Under 30"/>
    <n v="4"/>
    <n v="1"/>
    <n v="25000"/>
    <n v="1595"/>
  </r>
  <r>
    <s v="FN-01063"/>
    <x v="237"/>
    <s v="C0692"/>
    <x v="2"/>
    <x v="2"/>
    <x v="0"/>
    <n v="5900"/>
    <n v="4.5600000000000002E-2"/>
    <n v="36"/>
    <s v="OFF-SAL-3"/>
    <x v="0"/>
    <d v="2026-09-02T00:00:00"/>
    <x v="1"/>
    <s v="Kuwaiti"/>
    <n v="38"/>
    <s v="30-44"/>
    <n v="5"/>
    <n v="1"/>
    <n v="5900"/>
    <n v="269.04000000000002"/>
  </r>
  <r>
    <s v="FN-00986"/>
    <x v="238"/>
    <s v="C0439"/>
    <x v="1"/>
    <x v="0"/>
    <x v="2"/>
    <n v="7100"/>
    <n v="5.62E-2"/>
    <n v="48"/>
    <s v="OFF-HAW-3"/>
    <x v="0"/>
    <d v="2026-09-02T00:00:00"/>
    <x v="1"/>
    <s v="Kuwaiti"/>
    <n v="39"/>
    <s v="30-44"/>
    <n v="4"/>
    <n v="1"/>
    <n v="7100"/>
    <n v="399.02"/>
  </r>
  <r>
    <s v="FN-01003"/>
    <x v="238"/>
    <s v="C0306"/>
    <x v="2"/>
    <x v="2"/>
    <x v="2"/>
    <n v="12600"/>
    <n v="4.5100000000000001E-2"/>
    <n v="48"/>
    <s v="OFF-SAL-1"/>
    <x v="0"/>
    <d v="2026-08-30T00:00:00"/>
    <x v="1"/>
    <s v="Kuwaiti"/>
    <n v="55"/>
    <s v="45+"/>
    <n v="1"/>
    <n v="1"/>
    <n v="12600"/>
    <n v="568.26"/>
  </r>
  <r>
    <s v="FN-01040"/>
    <x v="238"/>
    <s v="C0568"/>
    <x v="5"/>
    <x v="3"/>
    <x v="2"/>
    <n v="130100"/>
    <n v="5.6099999999999997E-2"/>
    <n v="24"/>
    <s v="OFF-JAH-3"/>
    <x v="0"/>
    <d v="2026-09-11T00:00:00"/>
    <x v="1"/>
    <s v="Kuwaiti"/>
    <n v="57"/>
    <s v="45+"/>
    <n v="13"/>
    <n v="1"/>
    <n v="130100"/>
    <n v="7298.61"/>
  </r>
  <r>
    <s v="FN-01042"/>
    <x v="238"/>
    <s v="C0022"/>
    <x v="1"/>
    <x v="3"/>
    <x v="0"/>
    <n v="81300"/>
    <n v="7.9799999999999996E-2"/>
    <n v="60"/>
    <s v="OFF-HAW-2"/>
    <x v="1"/>
    <d v="2026-09-12T00:00:00"/>
    <x v="1"/>
    <s v="Kuwaiti"/>
    <n v="43"/>
    <s v="30-44"/>
    <n v="14"/>
    <n v="0"/>
    <n v="0"/>
    <n v="0"/>
  </r>
  <r>
    <s v="FN-01045"/>
    <x v="238"/>
    <s v="C0784"/>
    <x v="4"/>
    <x v="2"/>
    <x v="1"/>
    <n v="9000"/>
    <n v="4.6100000000000002E-2"/>
    <n v="60"/>
    <s v="OFF-AHM-1"/>
    <x v="1"/>
    <d v="2026-08-29T00:00:00"/>
    <x v="1"/>
    <s v="Kuwaiti"/>
    <n v="31"/>
    <s v="30-44"/>
    <n v="0"/>
    <n v="0"/>
    <n v="0"/>
    <n v="0"/>
  </r>
  <r>
    <s v="FN-01048"/>
    <x v="238"/>
    <s v="C0736"/>
    <x v="0"/>
    <x v="2"/>
    <x v="0"/>
    <n v="11300"/>
    <n v="4.7199999999999999E-2"/>
    <n v="60"/>
    <s v="OFF-KUW-3"/>
    <x v="1"/>
    <d v="2026-08-30T00:00:00"/>
    <x v="1"/>
    <s v="Non-Kuwaiti"/>
    <n v="53"/>
    <s v="45+"/>
    <n v="1"/>
    <n v="0"/>
    <n v="0"/>
    <n v="0"/>
  </r>
  <r>
    <s v="FN-01073"/>
    <x v="238"/>
    <s v="C0214"/>
    <x v="0"/>
    <x v="0"/>
    <x v="1"/>
    <n v="6500"/>
    <n v="5.7700000000000001E-2"/>
    <n v="60"/>
    <s v="OFF-KUW-2"/>
    <x v="0"/>
    <d v="2026-08-30T00:00:00"/>
    <x v="1"/>
    <s v="Non-Kuwaiti"/>
    <n v="49"/>
    <s v="45+"/>
    <n v="1"/>
    <n v="1"/>
    <n v="6500"/>
    <n v="375.05"/>
  </r>
  <r>
    <s v="FN-01097"/>
    <x v="238"/>
    <s v="C0056"/>
    <x v="0"/>
    <x v="0"/>
    <x v="1"/>
    <n v="20800"/>
    <n v="6.1600000000000002E-2"/>
    <n v="36"/>
    <s v="OFF-KUW-1"/>
    <x v="1"/>
    <d v="2026-08-29T00:00:00"/>
    <x v="1"/>
    <s v="Non-Kuwaiti"/>
    <n v="40"/>
    <s v="30-44"/>
    <n v="0"/>
    <n v="0"/>
    <n v="0"/>
    <n v="0"/>
  </r>
  <r>
    <s v="FN-01124"/>
    <x v="238"/>
    <s v="C0548"/>
    <x v="2"/>
    <x v="0"/>
    <x v="1"/>
    <n v="23800"/>
    <n v="6.88E-2"/>
    <n v="12"/>
    <s v="OFF-SAL-3"/>
    <x v="0"/>
    <d v="2026-09-02T00:00:00"/>
    <x v="0"/>
    <s v="Kuwaiti"/>
    <n v="24"/>
    <s v="Under 30"/>
    <n v="4"/>
    <n v="1"/>
    <n v="23800"/>
    <n v="1637.44"/>
  </r>
  <r>
    <s v="FN-01006"/>
    <x v="239"/>
    <s v="C0057"/>
    <x v="2"/>
    <x v="3"/>
    <x v="1"/>
    <n v="172300"/>
    <n v="5.57E-2"/>
    <n v="24"/>
    <s v="OFF-SAL-1"/>
    <x v="1"/>
    <d v="2026-09-15T00:00:00"/>
    <x v="2"/>
    <s v="Kuwaiti"/>
    <n v="23"/>
    <s v="Under 30"/>
    <n v="16"/>
    <n v="0"/>
    <n v="0"/>
    <n v="0"/>
  </r>
  <r>
    <s v="FN-01007"/>
    <x v="239"/>
    <s v="C0727"/>
    <x v="5"/>
    <x v="2"/>
    <x v="0"/>
    <n v="8100"/>
    <n v="3.8199999999999998E-2"/>
    <n v="60"/>
    <s v="OFF-JAH-1"/>
    <x v="0"/>
    <d v="2026-09-05T00:00:00"/>
    <x v="1"/>
    <s v="Non-Kuwaiti"/>
    <n v="23"/>
    <s v="Under 30"/>
    <n v="6"/>
    <n v="1"/>
    <n v="8100"/>
    <n v="309.41999999999996"/>
  </r>
  <r>
    <s v="FN-01013"/>
    <x v="239"/>
    <s v="C0495"/>
    <x v="0"/>
    <x v="2"/>
    <x v="1"/>
    <n v="10300"/>
    <n v="3.6200000000000003E-2"/>
    <n v="36"/>
    <s v="OFF-KUW-1"/>
    <x v="0"/>
    <d v="2026-09-01T00:00:00"/>
    <x v="0"/>
    <s v="Kuwaiti"/>
    <n v="26"/>
    <s v="Under 30"/>
    <n v="2"/>
    <n v="1"/>
    <n v="10300"/>
    <n v="372.86"/>
  </r>
  <r>
    <s v="FN-01038"/>
    <x v="239"/>
    <s v="C0813"/>
    <x v="0"/>
    <x v="3"/>
    <x v="1"/>
    <n v="46500"/>
    <n v="6.4799999999999996E-2"/>
    <n v="84"/>
    <s v="OFF-KUW-2"/>
    <x v="1"/>
    <d v="2026-09-09T00:00:00"/>
    <x v="1"/>
    <s v="Kuwaiti"/>
    <n v="25"/>
    <s v="Under 30"/>
    <n v="10"/>
    <n v="0"/>
    <n v="0"/>
    <n v="0"/>
  </r>
  <r>
    <s v="FN-01053"/>
    <x v="239"/>
    <s v="C0652"/>
    <x v="1"/>
    <x v="1"/>
    <x v="0"/>
    <n v="178300"/>
    <n v="4.2500000000000003E-2"/>
    <n v="240"/>
    <s v="OFF-HAW-1"/>
    <x v="0"/>
    <d v="2026-09-21T00:00:00"/>
    <x v="0"/>
    <s v="Non-Kuwaiti"/>
    <n v="37"/>
    <s v="30-44"/>
    <n v="22"/>
    <n v="1"/>
    <n v="178300"/>
    <n v="7577.7500000000009"/>
  </r>
  <r>
    <s v="FN-01113"/>
    <x v="239"/>
    <s v="C0546"/>
    <x v="0"/>
    <x v="2"/>
    <x v="0"/>
    <n v="16200"/>
    <n v="4.4299999999999999E-2"/>
    <n v="48"/>
    <s v="OFF-KUW-3"/>
    <x v="0"/>
    <d v="2026-09-04T00:00:00"/>
    <x v="0"/>
    <s v="Kuwaiti"/>
    <n v="24"/>
    <s v="Under 30"/>
    <n v="5"/>
    <n v="1"/>
    <n v="16200"/>
    <n v="717.66"/>
  </r>
  <r>
    <s v="FN-01015"/>
    <x v="240"/>
    <s v="C0500"/>
    <x v="0"/>
    <x v="2"/>
    <x v="0"/>
    <n v="13200"/>
    <n v="4.8399999999999999E-2"/>
    <n v="48"/>
    <s v="OFF-KUW-3"/>
    <x v="0"/>
    <d v="2026-09-03T00:00:00"/>
    <x v="1"/>
    <s v="Kuwaiti"/>
    <n v="55"/>
    <s v="45+"/>
    <n v="3"/>
    <n v="1"/>
    <n v="13200"/>
    <n v="638.88"/>
  </r>
  <r>
    <s v="FN-01054"/>
    <x v="240"/>
    <s v="C0150"/>
    <x v="0"/>
    <x v="2"/>
    <x v="1"/>
    <n v="10500"/>
    <n v="4.0800000000000003E-2"/>
    <n v="48"/>
    <s v="OFF-KUW-3"/>
    <x v="0"/>
    <d v="2026-09-02T00:00:00"/>
    <x v="1"/>
    <s v="Non-Kuwaiti"/>
    <n v="34"/>
    <s v="30-44"/>
    <n v="2"/>
    <n v="1"/>
    <n v="10500"/>
    <n v="428.40000000000003"/>
  </r>
  <r>
    <s v="FN-01066"/>
    <x v="240"/>
    <s v="C0179"/>
    <x v="4"/>
    <x v="2"/>
    <x v="1"/>
    <n v="13600"/>
    <n v="4.0399999999999998E-2"/>
    <n v="60"/>
    <s v="OFF-AHM-2"/>
    <x v="0"/>
    <d v="2026-09-03T00:00:00"/>
    <x v="0"/>
    <s v="Kuwaiti"/>
    <n v="30"/>
    <s v="30-44"/>
    <n v="3"/>
    <n v="1"/>
    <n v="13600"/>
    <n v="549.43999999999994"/>
  </r>
  <r>
    <s v="FN-01067"/>
    <x v="240"/>
    <s v="C0521"/>
    <x v="1"/>
    <x v="0"/>
    <x v="2"/>
    <n v="25000"/>
    <n v="6.6400000000000001E-2"/>
    <n v="12"/>
    <s v="OFF-HAW-2"/>
    <x v="1"/>
    <d v="2026-09-03T00:00:00"/>
    <x v="2"/>
    <s v="Kuwaiti"/>
    <n v="59"/>
    <s v="45+"/>
    <n v="3"/>
    <n v="0"/>
    <n v="0"/>
    <n v="0"/>
  </r>
  <r>
    <s v="FN-01096"/>
    <x v="240"/>
    <s v="C0613"/>
    <x v="4"/>
    <x v="3"/>
    <x v="0"/>
    <n v="34800"/>
    <n v="7.1300000000000002E-2"/>
    <n v="24"/>
    <s v="OFF-AHM-2"/>
    <x v="0"/>
    <d v="2026-09-21T00:00:00"/>
    <x v="1"/>
    <s v="Kuwaiti"/>
    <n v="25"/>
    <s v="Under 30"/>
    <n v="21"/>
    <n v="1"/>
    <n v="34800"/>
    <n v="2481.2400000000002"/>
  </r>
  <r>
    <s v="FN-01114"/>
    <x v="240"/>
    <s v="C0183"/>
    <x v="3"/>
    <x v="2"/>
    <x v="1"/>
    <n v="13400"/>
    <n v="4.7300000000000002E-2"/>
    <n v="48"/>
    <s v="OFF-FAR-1"/>
    <x v="0"/>
    <d v="2026-09-01T00:00:00"/>
    <x v="1"/>
    <s v="Kuwaiti"/>
    <n v="71"/>
    <s v="45+"/>
    <n v="1"/>
    <n v="1"/>
    <n v="13400"/>
    <n v="633.82000000000005"/>
  </r>
  <r>
    <s v="FN-01167"/>
    <x v="241"/>
    <s v="C0571"/>
    <x v="1"/>
    <x v="1"/>
    <x v="2"/>
    <n v="50000"/>
    <n v="4.2999999999999997E-2"/>
    <n v="180"/>
    <s v="OFF-HAW-2"/>
    <x v="0"/>
    <d v="2026-09-17T00:00:00"/>
    <x v="1"/>
    <s v="Non-Kuwaiti"/>
    <n v="69"/>
    <s v="45+"/>
    <n v="16"/>
    <n v="1"/>
    <n v="50000"/>
    <n v="2150"/>
  </r>
  <r>
    <s v="FN-01168"/>
    <x v="241"/>
    <s v="C0588"/>
    <x v="2"/>
    <x v="0"/>
    <x v="1"/>
    <n v="17600"/>
    <n v="5.6800000000000003E-2"/>
    <n v="12"/>
    <s v="OFF-SAL-3"/>
    <x v="2"/>
    <m/>
    <x v="0"/>
    <s v="Kuwaiti"/>
    <n v="23"/>
    <s v="Under 30"/>
    <s v=""/>
    <n v="0"/>
    <n v="0"/>
    <n v="0"/>
  </r>
  <r>
    <s v="FN-01192"/>
    <x v="241"/>
    <s v="C0854"/>
    <x v="1"/>
    <x v="1"/>
    <x v="1"/>
    <n v="246200"/>
    <n v="3.32E-2"/>
    <n v="120"/>
    <s v="OFF-HAW-3"/>
    <x v="0"/>
    <d v="2026-09-28T00:00:00"/>
    <x v="1"/>
    <s v="Kuwaiti"/>
    <n v="23"/>
    <s v="Under 30"/>
    <n v="27"/>
    <n v="1"/>
    <n v="246200"/>
    <n v="8173.84"/>
  </r>
  <r>
    <s v="FN-01219"/>
    <x v="241"/>
    <s v="C0550"/>
    <x v="4"/>
    <x v="2"/>
    <x v="1"/>
    <n v="17400"/>
    <n v="4.2999999999999997E-2"/>
    <n v="36"/>
    <s v="OFF-AHM-1"/>
    <x v="0"/>
    <d v="2026-09-04T00:00:00"/>
    <x v="2"/>
    <s v="Non-Kuwaiti"/>
    <n v="58"/>
    <s v="45+"/>
    <n v="3"/>
    <n v="1"/>
    <n v="17400"/>
    <n v="748.19999999999993"/>
  </r>
  <r>
    <s v="FN-01225"/>
    <x v="241"/>
    <s v="C0046"/>
    <x v="3"/>
    <x v="1"/>
    <x v="1"/>
    <n v="190000"/>
    <n v="3.9E-2"/>
    <n v="300"/>
    <s v="OFF-FAR-2"/>
    <x v="1"/>
    <d v="2026-09-18T00:00:00"/>
    <x v="1"/>
    <s v="Non-Kuwaiti"/>
    <n v="63"/>
    <s v="45+"/>
    <n v="17"/>
    <n v="0"/>
    <n v="0"/>
    <n v="0"/>
  </r>
  <r>
    <s v="FN-01245"/>
    <x v="241"/>
    <s v="C0551"/>
    <x v="1"/>
    <x v="3"/>
    <x v="0"/>
    <n v="75400"/>
    <n v="5.5100000000000003E-2"/>
    <n v="84"/>
    <s v="OFF-HAW-2"/>
    <x v="0"/>
    <d v="2026-09-17T00:00:00"/>
    <x v="1"/>
    <s v="Non-Kuwaiti"/>
    <n v="25"/>
    <s v="Under 30"/>
    <n v="16"/>
    <n v="1"/>
    <n v="75400"/>
    <n v="4154.54"/>
  </r>
  <r>
    <s v="FN-01266"/>
    <x v="241"/>
    <s v="C0631"/>
    <x v="0"/>
    <x v="0"/>
    <x v="1"/>
    <n v="11000"/>
    <n v="6.7299999999999999E-2"/>
    <n v="24"/>
    <s v="OFF-KUW-2"/>
    <x v="0"/>
    <d v="2026-09-02T00:00:00"/>
    <x v="1"/>
    <s v="Kuwaiti"/>
    <n v="38"/>
    <s v="30-44"/>
    <n v="1"/>
    <n v="1"/>
    <n v="11000"/>
    <n v="740.3"/>
  </r>
  <r>
    <s v="FN-01196"/>
    <x v="242"/>
    <s v="C0680"/>
    <x v="4"/>
    <x v="1"/>
    <x v="1"/>
    <n v="182300"/>
    <n v="4.4900000000000002E-2"/>
    <n v="300"/>
    <s v="OFF-AHM-1"/>
    <x v="1"/>
    <d v="2026-09-11T00:00:00"/>
    <x v="1"/>
    <s v="Non-Kuwaiti"/>
    <n v="46"/>
    <s v="45+"/>
    <n v="9"/>
    <n v="0"/>
    <n v="0"/>
    <n v="0"/>
  </r>
  <r>
    <s v="FN-01197"/>
    <x v="242"/>
    <s v="C0559"/>
    <x v="3"/>
    <x v="3"/>
    <x v="2"/>
    <n v="61100"/>
    <n v="7.2300000000000003E-2"/>
    <n v="60"/>
    <s v="OFF-FAR-3"/>
    <x v="1"/>
    <d v="2026-09-16T00:00:00"/>
    <x v="1"/>
    <s v="Kuwaiti"/>
    <n v="26"/>
    <s v="Under 30"/>
    <n v="14"/>
    <n v="0"/>
    <n v="0"/>
    <n v="0"/>
  </r>
  <r>
    <s v="FN-01280"/>
    <x v="242"/>
    <s v="C0169"/>
    <x v="3"/>
    <x v="0"/>
    <x v="2"/>
    <n v="23900"/>
    <n v="5.8400000000000001E-2"/>
    <n v="12"/>
    <s v="OFF-FAR-2"/>
    <x v="0"/>
    <d v="2026-09-09T00:00:00"/>
    <x v="1"/>
    <s v="Kuwaiti"/>
    <n v="68"/>
    <s v="45+"/>
    <n v="7"/>
    <n v="1"/>
    <n v="23900"/>
    <n v="1395.76"/>
  </r>
  <r>
    <s v="FN-01207"/>
    <x v="243"/>
    <s v="C0707"/>
    <x v="2"/>
    <x v="2"/>
    <x v="0"/>
    <n v="4800"/>
    <n v="3.7699999999999997E-2"/>
    <n v="60"/>
    <s v="OFF-SAL-3"/>
    <x v="0"/>
    <d v="2026-09-08T00:00:00"/>
    <x v="1"/>
    <s v="Non-Kuwaiti"/>
    <n v="40"/>
    <s v="30-44"/>
    <n v="5"/>
    <n v="1"/>
    <n v="4800"/>
    <n v="180.95999999999998"/>
  </r>
  <r>
    <s v="FN-01220"/>
    <x v="243"/>
    <s v="C0904"/>
    <x v="0"/>
    <x v="3"/>
    <x v="0"/>
    <n v="52000"/>
    <n v="7.0099999999999996E-2"/>
    <n v="60"/>
    <s v="OFF-KUW-2"/>
    <x v="0"/>
    <d v="2026-09-23T00:00:00"/>
    <x v="1"/>
    <s v="Kuwaiti"/>
    <n v="25"/>
    <s v="Under 30"/>
    <n v="20"/>
    <n v="1"/>
    <n v="52000"/>
    <n v="3645.2"/>
  </r>
  <r>
    <s v="FN-01228"/>
    <x v="243"/>
    <s v="C0628"/>
    <x v="2"/>
    <x v="0"/>
    <x v="0"/>
    <n v="11700"/>
    <n v="5.4199999999999998E-2"/>
    <n v="36"/>
    <s v="OFF-SAL-3"/>
    <x v="0"/>
    <d v="2026-09-05T00:00:00"/>
    <x v="2"/>
    <s v="Kuwaiti"/>
    <n v="38"/>
    <s v="30-44"/>
    <n v="2"/>
    <n v="1"/>
    <n v="11700"/>
    <n v="634.14"/>
  </r>
  <r>
    <s v="FN-01287"/>
    <x v="243"/>
    <s v="C0238"/>
    <x v="3"/>
    <x v="2"/>
    <x v="1"/>
    <n v="13900"/>
    <n v="4.8599999999999997E-2"/>
    <n v="36"/>
    <s v="OFF-FAR-2"/>
    <x v="1"/>
    <d v="2026-09-05T00:00:00"/>
    <x v="1"/>
    <s v="Kuwaiti"/>
    <n v="49"/>
    <s v="45+"/>
    <n v="2"/>
    <n v="0"/>
    <n v="0"/>
    <n v="0"/>
  </r>
  <r>
    <s v="FN-01226"/>
    <x v="244"/>
    <s v="C0429"/>
    <x v="3"/>
    <x v="1"/>
    <x v="1"/>
    <n v="118700"/>
    <n v="3.0700000000000002E-2"/>
    <n v="120"/>
    <s v="OFF-FAR-3"/>
    <x v="0"/>
    <d v="2026-10-02T00:00:00"/>
    <x v="1"/>
    <s v="Non-Kuwaiti"/>
    <n v="70"/>
    <s v="45+"/>
    <n v="28"/>
    <n v="1"/>
    <n v="118700"/>
    <n v="3644.09"/>
  </r>
  <r>
    <s v="FN-01230"/>
    <x v="244"/>
    <s v="C0108"/>
    <x v="1"/>
    <x v="2"/>
    <x v="0"/>
    <n v="4100"/>
    <n v="3.73E-2"/>
    <n v="48"/>
    <s v="OFF-HAW-1"/>
    <x v="0"/>
    <d v="2026-09-07T00:00:00"/>
    <x v="1"/>
    <s v="Non-Kuwaiti"/>
    <n v="49"/>
    <s v="45+"/>
    <n v="3"/>
    <n v="1"/>
    <n v="4100"/>
    <n v="152.93"/>
  </r>
  <r>
    <s v="FN-01275"/>
    <x v="244"/>
    <s v="C0026"/>
    <x v="1"/>
    <x v="3"/>
    <x v="1"/>
    <n v="31100"/>
    <n v="6.2199999999999998E-2"/>
    <n v="84"/>
    <s v="OFF-HAW-3"/>
    <x v="1"/>
    <d v="2026-09-18T00:00:00"/>
    <x v="1"/>
    <s v="Non-Kuwaiti"/>
    <n v="39"/>
    <s v="30-44"/>
    <n v="14"/>
    <n v="0"/>
    <n v="0"/>
    <n v="0"/>
  </r>
  <r>
    <s v="FN-01276"/>
    <x v="244"/>
    <s v="C0266"/>
    <x v="3"/>
    <x v="2"/>
    <x v="1"/>
    <n v="7900"/>
    <n v="3.8300000000000001E-2"/>
    <n v="60"/>
    <s v="OFF-FAR-1"/>
    <x v="1"/>
    <d v="2026-09-07T00:00:00"/>
    <x v="2"/>
    <s v="Non-Kuwaiti"/>
    <n v="66"/>
    <s v="45+"/>
    <n v="3"/>
    <n v="0"/>
    <n v="0"/>
    <n v="0"/>
  </r>
  <r>
    <s v="FN-01283"/>
    <x v="244"/>
    <s v="C0124"/>
    <x v="2"/>
    <x v="3"/>
    <x v="0"/>
    <n v="79800"/>
    <n v="5.8900000000000001E-2"/>
    <n v="36"/>
    <s v="OFF-SAL-2"/>
    <x v="1"/>
    <d v="2026-09-11T00:00:00"/>
    <x v="1"/>
    <s v="Non-Kuwaiti"/>
    <n v="40"/>
    <s v="30-44"/>
    <n v="7"/>
    <n v="0"/>
    <n v="0"/>
    <n v="0"/>
  </r>
  <r>
    <s v="FN-01210"/>
    <x v="245"/>
    <s v="C0356"/>
    <x v="0"/>
    <x v="0"/>
    <x v="1"/>
    <n v="19400"/>
    <n v="6.7000000000000004E-2"/>
    <n v="60"/>
    <s v="OFF-KUW-1"/>
    <x v="1"/>
    <d v="2026-09-11T00:00:00"/>
    <x v="0"/>
    <s v="Kuwaiti"/>
    <n v="38"/>
    <s v="30-44"/>
    <n v="6"/>
    <n v="0"/>
    <n v="0"/>
    <n v="0"/>
  </r>
  <r>
    <s v="FN-01211"/>
    <x v="245"/>
    <s v="C0207"/>
    <x v="0"/>
    <x v="2"/>
    <x v="2"/>
    <n v="15100"/>
    <n v="4.9399999999999999E-2"/>
    <n v="60"/>
    <s v="OFF-KUW-1"/>
    <x v="2"/>
    <m/>
    <x v="0"/>
    <s v="Kuwaiti"/>
    <n v="58"/>
    <s v="45+"/>
    <s v=""/>
    <n v="0"/>
    <n v="0"/>
    <n v="0"/>
  </r>
  <r>
    <s v="FN-01302"/>
    <x v="245"/>
    <s v="C0921"/>
    <x v="3"/>
    <x v="0"/>
    <x v="0"/>
    <n v="13700"/>
    <n v="6.1499999999999999E-2"/>
    <n v="60"/>
    <s v="OFF-FAR-2"/>
    <x v="0"/>
    <d v="2026-09-06T00:00:00"/>
    <x v="0"/>
    <s v="Kuwaiti"/>
    <n v="43"/>
    <s v="30-44"/>
    <n v="1"/>
    <n v="1"/>
    <n v="13700"/>
    <n v="842.55"/>
  </r>
  <r>
    <s v="FN-01161"/>
    <x v="246"/>
    <s v="C0271"/>
    <x v="5"/>
    <x v="1"/>
    <x v="1"/>
    <n v="174500"/>
    <n v="3.9600000000000003E-2"/>
    <n v="180"/>
    <s v="OFF-JAH-1"/>
    <x v="1"/>
    <d v="2026-10-01T00:00:00"/>
    <x v="1"/>
    <s v="Kuwaiti"/>
    <n v="37"/>
    <s v="30-44"/>
    <n v="25"/>
    <n v="0"/>
    <n v="0"/>
    <n v="0"/>
  </r>
  <r>
    <s v="FN-01270"/>
    <x v="246"/>
    <s v="C0722"/>
    <x v="2"/>
    <x v="2"/>
    <x v="2"/>
    <n v="14100"/>
    <n v="4.3799999999999999E-2"/>
    <n v="36"/>
    <s v="OFF-SAL-1"/>
    <x v="0"/>
    <d v="2026-09-10T00:00:00"/>
    <x v="1"/>
    <s v="Non-Kuwaiti"/>
    <n v="61"/>
    <s v="45+"/>
    <n v="4"/>
    <n v="1"/>
    <n v="14100"/>
    <n v="617.57999999999993"/>
  </r>
  <r>
    <s v="FN-01305"/>
    <x v="246"/>
    <s v="C0790"/>
    <x v="2"/>
    <x v="2"/>
    <x v="1"/>
    <n v="16700"/>
    <n v="4.9299999999999997E-2"/>
    <n v="60"/>
    <s v="OFF-SAL-2"/>
    <x v="0"/>
    <d v="2026-09-07T00:00:00"/>
    <x v="0"/>
    <s v="Non-Kuwaiti"/>
    <n v="39"/>
    <s v="30-44"/>
    <n v="1"/>
    <n v="1"/>
    <n v="16700"/>
    <n v="823.31"/>
  </r>
  <r>
    <s v="FN-01165"/>
    <x v="247"/>
    <s v="C0490"/>
    <x v="0"/>
    <x v="1"/>
    <x v="0"/>
    <n v="177800"/>
    <n v="4.3799999999999999E-2"/>
    <n v="180"/>
    <s v="OFF-KUW-1"/>
    <x v="1"/>
    <d v="2026-10-02T00:00:00"/>
    <x v="1"/>
    <s v="Kuwaiti"/>
    <n v="50"/>
    <s v="45+"/>
    <n v="25"/>
    <n v="0"/>
    <n v="0"/>
    <n v="0"/>
  </r>
  <r>
    <s v="FN-01186"/>
    <x v="247"/>
    <s v="C0557"/>
    <x v="1"/>
    <x v="2"/>
    <x v="1"/>
    <n v="8700"/>
    <n v="4.99E-2"/>
    <n v="36"/>
    <s v="OFF-HAW-1"/>
    <x v="0"/>
    <d v="2026-09-11T00:00:00"/>
    <x v="0"/>
    <s v="Kuwaiti"/>
    <n v="33"/>
    <s v="30-44"/>
    <n v="4"/>
    <n v="1"/>
    <n v="8700"/>
    <n v="434.13"/>
  </r>
  <r>
    <s v="FN-01216"/>
    <x v="247"/>
    <s v="C0209"/>
    <x v="0"/>
    <x v="2"/>
    <x v="2"/>
    <n v="5800"/>
    <n v="4.3299999999999998E-2"/>
    <n v="36"/>
    <s v="OFF-KUW-2"/>
    <x v="2"/>
    <m/>
    <x v="1"/>
    <s v="Kuwaiti"/>
    <n v="30"/>
    <s v="30-44"/>
    <s v=""/>
    <n v="0"/>
    <n v="0"/>
    <n v="0"/>
  </r>
  <r>
    <s v="FN-01232"/>
    <x v="247"/>
    <s v="C0240"/>
    <x v="2"/>
    <x v="3"/>
    <x v="0"/>
    <n v="76700"/>
    <n v="6.1400000000000003E-2"/>
    <n v="84"/>
    <s v="OFF-SAL-2"/>
    <x v="2"/>
    <m/>
    <x v="0"/>
    <s v="Kuwaiti"/>
    <n v="52"/>
    <s v="45+"/>
    <s v=""/>
    <n v="0"/>
    <n v="0"/>
    <n v="0"/>
  </r>
  <r>
    <s v="FN-01269"/>
    <x v="247"/>
    <s v="C0716"/>
    <x v="5"/>
    <x v="0"/>
    <x v="2"/>
    <n v="10900"/>
    <n v="6.4600000000000005E-2"/>
    <n v="48"/>
    <s v="OFF-JAH-3"/>
    <x v="0"/>
    <d v="2026-09-13T00:00:00"/>
    <x v="1"/>
    <s v="Non-Kuwaiti"/>
    <n v="47"/>
    <s v="45+"/>
    <n v="6"/>
    <n v="1"/>
    <n v="10900"/>
    <n v="704.1400000000001"/>
  </r>
  <r>
    <s v="FN-01273"/>
    <x v="247"/>
    <s v="C0618"/>
    <x v="3"/>
    <x v="0"/>
    <x v="1"/>
    <n v="20500"/>
    <n v="6.4299999999999996E-2"/>
    <n v="36"/>
    <s v="OFF-FAR-2"/>
    <x v="0"/>
    <d v="2026-09-12T00:00:00"/>
    <x v="0"/>
    <s v="Non-Kuwaiti"/>
    <n v="53"/>
    <s v="45+"/>
    <n v="5"/>
    <n v="1"/>
    <n v="20500"/>
    <n v="1318.1499999999999"/>
  </r>
  <r>
    <s v="FN-01293"/>
    <x v="247"/>
    <s v="C0442"/>
    <x v="2"/>
    <x v="2"/>
    <x v="1"/>
    <n v="5100"/>
    <n v="4.36E-2"/>
    <n v="36"/>
    <s v="OFF-SAL-2"/>
    <x v="0"/>
    <d v="2026-09-08T00:00:00"/>
    <x v="1"/>
    <s v="Non-Kuwaiti"/>
    <n v="55"/>
    <s v="45+"/>
    <n v="1"/>
    <n v="1"/>
    <n v="5100"/>
    <n v="222.35999999999999"/>
  </r>
  <r>
    <s v="FN-01190"/>
    <x v="248"/>
    <s v="C0200"/>
    <x v="0"/>
    <x v="2"/>
    <x v="2"/>
    <n v="11200"/>
    <n v="4.7800000000000002E-2"/>
    <n v="48"/>
    <s v="OFF-KUW-1"/>
    <x v="0"/>
    <d v="2026-09-12T00:00:00"/>
    <x v="0"/>
    <s v="Non-Kuwaiti"/>
    <n v="27"/>
    <s v="Under 30"/>
    <n v="4"/>
    <n v="1"/>
    <n v="11200"/>
    <n v="535.36"/>
  </r>
  <r>
    <s v="FN-01194"/>
    <x v="248"/>
    <s v="C0477"/>
    <x v="1"/>
    <x v="0"/>
    <x v="1"/>
    <n v="22000"/>
    <n v="6.59E-2"/>
    <n v="60"/>
    <s v="OFF-HAW-2"/>
    <x v="2"/>
    <m/>
    <x v="1"/>
    <s v="Kuwaiti"/>
    <n v="34"/>
    <s v="30-44"/>
    <s v=""/>
    <n v="0"/>
    <n v="0"/>
    <n v="0"/>
  </r>
  <r>
    <s v="FN-01223"/>
    <x v="248"/>
    <s v="C0217"/>
    <x v="2"/>
    <x v="2"/>
    <x v="1"/>
    <n v="18000"/>
    <n v="4.36E-2"/>
    <n v="60"/>
    <s v="OFF-SAL-2"/>
    <x v="0"/>
    <d v="2026-09-09T00:00:00"/>
    <x v="2"/>
    <s v="Kuwaiti"/>
    <n v="52"/>
    <s v="45+"/>
    <n v="1"/>
    <n v="1"/>
    <n v="18000"/>
    <n v="784.8"/>
  </r>
  <r>
    <s v="FN-01256"/>
    <x v="248"/>
    <s v="C0412"/>
    <x v="0"/>
    <x v="2"/>
    <x v="0"/>
    <n v="14800"/>
    <n v="3.6900000000000002E-2"/>
    <n v="48"/>
    <s v="OFF-KUW-2"/>
    <x v="2"/>
    <m/>
    <x v="1"/>
    <s v="Kuwaiti"/>
    <n v="34"/>
    <s v="30-44"/>
    <s v=""/>
    <n v="0"/>
    <n v="0"/>
    <n v="0"/>
  </r>
  <r>
    <s v="FN-01267"/>
    <x v="248"/>
    <s v="C0441"/>
    <x v="1"/>
    <x v="1"/>
    <x v="0"/>
    <n v="117000"/>
    <n v="3.9300000000000002E-2"/>
    <n v="300"/>
    <s v="OFF-HAW-3"/>
    <x v="0"/>
    <d v="2026-09-29T00:00:00"/>
    <x v="1"/>
    <s v="Kuwaiti"/>
    <n v="27"/>
    <s v="Under 30"/>
    <n v="21"/>
    <n v="1"/>
    <n v="117000"/>
    <n v="4598.1000000000004"/>
  </r>
  <r>
    <s v="FN-01282"/>
    <x v="248"/>
    <s v="C0571"/>
    <x v="1"/>
    <x v="3"/>
    <x v="1"/>
    <n v="131500"/>
    <n v="7.1900000000000006E-2"/>
    <n v="60"/>
    <s v="OFF-HAW-2"/>
    <x v="0"/>
    <d v="2026-09-26T00:00:00"/>
    <x v="1"/>
    <s v="Non-Kuwaiti"/>
    <n v="69"/>
    <s v="45+"/>
    <n v="18"/>
    <n v="1"/>
    <n v="131500"/>
    <n v="9454.85"/>
  </r>
  <r>
    <s v="FN-01209"/>
    <x v="249"/>
    <s v="C0227"/>
    <x v="2"/>
    <x v="0"/>
    <x v="1"/>
    <n v="18700"/>
    <n v="6.8000000000000005E-2"/>
    <n v="24"/>
    <s v="OFF-SAL-2"/>
    <x v="0"/>
    <d v="2026-09-09T00:00:00"/>
    <x v="0"/>
    <s v="Kuwaiti"/>
    <n v="68"/>
    <s v="45+"/>
    <n v="0"/>
    <n v="1"/>
    <n v="18700"/>
    <n v="1271.6000000000001"/>
  </r>
  <r>
    <s v="FN-01297"/>
    <x v="249"/>
    <s v="C0814"/>
    <x v="2"/>
    <x v="2"/>
    <x v="1"/>
    <n v="9800"/>
    <n v="3.95E-2"/>
    <n v="36"/>
    <s v="OFF-SAL-1"/>
    <x v="0"/>
    <d v="2026-09-10T00:00:00"/>
    <x v="0"/>
    <s v="Kuwaiti"/>
    <n v="52"/>
    <s v="45+"/>
    <n v="1"/>
    <n v="1"/>
    <n v="9800"/>
    <n v="387.1"/>
  </r>
  <r>
    <s v="FN-01158"/>
    <x v="250"/>
    <s v="C0266"/>
    <x v="4"/>
    <x v="0"/>
    <x v="1"/>
    <n v="9100"/>
    <n v="6.8500000000000005E-2"/>
    <n v="12"/>
    <s v="OFF-AHM-1"/>
    <x v="0"/>
    <d v="2026-09-13T00:00:00"/>
    <x v="2"/>
    <s v="Non-Kuwaiti"/>
    <n v="66"/>
    <s v="45+"/>
    <n v="3"/>
    <n v="1"/>
    <n v="9100"/>
    <n v="623.35"/>
  </r>
  <r>
    <s v="FN-01162"/>
    <x v="250"/>
    <s v="C0245"/>
    <x v="5"/>
    <x v="0"/>
    <x v="0"/>
    <n v="5900"/>
    <n v="6.7400000000000002E-2"/>
    <n v="12"/>
    <s v="OFF-JAH-2"/>
    <x v="0"/>
    <d v="2026-09-16T00:00:00"/>
    <x v="1"/>
    <s v="Kuwaiti"/>
    <n v="40"/>
    <s v="30-44"/>
    <n v="6"/>
    <n v="1"/>
    <n v="5900"/>
    <n v="397.66"/>
  </r>
  <r>
    <s v="FN-01172"/>
    <x v="250"/>
    <s v="C0599"/>
    <x v="4"/>
    <x v="3"/>
    <x v="0"/>
    <n v="132200"/>
    <n v="5.8299999999999998E-2"/>
    <n v="36"/>
    <s v="OFF-AHM-1"/>
    <x v="1"/>
    <d v="2026-09-20T00:00:00"/>
    <x v="1"/>
    <s v="Kuwaiti"/>
    <n v="49"/>
    <s v="45+"/>
    <n v="10"/>
    <n v="0"/>
    <n v="0"/>
    <n v="0"/>
  </r>
  <r>
    <s v="FN-01215"/>
    <x v="250"/>
    <s v="C0186"/>
    <x v="2"/>
    <x v="3"/>
    <x v="1"/>
    <n v="106100"/>
    <n v="5.9200000000000003E-2"/>
    <n v="24"/>
    <s v="OFF-SAL-3"/>
    <x v="2"/>
    <m/>
    <x v="1"/>
    <s v="Kuwaiti"/>
    <n v="36"/>
    <s v="30-44"/>
    <s v=""/>
    <n v="0"/>
    <n v="0"/>
    <n v="0"/>
  </r>
  <r>
    <s v="FN-01218"/>
    <x v="250"/>
    <s v="C0826"/>
    <x v="4"/>
    <x v="2"/>
    <x v="0"/>
    <n v="7200"/>
    <n v="4.6800000000000001E-2"/>
    <n v="60"/>
    <s v="OFF-AHM-2"/>
    <x v="1"/>
    <d v="2026-09-11T00:00:00"/>
    <x v="1"/>
    <s v="Non-Kuwaiti"/>
    <n v="28"/>
    <s v="Under 30"/>
    <n v="1"/>
    <n v="0"/>
    <n v="0"/>
    <n v="0"/>
  </r>
  <r>
    <s v="FN-01224"/>
    <x v="250"/>
    <s v="C0230"/>
    <x v="3"/>
    <x v="3"/>
    <x v="1"/>
    <n v="123900"/>
    <n v="7.0699999999999999E-2"/>
    <n v="36"/>
    <s v="OFF-FAR-3"/>
    <x v="0"/>
    <d v="2026-09-29T00:00:00"/>
    <x v="1"/>
    <s v="Kuwaiti"/>
    <n v="53"/>
    <s v="45+"/>
    <n v="19"/>
    <n v="1"/>
    <n v="123900"/>
    <n v="8759.73"/>
  </r>
  <r>
    <s v="FN-01229"/>
    <x v="250"/>
    <s v="C0889"/>
    <x v="2"/>
    <x v="2"/>
    <x v="0"/>
    <n v="7300"/>
    <n v="3.5200000000000002E-2"/>
    <n v="36"/>
    <s v="OFF-SAL-2"/>
    <x v="0"/>
    <d v="2026-09-11T00:00:00"/>
    <x v="1"/>
    <s v="Non-Kuwaiti"/>
    <n v="29"/>
    <s v="Under 30"/>
    <n v="1"/>
    <n v="1"/>
    <n v="7300"/>
    <n v="256.96000000000004"/>
  </r>
  <r>
    <s v="FN-01240"/>
    <x v="250"/>
    <s v="C0358"/>
    <x v="5"/>
    <x v="1"/>
    <x v="1"/>
    <n v="168200"/>
    <n v="3.5499999999999997E-2"/>
    <n v="120"/>
    <s v="OFF-JAH-1"/>
    <x v="0"/>
    <d v="2026-10-03T00:00:00"/>
    <x v="1"/>
    <s v="Non-Kuwaiti"/>
    <n v="51"/>
    <s v="45+"/>
    <n v="23"/>
    <n v="1"/>
    <n v="168200"/>
    <n v="5971.0999999999995"/>
  </r>
  <r>
    <s v="FN-01255"/>
    <x v="250"/>
    <s v="C0656"/>
    <x v="1"/>
    <x v="3"/>
    <x v="1"/>
    <n v="20400"/>
    <n v="6.8599999999999994E-2"/>
    <n v="60"/>
    <s v="OFF-HAW-3"/>
    <x v="0"/>
    <d v="2026-09-21T00:00:00"/>
    <x v="1"/>
    <s v="Kuwaiti"/>
    <n v="25"/>
    <s v="Under 30"/>
    <n v="11"/>
    <n v="1"/>
    <n v="20400"/>
    <n v="1399.4399999999998"/>
  </r>
  <r>
    <s v="FN-01182"/>
    <x v="251"/>
    <s v="C0947"/>
    <x v="1"/>
    <x v="3"/>
    <x v="1"/>
    <n v="65000"/>
    <n v="7.7299999999999994E-2"/>
    <n v="60"/>
    <s v="OFF-HAW-1"/>
    <x v="0"/>
    <d v="2026-09-21T00:00:00"/>
    <x v="0"/>
    <s v="Kuwaiti"/>
    <n v="29"/>
    <s v="Under 30"/>
    <n v="10"/>
    <n v="1"/>
    <n v="65000"/>
    <n v="5024.5"/>
  </r>
  <r>
    <s v="FN-01206"/>
    <x v="251"/>
    <s v="C0018"/>
    <x v="2"/>
    <x v="0"/>
    <x v="0"/>
    <n v="14000"/>
    <n v="5.5100000000000003E-2"/>
    <n v="60"/>
    <s v="OFF-SAL-1"/>
    <x v="0"/>
    <d v="2026-09-12T00:00:00"/>
    <x v="1"/>
    <s v="Kuwaiti"/>
    <n v="54"/>
    <s v="45+"/>
    <n v="1"/>
    <n v="1"/>
    <n v="14000"/>
    <n v="771.40000000000009"/>
  </r>
  <r>
    <s v="FN-01243"/>
    <x v="251"/>
    <s v="C0528"/>
    <x v="3"/>
    <x v="1"/>
    <x v="2"/>
    <n v="186400"/>
    <n v="4.0899999999999999E-2"/>
    <n v="180"/>
    <s v="OFF-FAR-3"/>
    <x v="1"/>
    <d v="2026-10-02T00:00:00"/>
    <x v="1"/>
    <s v="Non-Kuwaiti"/>
    <n v="30"/>
    <s v="30-44"/>
    <n v="21"/>
    <n v="0"/>
    <n v="0"/>
    <n v="0"/>
  </r>
  <r>
    <s v="FN-01285"/>
    <x v="251"/>
    <s v="C0030"/>
    <x v="5"/>
    <x v="2"/>
    <x v="0"/>
    <n v="6100"/>
    <n v="4.8099999999999997E-2"/>
    <n v="36"/>
    <s v="OFF-JAH-1"/>
    <x v="1"/>
    <d v="2026-09-20T00:00:00"/>
    <x v="1"/>
    <s v="Non-Kuwaiti"/>
    <n v="38"/>
    <s v="30-44"/>
    <n v="9"/>
    <n v="0"/>
    <n v="0"/>
    <n v="0"/>
  </r>
  <r>
    <s v="FN-01286"/>
    <x v="251"/>
    <s v="C0554"/>
    <x v="5"/>
    <x v="0"/>
    <x v="2"/>
    <n v="10300"/>
    <n v="6.3E-2"/>
    <n v="48"/>
    <s v="OFF-JAH-3"/>
    <x v="1"/>
    <d v="2026-09-20T00:00:00"/>
    <x v="1"/>
    <s v="Kuwaiti"/>
    <n v="23"/>
    <s v="Under 30"/>
    <n v="9"/>
    <n v="0"/>
    <n v="0"/>
    <n v="0"/>
  </r>
  <r>
    <s v="FN-01178"/>
    <x v="252"/>
    <s v="C0063"/>
    <x v="1"/>
    <x v="2"/>
    <x v="2"/>
    <n v="13600"/>
    <n v="4.3700000000000003E-2"/>
    <n v="36"/>
    <s v="OFF-HAW-3"/>
    <x v="0"/>
    <d v="2026-09-15T00:00:00"/>
    <x v="1"/>
    <s v="Kuwaiti"/>
    <n v="55"/>
    <s v="45+"/>
    <n v="3"/>
    <n v="1"/>
    <n v="13600"/>
    <n v="594.32000000000005"/>
  </r>
  <r>
    <s v="FN-01204"/>
    <x v="252"/>
    <s v="C0110"/>
    <x v="0"/>
    <x v="2"/>
    <x v="2"/>
    <n v="5600"/>
    <n v="3.9399999999999998E-2"/>
    <n v="60"/>
    <s v="OFF-KUW-2"/>
    <x v="0"/>
    <d v="2026-09-15T00:00:00"/>
    <x v="0"/>
    <s v="Kuwaiti"/>
    <n v="56"/>
    <s v="45+"/>
    <n v="3"/>
    <n v="1"/>
    <n v="5600"/>
    <n v="220.64"/>
  </r>
  <r>
    <s v="FN-01284"/>
    <x v="252"/>
    <s v="C0005"/>
    <x v="2"/>
    <x v="3"/>
    <x v="1"/>
    <n v="128600"/>
    <n v="5.6000000000000001E-2"/>
    <n v="84"/>
    <s v="OFF-SAL-3"/>
    <x v="1"/>
    <d v="2026-09-29T00:00:00"/>
    <x v="1"/>
    <s v="Kuwaiti"/>
    <n v="42"/>
    <s v="30-44"/>
    <n v="17"/>
    <n v="0"/>
    <n v="0"/>
    <n v="0"/>
  </r>
  <r>
    <s v="FN-01159"/>
    <x v="253"/>
    <s v="C0847"/>
    <x v="3"/>
    <x v="0"/>
    <x v="0"/>
    <n v="14100"/>
    <n v="6.2100000000000002E-2"/>
    <n v="60"/>
    <s v="OFF-FAR-2"/>
    <x v="2"/>
    <m/>
    <x v="0"/>
    <s v="Kuwaiti"/>
    <n v="63"/>
    <s v="45+"/>
    <s v=""/>
    <n v="0"/>
    <n v="0"/>
    <n v="0"/>
  </r>
  <r>
    <s v="FN-01173"/>
    <x v="253"/>
    <s v="C0756"/>
    <x v="2"/>
    <x v="2"/>
    <x v="1"/>
    <n v="9500"/>
    <n v="4.8899999999999999E-2"/>
    <n v="60"/>
    <s v="OFF-SAL-1"/>
    <x v="0"/>
    <d v="2026-09-14T00:00:00"/>
    <x v="1"/>
    <s v="Kuwaiti"/>
    <n v="24"/>
    <s v="Under 30"/>
    <n v="1"/>
    <n v="1"/>
    <n v="9500"/>
    <n v="464.55"/>
  </r>
  <r>
    <s v="FN-01175"/>
    <x v="253"/>
    <s v="C0237"/>
    <x v="5"/>
    <x v="3"/>
    <x v="2"/>
    <n v="134500"/>
    <n v="7.9200000000000007E-2"/>
    <n v="24"/>
    <s v="OFF-JAH-2"/>
    <x v="1"/>
    <d v="2026-10-05T00:00:00"/>
    <x v="0"/>
    <s v="Non-Kuwaiti"/>
    <n v="39"/>
    <s v="30-44"/>
    <n v="22"/>
    <n v="0"/>
    <n v="0"/>
    <n v="0"/>
  </r>
  <r>
    <s v="FN-01187"/>
    <x v="253"/>
    <s v="C0576"/>
    <x v="3"/>
    <x v="1"/>
    <x v="1"/>
    <n v="85700"/>
    <n v="4.0800000000000003E-2"/>
    <n v="120"/>
    <s v="OFF-FAR-2"/>
    <x v="1"/>
    <d v="2026-09-28T00:00:00"/>
    <x v="0"/>
    <s v="Kuwaiti"/>
    <n v="47"/>
    <s v="45+"/>
    <n v="15"/>
    <n v="0"/>
    <n v="0"/>
    <n v="0"/>
  </r>
  <r>
    <s v="FN-01221"/>
    <x v="253"/>
    <s v="C0374"/>
    <x v="2"/>
    <x v="0"/>
    <x v="1"/>
    <n v="8400"/>
    <n v="5.8000000000000003E-2"/>
    <n v="60"/>
    <s v="OFF-SAL-2"/>
    <x v="2"/>
    <m/>
    <x v="1"/>
    <s v="Non-Kuwaiti"/>
    <n v="34"/>
    <s v="30-44"/>
    <s v=""/>
    <n v="0"/>
    <n v="0"/>
    <n v="0"/>
  </r>
  <r>
    <s v="FN-01236"/>
    <x v="253"/>
    <s v="C0190"/>
    <x v="0"/>
    <x v="0"/>
    <x v="1"/>
    <n v="9300"/>
    <n v="5.6399999999999999E-2"/>
    <n v="48"/>
    <s v="OFF-KUW-2"/>
    <x v="1"/>
    <d v="2026-09-16T00:00:00"/>
    <x v="1"/>
    <s v="Non-Kuwaiti"/>
    <n v="24"/>
    <s v="Under 30"/>
    <n v="3"/>
    <n v="0"/>
    <n v="0"/>
    <n v="0"/>
  </r>
  <r>
    <s v="FN-01244"/>
    <x v="253"/>
    <s v="C0246"/>
    <x v="4"/>
    <x v="0"/>
    <x v="0"/>
    <n v="25000"/>
    <n v="5.2200000000000003E-2"/>
    <n v="36"/>
    <s v="OFF-AHM-3"/>
    <x v="0"/>
    <d v="2026-09-16T00:00:00"/>
    <x v="2"/>
    <s v="Non-Kuwaiti"/>
    <n v="64"/>
    <s v="45+"/>
    <n v="3"/>
    <n v="1"/>
    <n v="25000"/>
    <n v="1305"/>
  </r>
  <r>
    <s v="FN-01264"/>
    <x v="253"/>
    <s v="C0693"/>
    <x v="1"/>
    <x v="0"/>
    <x v="0"/>
    <n v="18000"/>
    <n v="5.6399999999999999E-2"/>
    <n v="12"/>
    <s v="OFF-HAW-3"/>
    <x v="2"/>
    <m/>
    <x v="1"/>
    <s v="Kuwaiti"/>
    <n v="51"/>
    <s v="45+"/>
    <s v=""/>
    <n v="0"/>
    <n v="0"/>
    <n v="0"/>
  </r>
  <r>
    <s v="FN-01278"/>
    <x v="253"/>
    <s v="C0475"/>
    <x v="1"/>
    <x v="3"/>
    <x v="1"/>
    <n v="87600"/>
    <n v="7.0900000000000005E-2"/>
    <n v="24"/>
    <s v="OFF-HAW-2"/>
    <x v="0"/>
    <d v="2026-09-30T00:00:00"/>
    <x v="1"/>
    <s v="Kuwaiti"/>
    <n v="63"/>
    <s v="45+"/>
    <n v="17"/>
    <n v="1"/>
    <n v="87600"/>
    <n v="6210.84"/>
  </r>
  <r>
    <s v="FN-01164"/>
    <x v="254"/>
    <s v="C0082"/>
    <x v="3"/>
    <x v="0"/>
    <x v="0"/>
    <n v="9000"/>
    <n v="6.6100000000000006E-2"/>
    <n v="60"/>
    <s v="OFF-FAR-2"/>
    <x v="0"/>
    <d v="2026-09-17T00:00:00"/>
    <x v="1"/>
    <s v="Kuwaiti"/>
    <n v="64"/>
    <s v="45+"/>
    <n v="3"/>
    <n v="1"/>
    <n v="9000"/>
    <n v="594.90000000000009"/>
  </r>
  <r>
    <s v="FN-01169"/>
    <x v="254"/>
    <s v="C0655"/>
    <x v="5"/>
    <x v="0"/>
    <x v="1"/>
    <n v="25000"/>
    <n v="6.3399999999999998E-2"/>
    <n v="60"/>
    <s v="OFF-JAH-1"/>
    <x v="1"/>
    <d v="2026-09-21T00:00:00"/>
    <x v="0"/>
    <s v="Non-Kuwaiti"/>
    <n v="29"/>
    <s v="Under 30"/>
    <n v="7"/>
    <n v="0"/>
    <n v="0"/>
    <n v="0"/>
  </r>
  <r>
    <s v="FN-01185"/>
    <x v="254"/>
    <s v="C0228"/>
    <x v="0"/>
    <x v="1"/>
    <x v="0"/>
    <n v="164800"/>
    <n v="3.9800000000000002E-2"/>
    <n v="300"/>
    <s v="OFF-KUW-1"/>
    <x v="0"/>
    <d v="2026-10-11T00:00:00"/>
    <x v="0"/>
    <s v="Kuwaiti"/>
    <n v="41"/>
    <s v="30-44"/>
    <n v="27"/>
    <n v="1"/>
    <n v="164800"/>
    <n v="6559.04"/>
  </r>
  <r>
    <s v="FN-01191"/>
    <x v="254"/>
    <s v="C0273"/>
    <x v="3"/>
    <x v="0"/>
    <x v="0"/>
    <n v="15300"/>
    <n v="6.8500000000000005E-2"/>
    <n v="36"/>
    <s v="OFF-FAR-3"/>
    <x v="1"/>
    <d v="2026-09-16T00:00:00"/>
    <x v="1"/>
    <s v="Kuwaiti"/>
    <n v="40"/>
    <s v="30-44"/>
    <n v="2"/>
    <n v="0"/>
    <n v="0"/>
    <n v="0"/>
  </r>
  <r>
    <s v="FN-01212"/>
    <x v="254"/>
    <s v="C0805"/>
    <x v="5"/>
    <x v="1"/>
    <x v="0"/>
    <n v="97200"/>
    <n v="3.7499999999999999E-2"/>
    <n v="180"/>
    <s v="OFF-JAH-2"/>
    <x v="1"/>
    <d v="2026-10-04T00:00:00"/>
    <x v="1"/>
    <s v="Kuwaiti"/>
    <n v="26"/>
    <s v="Under 30"/>
    <n v="20"/>
    <n v="0"/>
    <n v="0"/>
    <n v="0"/>
  </r>
  <r>
    <s v="FN-01247"/>
    <x v="254"/>
    <s v="C0002"/>
    <x v="5"/>
    <x v="2"/>
    <x v="1"/>
    <n v="13700"/>
    <n v="4.58E-2"/>
    <n v="60"/>
    <s v="OFF-JAH-2"/>
    <x v="0"/>
    <d v="2026-09-18T00:00:00"/>
    <x v="1"/>
    <s v="Kuwaiti"/>
    <n v="51"/>
    <s v="45+"/>
    <n v="4"/>
    <n v="1"/>
    <n v="13700"/>
    <n v="627.46"/>
  </r>
  <r>
    <s v="FN-01271"/>
    <x v="254"/>
    <s v="C0783"/>
    <x v="1"/>
    <x v="2"/>
    <x v="0"/>
    <n v="21400"/>
    <n v="4.7E-2"/>
    <n v="60"/>
    <s v="OFF-HAW-3"/>
    <x v="0"/>
    <d v="2026-09-18T00:00:00"/>
    <x v="2"/>
    <s v="Kuwaiti"/>
    <n v="32"/>
    <s v="30-44"/>
    <n v="4"/>
    <n v="1"/>
    <n v="21400"/>
    <n v="1005.8"/>
  </r>
  <r>
    <s v="FN-01157"/>
    <x v="255"/>
    <s v="C0558"/>
    <x v="4"/>
    <x v="2"/>
    <x v="0"/>
    <n v="13300"/>
    <n v="3.9300000000000002E-2"/>
    <n v="48"/>
    <s v="OFF-AHM-2"/>
    <x v="2"/>
    <m/>
    <x v="0"/>
    <s v="Kuwaiti"/>
    <n v="39"/>
    <s v="30-44"/>
    <s v=""/>
    <n v="0"/>
    <n v="0"/>
    <n v="0"/>
  </r>
  <r>
    <s v="FN-01195"/>
    <x v="255"/>
    <s v="C0502"/>
    <x v="1"/>
    <x v="0"/>
    <x v="0"/>
    <n v="21000"/>
    <n v="5.4300000000000001E-2"/>
    <n v="12"/>
    <s v="OFF-HAW-2"/>
    <x v="2"/>
    <m/>
    <x v="0"/>
    <s v="Kuwaiti"/>
    <n v="42"/>
    <s v="30-44"/>
    <s v=""/>
    <n v="0"/>
    <n v="0"/>
    <n v="0"/>
  </r>
  <r>
    <s v="FN-01235"/>
    <x v="255"/>
    <s v="C0050"/>
    <x v="5"/>
    <x v="0"/>
    <x v="0"/>
    <n v="16600"/>
    <n v="0.06"/>
    <n v="24"/>
    <s v="OFF-JAH-2"/>
    <x v="1"/>
    <d v="2026-09-22T00:00:00"/>
    <x v="1"/>
    <s v="Kuwaiti"/>
    <n v="25"/>
    <s v="Under 30"/>
    <n v="7"/>
    <n v="0"/>
    <n v="0"/>
    <n v="0"/>
  </r>
  <r>
    <s v="FN-01288"/>
    <x v="255"/>
    <s v="C0641"/>
    <x v="0"/>
    <x v="0"/>
    <x v="0"/>
    <n v="21000"/>
    <n v="5.1799999999999999E-2"/>
    <n v="24"/>
    <s v="OFF-KUW-3"/>
    <x v="2"/>
    <m/>
    <x v="0"/>
    <s v="Kuwaiti"/>
    <n v="45"/>
    <s v="45+"/>
    <s v=""/>
    <n v="0"/>
    <n v="0"/>
    <n v="0"/>
  </r>
  <r>
    <s v="FN-01301"/>
    <x v="255"/>
    <s v="C0090"/>
    <x v="2"/>
    <x v="3"/>
    <x v="0"/>
    <n v="82900"/>
    <n v="7.1800000000000003E-2"/>
    <n v="24"/>
    <s v="OFF-SAL-1"/>
    <x v="2"/>
    <m/>
    <x v="1"/>
    <s v="Non-Kuwaiti"/>
    <n v="22"/>
    <s v="Under 30"/>
    <s v=""/>
    <n v="0"/>
    <n v="0"/>
    <n v="0"/>
  </r>
  <r>
    <s v="FN-01184"/>
    <x v="256"/>
    <s v="C0417"/>
    <x v="1"/>
    <x v="2"/>
    <x v="0"/>
    <n v="14200"/>
    <n v="3.8600000000000002E-2"/>
    <n v="60"/>
    <s v="OFF-HAW-1"/>
    <x v="0"/>
    <d v="2026-09-21T00:00:00"/>
    <x v="0"/>
    <s v="Kuwaiti"/>
    <n v="30"/>
    <s v="30-44"/>
    <n v="5"/>
    <n v="1"/>
    <n v="14200"/>
    <n v="548.12"/>
  </r>
  <r>
    <s v="FN-01202"/>
    <x v="256"/>
    <s v="C0461"/>
    <x v="0"/>
    <x v="0"/>
    <x v="0"/>
    <n v="11600"/>
    <n v="6.25E-2"/>
    <n v="36"/>
    <s v="OFF-KUW-1"/>
    <x v="2"/>
    <m/>
    <x v="0"/>
    <s v="Kuwaiti"/>
    <n v="36"/>
    <s v="30-44"/>
    <s v=""/>
    <n v="0"/>
    <n v="0"/>
    <n v="0"/>
  </r>
  <r>
    <s v="FN-01203"/>
    <x v="256"/>
    <s v="C0154"/>
    <x v="0"/>
    <x v="3"/>
    <x v="0"/>
    <n v="52800"/>
    <n v="6.1899999999999997E-2"/>
    <n v="60"/>
    <s v="OFF-KUW-1"/>
    <x v="2"/>
    <m/>
    <x v="1"/>
    <s v="Kuwaiti"/>
    <n v="37"/>
    <s v="30-44"/>
    <s v=""/>
    <n v="0"/>
    <n v="0"/>
    <n v="0"/>
  </r>
  <r>
    <s v="FN-01222"/>
    <x v="256"/>
    <s v="C0318"/>
    <x v="1"/>
    <x v="3"/>
    <x v="0"/>
    <n v="145500"/>
    <n v="6.5299999999999997E-2"/>
    <n v="36"/>
    <s v="OFF-HAW-1"/>
    <x v="2"/>
    <m/>
    <x v="1"/>
    <s v="Kuwaiti"/>
    <n v="59"/>
    <s v="45+"/>
    <s v=""/>
    <n v="0"/>
    <n v="0"/>
    <n v="0"/>
  </r>
  <r>
    <s v="FN-01242"/>
    <x v="256"/>
    <s v="C0511"/>
    <x v="4"/>
    <x v="0"/>
    <x v="0"/>
    <n v="23900"/>
    <n v="6.4899999999999999E-2"/>
    <n v="60"/>
    <s v="OFF-AHM-1"/>
    <x v="2"/>
    <m/>
    <x v="1"/>
    <s v="Kuwaiti"/>
    <n v="34"/>
    <s v="30-44"/>
    <s v=""/>
    <n v="0"/>
    <n v="0"/>
    <n v="0"/>
  </r>
  <r>
    <s v="FN-01241"/>
    <x v="257"/>
    <s v="C0824"/>
    <x v="5"/>
    <x v="0"/>
    <x v="1"/>
    <n v="22600"/>
    <n v="6.0999999999999999E-2"/>
    <n v="36"/>
    <s v="OFF-JAH-3"/>
    <x v="2"/>
    <m/>
    <x v="1"/>
    <s v="Kuwaiti"/>
    <n v="34"/>
    <s v="30-44"/>
    <s v=""/>
    <n v="0"/>
    <n v="0"/>
    <n v="0"/>
  </r>
  <r>
    <s v="FN-01304"/>
    <x v="257"/>
    <s v="C0235"/>
    <x v="4"/>
    <x v="3"/>
    <x v="1"/>
    <n v="53800"/>
    <n v="6.0499999999999998E-2"/>
    <n v="60"/>
    <s v="OFF-AHM-1"/>
    <x v="2"/>
    <m/>
    <x v="1"/>
    <s v="Kuwaiti"/>
    <n v="27"/>
    <s v="Under 30"/>
    <s v=""/>
    <n v="0"/>
    <n v="0"/>
    <n v="0"/>
  </r>
  <r>
    <s v="FN-01174"/>
    <x v="258"/>
    <s v="C0175"/>
    <x v="0"/>
    <x v="3"/>
    <x v="0"/>
    <n v="31800"/>
    <n v="5.67E-2"/>
    <n v="36"/>
    <s v="OFF-KUW-2"/>
    <x v="0"/>
    <d v="2026-10-06T00:00:00"/>
    <x v="1"/>
    <s v="Kuwaiti"/>
    <n v="27"/>
    <s v="Under 30"/>
    <n v="18"/>
    <n v="1"/>
    <n v="31800"/>
    <n v="1803.06"/>
  </r>
  <r>
    <s v="FN-01257"/>
    <x v="258"/>
    <s v="C0809"/>
    <x v="5"/>
    <x v="2"/>
    <x v="2"/>
    <n v="6200"/>
    <n v="4.7E-2"/>
    <n v="60"/>
    <s v="OFF-JAH-2"/>
    <x v="2"/>
    <m/>
    <x v="2"/>
    <s v="Non-Kuwaiti"/>
    <n v="55"/>
    <s v="45+"/>
    <s v=""/>
    <n v="0"/>
    <n v="0"/>
    <n v="0"/>
  </r>
  <r>
    <s v="FN-01260"/>
    <x v="258"/>
    <s v="C0885"/>
    <x v="3"/>
    <x v="2"/>
    <x v="0"/>
    <n v="21500"/>
    <n v="4.0899999999999999E-2"/>
    <n v="60"/>
    <s v="OFF-FAR-2"/>
    <x v="0"/>
    <d v="2026-09-21T00:00:00"/>
    <x v="2"/>
    <s v="Kuwaiti"/>
    <n v="32"/>
    <s v="30-44"/>
    <n v="3"/>
    <n v="1"/>
    <n v="21500"/>
    <n v="879.35"/>
  </r>
  <r>
    <s v="FN-01213"/>
    <x v="259"/>
    <s v="C0203"/>
    <x v="4"/>
    <x v="0"/>
    <x v="0"/>
    <n v="22700"/>
    <n v="6.93E-2"/>
    <n v="36"/>
    <s v="OFF-AHM-2"/>
    <x v="0"/>
    <d v="2026-09-26T00:00:00"/>
    <x v="0"/>
    <s v="Kuwaiti"/>
    <n v="67"/>
    <s v="45+"/>
    <n v="7"/>
    <n v="1"/>
    <n v="22700"/>
    <n v="1573.11"/>
  </r>
  <r>
    <s v="FN-01249"/>
    <x v="259"/>
    <s v="C0877"/>
    <x v="2"/>
    <x v="2"/>
    <x v="0"/>
    <n v="10000"/>
    <n v="3.5000000000000003E-2"/>
    <n v="36"/>
    <s v="OFF-SAL-3"/>
    <x v="2"/>
    <m/>
    <x v="1"/>
    <s v="Kuwaiti"/>
    <n v="43"/>
    <s v="30-44"/>
    <s v=""/>
    <n v="0"/>
    <n v="0"/>
    <n v="0"/>
  </r>
  <r>
    <s v="FN-01303"/>
    <x v="259"/>
    <s v="C0148"/>
    <x v="0"/>
    <x v="0"/>
    <x v="1"/>
    <n v="22700"/>
    <n v="6.5000000000000002E-2"/>
    <n v="48"/>
    <s v="OFF-KUW-2"/>
    <x v="1"/>
    <d v="2026-09-21T00:00:00"/>
    <x v="1"/>
    <s v="Kuwaiti"/>
    <n v="66"/>
    <s v="45+"/>
    <n v="2"/>
    <n v="0"/>
    <n v="0"/>
    <n v="0"/>
  </r>
  <r>
    <s v="FN-01252"/>
    <x v="260"/>
    <s v="C0717"/>
    <x v="3"/>
    <x v="3"/>
    <x v="2"/>
    <n v="104700"/>
    <n v="7.3099999999999998E-2"/>
    <n v="60"/>
    <s v="OFF-FAR-2"/>
    <x v="2"/>
    <m/>
    <x v="1"/>
    <s v="Non-Kuwaiti"/>
    <n v="28"/>
    <s v="Under 30"/>
    <s v=""/>
    <n v="0"/>
    <n v="0"/>
    <n v="0"/>
  </r>
  <r>
    <s v="FN-01294"/>
    <x v="260"/>
    <s v="C0430"/>
    <x v="2"/>
    <x v="3"/>
    <x v="1"/>
    <n v="86700"/>
    <n v="5.9799999999999999E-2"/>
    <n v="84"/>
    <s v="OFF-SAL-2"/>
    <x v="2"/>
    <m/>
    <x v="1"/>
    <s v="Kuwaiti"/>
    <n v="41"/>
    <s v="30-44"/>
    <s v=""/>
    <n v="0"/>
    <n v="0"/>
    <n v="0"/>
  </r>
  <r>
    <s v="FN-01248"/>
    <x v="261"/>
    <s v="C0873"/>
    <x v="4"/>
    <x v="2"/>
    <x v="0"/>
    <n v="14200"/>
    <n v="4.3499999999999997E-2"/>
    <n v="60"/>
    <s v="OFF-AHM-1"/>
    <x v="2"/>
    <m/>
    <x v="2"/>
    <s v="Kuwaiti"/>
    <n v="36"/>
    <s v="30-44"/>
    <s v=""/>
    <n v="0"/>
    <n v="0"/>
    <n v="0"/>
  </r>
  <r>
    <s v="FN-01295"/>
    <x v="261"/>
    <s v="C0285"/>
    <x v="3"/>
    <x v="0"/>
    <x v="0"/>
    <n v="5700"/>
    <n v="6.7599999999999993E-2"/>
    <n v="24"/>
    <s v="OFF-FAR-1"/>
    <x v="2"/>
    <m/>
    <x v="1"/>
    <s v="Non-Kuwaiti"/>
    <n v="25"/>
    <s v="Under 30"/>
    <s v=""/>
    <n v="0"/>
    <n v="0"/>
    <n v="0"/>
  </r>
  <r>
    <s v="FN-01177"/>
    <x v="262"/>
    <s v="C0361"/>
    <x v="1"/>
    <x v="2"/>
    <x v="0"/>
    <n v="10500"/>
    <n v="4.4999999999999998E-2"/>
    <n v="48"/>
    <s v="OFF-HAW-3"/>
    <x v="1"/>
    <d v="2026-09-25T00:00:00"/>
    <x v="1"/>
    <s v="Non-Kuwaiti"/>
    <n v="28"/>
    <s v="Under 30"/>
    <n v="3"/>
    <n v="0"/>
    <n v="0"/>
    <n v="0"/>
  </r>
  <r>
    <s v="FN-01181"/>
    <x v="262"/>
    <s v="C0591"/>
    <x v="0"/>
    <x v="2"/>
    <x v="0"/>
    <n v="7000"/>
    <n v="4.2799999999999998E-2"/>
    <n v="48"/>
    <s v="OFF-KUW-2"/>
    <x v="2"/>
    <m/>
    <x v="1"/>
    <s v="Kuwaiti"/>
    <n v="43"/>
    <s v="30-44"/>
    <s v=""/>
    <n v="0"/>
    <n v="0"/>
    <n v="0"/>
  </r>
  <r>
    <s v="FN-01227"/>
    <x v="262"/>
    <s v="C0700"/>
    <x v="1"/>
    <x v="3"/>
    <x v="2"/>
    <n v="96200"/>
    <n v="6.8699999999999997E-2"/>
    <n v="84"/>
    <s v="OFF-HAW-3"/>
    <x v="2"/>
    <m/>
    <x v="1"/>
    <s v="Kuwaiti"/>
    <n v="38"/>
    <s v="30-44"/>
    <s v=""/>
    <n v="0"/>
    <n v="0"/>
    <n v="0"/>
  </r>
  <r>
    <s v="FN-01237"/>
    <x v="262"/>
    <s v="C0858"/>
    <x v="0"/>
    <x v="0"/>
    <x v="1"/>
    <n v="25000"/>
    <n v="6.0699999999999997E-2"/>
    <n v="60"/>
    <s v="OFF-KUW-1"/>
    <x v="0"/>
    <d v="2026-09-24T00:00:00"/>
    <x v="2"/>
    <s v="Kuwaiti"/>
    <n v="65"/>
    <s v="45+"/>
    <n v="2"/>
    <n v="1"/>
    <n v="25000"/>
    <n v="1517.5"/>
  </r>
  <r>
    <s v="FN-01251"/>
    <x v="262"/>
    <s v="C0670"/>
    <x v="4"/>
    <x v="3"/>
    <x v="1"/>
    <n v="172300"/>
    <n v="5.7299999999999997E-2"/>
    <n v="36"/>
    <s v="OFF-AHM-2"/>
    <x v="1"/>
    <d v="2026-10-01T00:00:00"/>
    <x v="0"/>
    <s v="Kuwaiti"/>
    <n v="50"/>
    <s v="45+"/>
    <n v="9"/>
    <n v="0"/>
    <n v="0"/>
    <n v="0"/>
  </r>
  <r>
    <s v="FN-01263"/>
    <x v="262"/>
    <s v="C0561"/>
    <x v="3"/>
    <x v="2"/>
    <x v="0"/>
    <n v="8800"/>
    <n v="4.3900000000000002E-2"/>
    <n v="60"/>
    <s v="OFF-FAR-1"/>
    <x v="0"/>
    <d v="2026-09-23T00:00:00"/>
    <x v="1"/>
    <s v="Kuwaiti"/>
    <n v="36"/>
    <s v="30-44"/>
    <n v="1"/>
    <n v="1"/>
    <n v="8800"/>
    <n v="386.32"/>
  </r>
  <r>
    <s v="FN-01281"/>
    <x v="262"/>
    <s v="C0521"/>
    <x v="4"/>
    <x v="0"/>
    <x v="1"/>
    <n v="24200"/>
    <n v="5.6800000000000003E-2"/>
    <n v="48"/>
    <s v="OFF-AHM-3"/>
    <x v="2"/>
    <m/>
    <x v="2"/>
    <s v="Kuwaiti"/>
    <n v="59"/>
    <s v="45+"/>
    <s v=""/>
    <n v="0"/>
    <n v="0"/>
    <n v="0"/>
  </r>
  <r>
    <s v="FN-01176"/>
    <x v="263"/>
    <s v="C0518"/>
    <x v="0"/>
    <x v="0"/>
    <x v="1"/>
    <n v="10700"/>
    <n v="6.0499999999999998E-2"/>
    <n v="24"/>
    <s v="OFF-KUW-1"/>
    <x v="1"/>
    <d v="2026-09-27T00:00:00"/>
    <x v="2"/>
    <s v="Non-Kuwaiti"/>
    <n v="34"/>
    <s v="30-44"/>
    <n v="4"/>
    <n v="0"/>
    <n v="0"/>
    <n v="0"/>
  </r>
  <r>
    <s v="FN-01234"/>
    <x v="263"/>
    <s v="C0023"/>
    <x v="2"/>
    <x v="1"/>
    <x v="2"/>
    <n v="73500"/>
    <n v="3.3399999999999999E-2"/>
    <n v="120"/>
    <s v="OFF-SAL-3"/>
    <x v="0"/>
    <d v="2026-10-09T00:00:00"/>
    <x v="1"/>
    <s v="Kuwaiti"/>
    <n v="54"/>
    <s v="45+"/>
    <n v="16"/>
    <n v="1"/>
    <n v="73500"/>
    <n v="2454.9"/>
  </r>
  <r>
    <s v="FN-01238"/>
    <x v="263"/>
    <s v="C0713"/>
    <x v="3"/>
    <x v="0"/>
    <x v="2"/>
    <n v="4300"/>
    <n v="6.9500000000000006E-2"/>
    <n v="12"/>
    <s v="OFF-FAR-3"/>
    <x v="2"/>
    <m/>
    <x v="0"/>
    <s v="Kuwaiti"/>
    <n v="44"/>
    <s v="30-44"/>
    <s v=""/>
    <n v="0"/>
    <n v="0"/>
    <n v="0"/>
  </r>
  <r>
    <s v="FN-01254"/>
    <x v="263"/>
    <s v="C0880"/>
    <x v="0"/>
    <x v="2"/>
    <x v="1"/>
    <n v="4900"/>
    <n v="4.9200000000000001E-2"/>
    <n v="48"/>
    <s v="OFF-KUW-2"/>
    <x v="1"/>
    <d v="2026-09-24T00:00:00"/>
    <x v="1"/>
    <s v="Kuwaiti"/>
    <n v="24"/>
    <s v="Under 30"/>
    <n v="1"/>
    <n v="0"/>
    <n v="0"/>
    <n v="0"/>
  </r>
  <r>
    <s v="FN-01272"/>
    <x v="263"/>
    <s v="C0399"/>
    <x v="2"/>
    <x v="0"/>
    <x v="1"/>
    <n v="25000"/>
    <n v="6.3600000000000004E-2"/>
    <n v="48"/>
    <s v="OFF-SAL-1"/>
    <x v="0"/>
    <d v="2026-09-25T00:00:00"/>
    <x v="0"/>
    <s v="Kuwaiti"/>
    <n v="35"/>
    <s v="30-44"/>
    <n v="2"/>
    <n v="1"/>
    <n v="25000"/>
    <n v="1590"/>
  </r>
  <r>
    <s v="FN-01292"/>
    <x v="263"/>
    <s v="C0116"/>
    <x v="5"/>
    <x v="1"/>
    <x v="0"/>
    <n v="225600"/>
    <n v="3.3599999999999998E-2"/>
    <n v="300"/>
    <s v="OFF-JAH-2"/>
    <x v="0"/>
    <d v="2026-10-25T00:00:00"/>
    <x v="1"/>
    <s v="Kuwaiti"/>
    <n v="38"/>
    <s v="30-44"/>
    <n v="32"/>
    <n v="1"/>
    <n v="225600"/>
    <n v="7580.16"/>
  </r>
  <r>
    <s v="FN-01289"/>
    <x v="264"/>
    <s v="C0749"/>
    <x v="4"/>
    <x v="3"/>
    <x v="2"/>
    <n v="169200"/>
    <n v="6.3600000000000004E-2"/>
    <n v="84"/>
    <s v="OFF-AHM-2"/>
    <x v="1"/>
    <d v="2026-10-15T00:00:00"/>
    <x v="0"/>
    <s v="Non-Kuwaiti"/>
    <n v="51"/>
    <s v="45+"/>
    <n v="21"/>
    <n v="0"/>
    <n v="0"/>
    <n v="0"/>
  </r>
  <r>
    <s v="FN-01183"/>
    <x v="265"/>
    <s v="C0050"/>
    <x v="0"/>
    <x v="2"/>
    <x v="1"/>
    <n v="4100"/>
    <n v="4.19E-2"/>
    <n v="36"/>
    <s v="OFF-KUW-3"/>
    <x v="2"/>
    <m/>
    <x v="1"/>
    <s v="Kuwaiti"/>
    <n v="25"/>
    <s v="Under 30"/>
    <s v=""/>
    <n v="0"/>
    <n v="0"/>
    <n v="0"/>
  </r>
  <r>
    <s v="FN-01208"/>
    <x v="265"/>
    <s v="C0131"/>
    <x v="0"/>
    <x v="0"/>
    <x v="0"/>
    <n v="25000"/>
    <n v="5.96E-2"/>
    <n v="36"/>
    <s v="OFF-KUW-3"/>
    <x v="0"/>
    <d v="2026-09-29T00:00:00"/>
    <x v="2"/>
    <s v="Kuwaiti"/>
    <n v="40"/>
    <s v="30-44"/>
    <n v="4"/>
    <n v="1"/>
    <n v="25000"/>
    <n v="1490"/>
  </r>
  <r>
    <s v="FN-01214"/>
    <x v="265"/>
    <s v="C0943"/>
    <x v="1"/>
    <x v="0"/>
    <x v="0"/>
    <n v="16000"/>
    <n v="6.6900000000000001E-2"/>
    <n v="60"/>
    <s v="OFF-HAW-2"/>
    <x v="2"/>
    <m/>
    <x v="1"/>
    <s v="Kuwaiti"/>
    <n v="24"/>
    <s v="Under 30"/>
    <s v=""/>
    <n v="0"/>
    <n v="0"/>
    <n v="0"/>
  </r>
  <r>
    <s v="FN-01217"/>
    <x v="265"/>
    <s v="C0931"/>
    <x v="0"/>
    <x v="2"/>
    <x v="2"/>
    <n v="5900"/>
    <n v="4.48E-2"/>
    <n v="60"/>
    <s v="OFF-KUW-2"/>
    <x v="2"/>
    <m/>
    <x v="1"/>
    <s v="Non-Kuwaiti"/>
    <n v="25"/>
    <s v="Under 30"/>
    <s v=""/>
    <n v="0"/>
    <n v="0"/>
    <n v="0"/>
  </r>
  <r>
    <s v="FN-01268"/>
    <x v="265"/>
    <s v="C0390"/>
    <x v="2"/>
    <x v="1"/>
    <x v="1"/>
    <n v="110300"/>
    <n v="3.5999999999999997E-2"/>
    <n v="240"/>
    <s v="OFF-SAL-3"/>
    <x v="1"/>
    <d v="2026-10-14T00:00:00"/>
    <x v="1"/>
    <s v="Kuwaiti"/>
    <n v="30"/>
    <s v="30-44"/>
    <n v="19"/>
    <n v="0"/>
    <n v="0"/>
    <n v="0"/>
  </r>
  <r>
    <s v="FN-01296"/>
    <x v="265"/>
    <s v="C0286"/>
    <x v="0"/>
    <x v="0"/>
    <x v="2"/>
    <n v="19300"/>
    <n v="5.3600000000000002E-2"/>
    <n v="48"/>
    <s v="OFF-KUW-2"/>
    <x v="1"/>
    <d v="2026-10-01T00:00:00"/>
    <x v="1"/>
    <s v="Kuwaiti"/>
    <n v="38"/>
    <s v="30-44"/>
    <n v="6"/>
    <n v="0"/>
    <n v="0"/>
    <n v="0"/>
  </r>
  <r>
    <s v="FN-01300"/>
    <x v="265"/>
    <s v="C0415"/>
    <x v="4"/>
    <x v="0"/>
    <x v="0"/>
    <n v="10400"/>
    <n v="5.9499999999999997E-2"/>
    <n v="48"/>
    <s v="OFF-AHM-1"/>
    <x v="0"/>
    <d v="2026-09-28T00:00:00"/>
    <x v="1"/>
    <s v="Kuwaiti"/>
    <n v="32"/>
    <s v="30-44"/>
    <n v="3"/>
    <n v="1"/>
    <n v="10400"/>
    <n v="618.79999999999995"/>
  </r>
  <r>
    <s v="FN-01156"/>
    <x v="266"/>
    <s v="C0510"/>
    <x v="2"/>
    <x v="2"/>
    <x v="1"/>
    <n v="13900"/>
    <n v="4.2900000000000001E-2"/>
    <n v="36"/>
    <s v="OFF-SAL-2"/>
    <x v="2"/>
    <m/>
    <x v="0"/>
    <s v="Non-Kuwaiti"/>
    <n v="56"/>
    <s v="45+"/>
    <s v=""/>
    <n v="0"/>
    <n v="0"/>
    <n v="0"/>
  </r>
  <r>
    <s v="FN-01198"/>
    <x v="266"/>
    <s v="C0590"/>
    <x v="5"/>
    <x v="0"/>
    <x v="0"/>
    <n v="22600"/>
    <n v="6.3500000000000001E-2"/>
    <n v="36"/>
    <s v="OFF-JAH-2"/>
    <x v="2"/>
    <m/>
    <x v="1"/>
    <s v="Kuwaiti"/>
    <n v="42"/>
    <s v="30-44"/>
    <s v=""/>
    <n v="0"/>
    <n v="0"/>
    <n v="0"/>
  </r>
  <r>
    <s v="FN-01200"/>
    <x v="266"/>
    <s v="C0271"/>
    <x v="2"/>
    <x v="0"/>
    <x v="2"/>
    <n v="15900"/>
    <n v="5.4899999999999997E-2"/>
    <n v="36"/>
    <s v="OFF-SAL-3"/>
    <x v="2"/>
    <m/>
    <x v="1"/>
    <s v="Kuwaiti"/>
    <n v="37"/>
    <s v="30-44"/>
    <s v=""/>
    <n v="0"/>
    <n v="0"/>
    <n v="0"/>
  </r>
  <r>
    <s v="FN-01233"/>
    <x v="266"/>
    <s v="C0430"/>
    <x v="1"/>
    <x v="0"/>
    <x v="1"/>
    <n v="23100"/>
    <n v="5.6099999999999997E-2"/>
    <n v="24"/>
    <s v="OFF-HAW-1"/>
    <x v="1"/>
    <d v="2026-09-28T00:00:00"/>
    <x v="1"/>
    <s v="Kuwaiti"/>
    <n v="41"/>
    <s v="30-44"/>
    <n v="2"/>
    <n v="0"/>
    <n v="0"/>
    <n v="0"/>
  </r>
  <r>
    <s v="FN-01246"/>
    <x v="266"/>
    <s v="C0899"/>
    <x v="1"/>
    <x v="0"/>
    <x v="0"/>
    <n v="16500"/>
    <n v="5.2699999999999997E-2"/>
    <n v="24"/>
    <s v="OFF-HAW-2"/>
    <x v="2"/>
    <m/>
    <x v="0"/>
    <s v="Kuwaiti"/>
    <n v="46"/>
    <s v="45+"/>
    <s v=""/>
    <n v="0"/>
    <n v="0"/>
    <n v="0"/>
  </r>
  <r>
    <s v="FN-01171"/>
    <x v="267"/>
    <s v="C0913"/>
    <x v="2"/>
    <x v="2"/>
    <x v="0"/>
    <n v="7200"/>
    <n v="4.6199999999999998E-2"/>
    <n v="36"/>
    <s v="OFF-SAL-1"/>
    <x v="2"/>
    <m/>
    <x v="0"/>
    <s v="Kuwaiti"/>
    <n v="51"/>
    <s v="45+"/>
    <s v=""/>
    <n v="0"/>
    <n v="0"/>
    <n v="0"/>
  </r>
  <r>
    <s v="FN-01180"/>
    <x v="267"/>
    <s v="C0536"/>
    <x v="2"/>
    <x v="3"/>
    <x v="0"/>
    <n v="147000"/>
    <n v="5.9200000000000003E-2"/>
    <n v="60"/>
    <s v="OFF-SAL-2"/>
    <x v="0"/>
    <d v="2026-10-14T00:00:00"/>
    <x v="1"/>
    <s v="Kuwaiti"/>
    <n v="27"/>
    <s v="Under 30"/>
    <n v="17"/>
    <n v="1"/>
    <n v="147000"/>
    <n v="8702.4"/>
  </r>
  <r>
    <s v="FN-01231"/>
    <x v="267"/>
    <s v="C0605"/>
    <x v="2"/>
    <x v="2"/>
    <x v="1"/>
    <n v="14700"/>
    <n v="4.4299999999999999E-2"/>
    <n v="48"/>
    <s v="OFF-SAL-1"/>
    <x v="1"/>
    <d v="2026-09-29T00:00:00"/>
    <x v="1"/>
    <s v="Kuwaiti"/>
    <n v="29"/>
    <s v="Under 30"/>
    <n v="2"/>
    <n v="0"/>
    <n v="0"/>
    <n v="0"/>
  </r>
  <r>
    <s v="FN-01258"/>
    <x v="267"/>
    <s v="C0743"/>
    <x v="2"/>
    <x v="0"/>
    <x v="2"/>
    <n v="11400"/>
    <n v="6.2799999999999995E-2"/>
    <n v="12"/>
    <s v="OFF-SAL-1"/>
    <x v="0"/>
    <d v="2026-10-03T00:00:00"/>
    <x v="1"/>
    <s v="Kuwaiti"/>
    <n v="40"/>
    <s v="30-44"/>
    <n v="6"/>
    <n v="1"/>
    <n v="11400"/>
    <n v="715.92"/>
  </r>
  <r>
    <s v="FN-01262"/>
    <x v="267"/>
    <s v="C0878"/>
    <x v="1"/>
    <x v="2"/>
    <x v="2"/>
    <n v="10500"/>
    <n v="4.7399999999999998E-2"/>
    <n v="60"/>
    <s v="OFF-HAW-2"/>
    <x v="2"/>
    <m/>
    <x v="1"/>
    <s v="Kuwaiti"/>
    <n v="50"/>
    <s v="45+"/>
    <s v=""/>
    <n v="0"/>
    <n v="0"/>
    <n v="0"/>
  </r>
  <r>
    <s v="FN-01265"/>
    <x v="267"/>
    <s v="C0144"/>
    <x v="1"/>
    <x v="0"/>
    <x v="2"/>
    <n v="9500"/>
    <n v="5.3199999999999997E-2"/>
    <n v="12"/>
    <s v="OFF-HAW-3"/>
    <x v="0"/>
    <d v="2026-10-03T00:00:00"/>
    <x v="1"/>
    <s v="Kuwaiti"/>
    <n v="27"/>
    <s v="Under 30"/>
    <n v="6"/>
    <n v="1"/>
    <n v="9500"/>
    <n v="505.4"/>
  </r>
  <r>
    <s v="FN-01274"/>
    <x v="267"/>
    <s v="C0437"/>
    <x v="0"/>
    <x v="1"/>
    <x v="1"/>
    <n v="163100"/>
    <n v="3.9E-2"/>
    <n v="180"/>
    <s v="OFF-KUW-2"/>
    <x v="2"/>
    <m/>
    <x v="0"/>
    <s v="Kuwaiti"/>
    <n v="30"/>
    <s v="30-44"/>
    <s v=""/>
    <n v="0"/>
    <n v="0"/>
    <n v="0"/>
  </r>
  <r>
    <s v="FN-01290"/>
    <x v="267"/>
    <s v="C0070"/>
    <x v="4"/>
    <x v="0"/>
    <x v="1"/>
    <n v="11600"/>
    <n v="6.9900000000000004E-2"/>
    <n v="60"/>
    <s v="OFF-AHM-2"/>
    <x v="2"/>
    <m/>
    <x v="0"/>
    <s v="Kuwaiti"/>
    <n v="54"/>
    <s v="45+"/>
    <s v=""/>
    <n v="0"/>
    <n v="0"/>
    <n v="0"/>
  </r>
  <r>
    <s v="FN-01160"/>
    <x v="268"/>
    <s v="C0554"/>
    <x v="0"/>
    <x v="0"/>
    <x v="1"/>
    <n v="16000"/>
    <n v="5.7599999999999998E-2"/>
    <n v="12"/>
    <s v="OFF-KUW-3"/>
    <x v="2"/>
    <m/>
    <x v="1"/>
    <s v="Kuwaiti"/>
    <n v="23"/>
    <s v="Under 30"/>
    <s v=""/>
    <n v="0"/>
    <n v="0"/>
    <n v="0"/>
  </r>
  <r>
    <s v="FN-01166"/>
    <x v="268"/>
    <s v="C0011"/>
    <x v="3"/>
    <x v="0"/>
    <x v="1"/>
    <n v="24800"/>
    <n v="6.6299999999999998E-2"/>
    <n v="36"/>
    <s v="OFF-FAR-2"/>
    <x v="0"/>
    <d v="2026-10-03T00:00:00"/>
    <x v="0"/>
    <s v="Kuwaiti"/>
    <n v="61"/>
    <s v="45+"/>
    <n v="5"/>
    <n v="1"/>
    <n v="24800"/>
    <n v="1644.24"/>
  </r>
  <r>
    <s v="FN-01189"/>
    <x v="268"/>
    <s v="C0746"/>
    <x v="2"/>
    <x v="0"/>
    <x v="0"/>
    <n v="13000"/>
    <n v="6.3299999999999995E-2"/>
    <n v="24"/>
    <s v="OFF-SAL-3"/>
    <x v="0"/>
    <d v="2026-10-01T00:00:00"/>
    <x v="0"/>
    <s v="Kuwaiti"/>
    <n v="42"/>
    <s v="30-44"/>
    <n v="3"/>
    <n v="1"/>
    <n v="13000"/>
    <n v="822.9"/>
  </r>
  <r>
    <s v="FN-01279"/>
    <x v="268"/>
    <s v="C0843"/>
    <x v="0"/>
    <x v="1"/>
    <x v="0"/>
    <n v="232600"/>
    <n v="4.0300000000000002E-2"/>
    <n v="300"/>
    <s v="OFF-KUW-1"/>
    <x v="0"/>
    <d v="2026-10-23T00:00:00"/>
    <x v="0"/>
    <s v="Non-Kuwaiti"/>
    <n v="34"/>
    <s v="30-44"/>
    <n v="25"/>
    <n v="1"/>
    <n v="232600"/>
    <n v="9373.7800000000007"/>
  </r>
  <r>
    <s v="FN-01299"/>
    <x v="268"/>
    <s v="C0826"/>
    <x v="3"/>
    <x v="2"/>
    <x v="2"/>
    <n v="4200"/>
    <n v="4.7E-2"/>
    <n v="60"/>
    <s v="OFF-FAR-3"/>
    <x v="1"/>
    <d v="2026-09-29T00:00:00"/>
    <x v="1"/>
    <s v="Non-Kuwaiti"/>
    <n v="28"/>
    <s v="Under 30"/>
    <n v="1"/>
    <n v="0"/>
    <n v="0"/>
    <n v="0"/>
  </r>
  <r>
    <s v="FN-01170"/>
    <x v="269"/>
    <s v="C0304"/>
    <x v="2"/>
    <x v="1"/>
    <x v="1"/>
    <n v="66100"/>
    <n v="3.95E-2"/>
    <n v="120"/>
    <s v="OFF-SAL-1"/>
    <x v="2"/>
    <m/>
    <x v="1"/>
    <s v="Kuwaiti"/>
    <n v="54"/>
    <s v="45+"/>
    <s v=""/>
    <n v="0"/>
    <n v="0"/>
    <n v="0"/>
  </r>
  <r>
    <s v="FN-01205"/>
    <x v="269"/>
    <s v="C0386"/>
    <x v="3"/>
    <x v="1"/>
    <x v="2"/>
    <n v="87600"/>
    <n v="4.0399999999999998E-2"/>
    <n v="120"/>
    <s v="OFF-FAR-1"/>
    <x v="2"/>
    <m/>
    <x v="1"/>
    <s v="Non-Kuwaiti"/>
    <n v="27"/>
    <s v="Under 30"/>
    <s v=""/>
    <n v="0"/>
    <n v="0"/>
    <n v="0"/>
  </r>
  <r>
    <s v="FN-01250"/>
    <x v="269"/>
    <s v="C0399"/>
    <x v="3"/>
    <x v="0"/>
    <x v="0"/>
    <n v="18600"/>
    <n v="5.2999999999999999E-2"/>
    <n v="60"/>
    <s v="OFF-FAR-2"/>
    <x v="2"/>
    <m/>
    <x v="0"/>
    <s v="Kuwaiti"/>
    <n v="35"/>
    <s v="30-44"/>
    <s v=""/>
    <n v="0"/>
    <n v="0"/>
    <n v="0"/>
  </r>
  <r>
    <s v="FN-01261"/>
    <x v="269"/>
    <s v="C0513"/>
    <x v="4"/>
    <x v="0"/>
    <x v="0"/>
    <n v="6700"/>
    <n v="5.67E-2"/>
    <n v="60"/>
    <s v="OFF-AHM-3"/>
    <x v="2"/>
    <m/>
    <x v="1"/>
    <s v="Non-Kuwaiti"/>
    <n v="34"/>
    <s v="30-44"/>
    <s v=""/>
    <n v="0"/>
    <n v="0"/>
    <n v="0"/>
  </r>
  <r>
    <s v="FN-01277"/>
    <x v="269"/>
    <s v="C0654"/>
    <x v="3"/>
    <x v="0"/>
    <x v="1"/>
    <n v="23900"/>
    <n v="5.6500000000000002E-2"/>
    <n v="36"/>
    <s v="OFF-FAR-1"/>
    <x v="2"/>
    <m/>
    <x v="0"/>
    <s v="Non-Kuwaiti"/>
    <n v="44"/>
    <s v="30-44"/>
    <s v=""/>
    <n v="0"/>
    <n v="0"/>
    <n v="0"/>
  </r>
  <r>
    <s v="FN-01163"/>
    <x v="270"/>
    <s v="C0656"/>
    <x v="1"/>
    <x v="1"/>
    <x v="2"/>
    <n v="240800"/>
    <n v="3.15E-2"/>
    <n v="180"/>
    <s v="OFF-HAW-1"/>
    <x v="2"/>
    <m/>
    <x v="1"/>
    <s v="Kuwaiti"/>
    <n v="25"/>
    <s v="Under 30"/>
    <s v=""/>
    <n v="0"/>
    <n v="0"/>
    <n v="0"/>
  </r>
  <r>
    <s v="FN-01179"/>
    <x v="270"/>
    <s v="C0666"/>
    <x v="1"/>
    <x v="2"/>
    <x v="0"/>
    <n v="10100"/>
    <n v="4.36E-2"/>
    <n v="36"/>
    <s v="OFF-HAW-3"/>
    <x v="2"/>
    <m/>
    <x v="1"/>
    <s v="Kuwaiti"/>
    <n v="71"/>
    <s v="45+"/>
    <s v=""/>
    <n v="0"/>
    <n v="0"/>
    <n v="0"/>
  </r>
  <r>
    <s v="FN-01188"/>
    <x v="270"/>
    <s v="C0440"/>
    <x v="0"/>
    <x v="3"/>
    <x v="0"/>
    <n v="67900"/>
    <n v="7.6999999999999999E-2"/>
    <n v="84"/>
    <s v="OFF-KUW-2"/>
    <x v="2"/>
    <m/>
    <x v="1"/>
    <s v="Non-Kuwaiti"/>
    <n v="41"/>
    <s v="30-44"/>
    <s v=""/>
    <n v="0"/>
    <n v="0"/>
    <n v="0"/>
  </r>
  <r>
    <s v="FN-01193"/>
    <x v="270"/>
    <s v="C0661"/>
    <x v="0"/>
    <x v="0"/>
    <x v="1"/>
    <n v="18800"/>
    <n v="6.5799999999999997E-2"/>
    <n v="24"/>
    <s v="OFF-KUW-2"/>
    <x v="0"/>
    <d v="2026-10-06T00:00:00"/>
    <x v="1"/>
    <s v="Kuwaiti"/>
    <n v="64"/>
    <s v="45+"/>
    <n v="6"/>
    <n v="1"/>
    <n v="18800"/>
    <n v="1237.04"/>
  </r>
  <r>
    <s v="FN-01199"/>
    <x v="270"/>
    <s v="C0081"/>
    <x v="3"/>
    <x v="3"/>
    <x v="1"/>
    <n v="71800"/>
    <n v="7.3599999999999999E-2"/>
    <n v="36"/>
    <s v="OFF-FAR-2"/>
    <x v="2"/>
    <m/>
    <x v="1"/>
    <s v="Kuwaiti"/>
    <n v="67"/>
    <s v="45+"/>
    <s v=""/>
    <n v="0"/>
    <n v="0"/>
    <n v="0"/>
  </r>
  <r>
    <s v="FN-01201"/>
    <x v="270"/>
    <s v="C0244"/>
    <x v="0"/>
    <x v="3"/>
    <x v="1"/>
    <n v="116000"/>
    <n v="7.1800000000000003E-2"/>
    <n v="60"/>
    <s v="OFF-KUW-2"/>
    <x v="2"/>
    <m/>
    <x v="1"/>
    <s v="Non-Kuwaiti"/>
    <n v="28"/>
    <s v="Under 30"/>
    <s v=""/>
    <n v="0"/>
    <n v="0"/>
    <n v="0"/>
  </r>
  <r>
    <s v="FN-01259"/>
    <x v="270"/>
    <s v="C0243"/>
    <x v="2"/>
    <x v="0"/>
    <x v="0"/>
    <n v="21500"/>
    <n v="5.8799999999999998E-2"/>
    <n v="36"/>
    <s v="OFF-SAL-2"/>
    <x v="2"/>
    <m/>
    <x v="2"/>
    <s v="Non-Kuwaiti"/>
    <n v="32"/>
    <s v="30-44"/>
    <s v=""/>
    <n v="0"/>
    <n v="0"/>
    <n v="0"/>
  </r>
  <r>
    <s v="FN-01291"/>
    <x v="270"/>
    <s v="C0315"/>
    <x v="2"/>
    <x v="1"/>
    <x v="0"/>
    <n v="123200"/>
    <n v="3.6799999999999999E-2"/>
    <n v="240"/>
    <s v="OFF-SAL-3"/>
    <x v="2"/>
    <m/>
    <x v="1"/>
    <s v="Kuwaiti"/>
    <n v="46"/>
    <s v="45+"/>
    <s v=""/>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E0A178-EE3E-4336-9A69-00D0CF697900}" name="ptChannel" cacheId="13" applyNumberFormats="0" applyBorderFormats="0" applyFontFormats="0" applyPatternFormats="0" applyAlignmentFormats="0" applyWidthHeightFormats="1" dataCaption="Values" updatedVersion="8" minRefreshableVersion="5" useAutoFormatting="1" itemPrintTitles="1" createdVersion="5" indent="0" compact="0" compactData="0" multipleFieldFilters="0" chartFormat="1">
  <location ref="G8:J13" firstHeaderRow="1" firstDataRow="2" firstDataCol="1"/>
  <pivotFields count="22">
    <pivotField dataField="1" compact="0" outline="0" showAll="0"/>
    <pivotField compact="0" numFmtId="164" outline="0"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compact="0" outline="0" showAll="0"/>
    <pivotField compact="0" outline="0" showAll="0">
      <items count="7">
        <item x="4"/>
        <item x="3"/>
        <item x="1"/>
        <item x="5"/>
        <item x="0"/>
        <item x="2"/>
        <item t="default"/>
      </items>
    </pivotField>
    <pivotField compact="0" outline="0" showAll="0">
      <items count="5">
        <item x="2"/>
        <item x="1"/>
        <item x="0"/>
        <item x="3"/>
        <item t="default"/>
      </items>
    </pivotField>
    <pivotField axis="axisRow" compact="0" outline="0" showAll="0">
      <items count="4">
        <item x="0"/>
        <item x="1"/>
        <item x="2"/>
        <item t="default"/>
      </items>
    </pivotField>
    <pivotField compact="0" numFmtId="3" outline="0" showAll="0"/>
    <pivotField compact="0" numFmtId="10" outline="0" showAll="0"/>
    <pivotField compact="0" outline="0" showAll="0"/>
    <pivotField compact="0" outline="0" showAll="0"/>
    <pivotField axis="axisCol" compact="0" outline="0" showAll="0">
      <items count="4">
        <item x="0"/>
        <item h="1" x="2"/>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numFmtId="165" outline="0" showAll="0"/>
    <pivotField compact="0" numFmtId="165" outline="0" showAll="0"/>
    <pivotField compact="0" numFmtId="165"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Fields count="1">
    <field x="10"/>
  </colFields>
  <colItems count="3">
    <i>
      <x/>
    </i>
    <i>
      <x v="2"/>
    </i>
    <i t="grand">
      <x/>
    </i>
  </colItems>
  <dataFields count="1">
    <dataField name="Approval %" fld="0" subtotal="count" showDataAs="percentOfRow" baseField="0" baseItem="0" numFmtId="10"/>
  </dataFields>
  <chartFormats count="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filters count="1">
    <filter fld="1" type="dateBetween" evalOrder="-1" id="56" name="Application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13AAEB-EDD7-4995-A8B3-45406C04FA91}" name="ptMonth" cacheId="13" applyNumberFormats="0" applyBorderFormats="0" applyFontFormats="0" applyPatternFormats="0" applyAlignmentFormats="0" applyWidthHeightFormats="1" dataCaption="Values" updatedVersion="8" minRefreshableVersion="5" useAutoFormatting="1" itemPrintTitles="1" createdVersion="5" indent="0" compact="0" compactData="0" multipleFieldFilters="0" chartFormat="1">
  <location ref="D7:E17" firstHeaderRow="1" firstDataRow="1" firstDataCol="1"/>
  <pivotFields count="22">
    <pivotField compact="0" outline="0" showAll="0"/>
    <pivotField compact="0" numFmtId="164" outline="0"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compact="0" outline="0" showAll="0"/>
    <pivotField compact="0" outline="0" showAll="0">
      <items count="7">
        <item x="4"/>
        <item x="3"/>
        <item x="1"/>
        <item x="5"/>
        <item x="0"/>
        <item x="2"/>
        <item t="default"/>
      </items>
    </pivotField>
    <pivotField compact="0" outline="0" showAll="0">
      <items count="5">
        <item x="2"/>
        <item x="1"/>
        <item x="0"/>
        <item x="3"/>
        <item t="default"/>
      </items>
    </pivotField>
    <pivotField compact="0" outline="0" showAll="0">
      <items count="4">
        <item x="0"/>
        <item x="1"/>
        <item x="2"/>
        <item t="default"/>
      </items>
    </pivotField>
    <pivotField compact="0" numFmtId="3" outline="0" showAll="0"/>
    <pivotField compact="0" numFmtId="1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numFmtId="165" outline="0" showAll="0"/>
    <pivotField dataField="1" compact="0" numFmtId="165" outline="0" showAll="0"/>
    <pivotField compact="0" numFmtId="165"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15">
        <item x="0"/>
        <item x="1"/>
        <item x="2"/>
        <item x="3"/>
        <item x="4"/>
        <item x="5"/>
        <item x="6"/>
        <item x="7"/>
        <item x="8"/>
        <item x="9"/>
        <item x="10"/>
        <item x="11"/>
        <item x="12"/>
        <item x="13"/>
        <item t="default"/>
      </items>
    </pivotField>
  </pivotFields>
  <rowFields count="1">
    <field x="21"/>
  </rowFields>
  <rowItems count="10">
    <i>
      <x v="1"/>
    </i>
    <i>
      <x v="2"/>
    </i>
    <i>
      <x v="3"/>
    </i>
    <i>
      <x v="4"/>
    </i>
    <i>
      <x v="5"/>
    </i>
    <i>
      <x v="6"/>
    </i>
    <i>
      <x v="7"/>
    </i>
    <i>
      <x v="8"/>
    </i>
    <i>
      <x v="9"/>
    </i>
    <i t="grand">
      <x/>
    </i>
  </rowItems>
  <colItems count="1">
    <i/>
  </colItems>
  <dataFields count="1">
    <dataField name="Approved Amount" fld="1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4" name="Application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32E334-A621-4724-A52F-8FA947433C46}" name="ptSegment" cacheId="13" applyNumberFormats="0" applyBorderFormats="0" applyFontFormats="0" applyPatternFormats="0" applyAlignmentFormats="0" applyWidthHeightFormats="1" dataCaption="Values" updatedVersion="8" minRefreshableVersion="5" useAutoFormatting="1" itemPrintTitles="1" createdVersion="5" indent="0" compact="0" compactData="0" multipleFieldFilters="0" chartFormat="1">
  <location ref="A7:B11" firstHeaderRow="1" firstDataRow="1" firstDataCol="1"/>
  <pivotFields count="22">
    <pivotField compact="0" outline="0" showAll="0"/>
    <pivotField compact="0" numFmtId="164" outline="0"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compact="0" outline="0" showAll="0"/>
    <pivotField compact="0" outline="0" showAll="0">
      <items count="7">
        <item x="4"/>
        <item x="3"/>
        <item x="1"/>
        <item x="5"/>
        <item x="0"/>
        <item x="2"/>
        <item t="default"/>
      </items>
    </pivotField>
    <pivotField compact="0" outline="0" showAll="0">
      <items count="5">
        <item x="2"/>
        <item x="1"/>
        <item x="0"/>
        <item x="3"/>
        <item t="default"/>
      </items>
    </pivotField>
    <pivotField compact="0" outline="0" showAll="0">
      <items count="4">
        <item x="0"/>
        <item x="1"/>
        <item x="2"/>
        <item t="default"/>
      </items>
    </pivotField>
    <pivotField compact="0" numFmtId="3" outline="0" showAll="0"/>
    <pivotField compact="0" numFmtId="1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numFmtId="165" outline="0" showAll="0"/>
    <pivotField dataField="1" compact="0" numFmtId="165" outline="0" showAll="0"/>
    <pivotField compact="0" numFmtId="165"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Approved Amount" fld="18" baseField="0" baseItem="0" numFmtId="3"/>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1" type="dateBetween" evalOrder="-1" id="54" name="Application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4B5A9F-845A-4AD5-8CFA-8338C3AD21D1}" name="ptProduct" cacheId="13" applyNumberFormats="0" applyBorderFormats="0" applyFontFormats="0" applyPatternFormats="0" applyAlignmentFormats="0" applyWidthHeightFormats="1" dataCaption="Values" updatedVersion="8" minRefreshableVersion="5" useAutoFormatting="1" itemPrintTitles="1" createdVersion="5" indent="0" compact="0" compactData="0" multipleFieldFilters="0" chartFormat="1">
  <location ref="F1:G6" firstHeaderRow="1" firstDataRow="1" firstDataCol="1"/>
  <pivotFields count="22">
    <pivotField compact="0" outline="0" showAll="0"/>
    <pivotField compact="0" numFmtId="164" outline="0"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compact="0" outline="0" showAll="0"/>
    <pivotField compact="0" outline="0" showAll="0">
      <items count="7">
        <item x="4"/>
        <item x="3"/>
        <item x="1"/>
        <item x="5"/>
        <item x="0"/>
        <item x="2"/>
        <item t="default"/>
      </items>
    </pivotField>
    <pivotField axis="axisRow" compact="0" outline="0"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compact="0" outline="0" showAll="0">
      <items count="4">
        <item x="0"/>
        <item x="1"/>
        <item x="2"/>
        <item t="default"/>
      </items>
    </pivotField>
    <pivotField compact="0" numFmtId="3" outline="0" showAll="0"/>
    <pivotField compact="0" numFmtId="1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numFmtId="165" outline="0" showAll="0"/>
    <pivotField dataField="1" compact="0" numFmtId="165" outline="0" showAll="0"/>
    <pivotField compact="0" numFmtId="165"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4"/>
  </rowFields>
  <rowItems count="5">
    <i>
      <x v="1"/>
    </i>
    <i>
      <x v="3"/>
    </i>
    <i>
      <x v="2"/>
    </i>
    <i>
      <x/>
    </i>
    <i t="grand">
      <x/>
    </i>
  </rowItems>
  <colItems count="1">
    <i/>
  </colItems>
  <dataFields count="1">
    <dataField name="Approved Amount" fld="1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4" name="Application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76AD1A-0543-43C8-AF8C-A04CDBE22D5B}" name="ptStatus" cacheId="13" applyNumberFormats="0" applyBorderFormats="0" applyFontFormats="0" applyPatternFormats="0" applyAlignmentFormats="0" applyWidthHeightFormats="1" dataCaption="Values" updatedVersion="8" minRefreshableVersion="5" useAutoFormatting="1" itemPrintTitles="1" createdVersion="5" indent="0" compact="0" compactData="0" multipleFieldFilters="0">
  <location ref="A1:D5" firstHeaderRow="0" firstDataRow="1" firstDataCol="1"/>
  <pivotFields count="22">
    <pivotField dataField="1" compact="0" outline="0" showAll="0"/>
    <pivotField compact="0" numFmtId="164" outline="0"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compact="0" outline="0" showAll="0"/>
    <pivotField compact="0" outline="0" showAll="0">
      <items count="7">
        <item x="4"/>
        <item x="3"/>
        <item x="1"/>
        <item x="5"/>
        <item x="0"/>
        <item x="2"/>
        <item t="default"/>
      </items>
    </pivotField>
    <pivotField compact="0" outline="0" showAll="0">
      <items count="5">
        <item x="2"/>
        <item x="1"/>
        <item x="0"/>
        <item x="3"/>
        <item t="default"/>
      </items>
    </pivotField>
    <pivotField compact="0" outline="0" showAll="0">
      <items count="4">
        <item x="0"/>
        <item x="1"/>
        <item x="2"/>
        <item t="default"/>
      </items>
    </pivotField>
    <pivotField compact="0" numFmtId="3" outline="0" showAll="0"/>
    <pivotField compact="0" numFmtId="1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dataField="1" compact="0" outline="0" showAll="0"/>
    <pivotField compact="0" numFmtId="165" outline="0" showAll="0"/>
    <pivotField dataField="1" compact="0" numFmtId="165" outline="0" showAll="0"/>
    <pivotField compact="0" numFmtId="165"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0"/>
  </rowFields>
  <rowItems count="4">
    <i>
      <x/>
    </i>
    <i>
      <x v="1"/>
    </i>
    <i>
      <x v="2"/>
    </i>
    <i t="grand">
      <x/>
    </i>
  </rowItems>
  <colFields count="1">
    <field x="-2"/>
  </colFields>
  <colItems count="3">
    <i>
      <x/>
    </i>
    <i i="1">
      <x v="1"/>
    </i>
    <i i="2">
      <x v="2"/>
    </i>
  </colItems>
  <dataFields count="3">
    <dataField name="Deals" fld="0" subtotal="count" baseField="0" baseItem="0" numFmtId="3"/>
    <dataField name="Average Days" fld="16" subtotal="average" baseField="0" baseItem="0" numFmtId="2"/>
    <dataField name="Approved Amount" fld="18" baseField="0" baseItem="0" numFmtId="3"/>
  </dataFields>
  <pivotTableStyleInfo name="PivotStyleLight16" showRowHeaders="1" showColHeaders="1" showRowStripes="0" showColStripes="0" showLastColumn="1"/>
  <filters count="1">
    <filter fld="1" type="dateBetween" evalOrder="-1" id="54" name="Application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654E0F6-00D7-476E-BFB8-02C564740FB8}" sourceName="Product">
  <pivotTables>
    <pivotTable tabId="7" name="ptStatus"/>
    <pivotTable tabId="7" name="ptProduct"/>
    <pivotTable tabId="7" name="ptSegment"/>
    <pivotTable tabId="7" name="ptMonth"/>
    <pivotTable tabId="7" name="ptChannel"/>
  </pivotTables>
  <data>
    <tabular pivotCacheId="43534963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14CD549-BD3C-488E-9D06-F16B824B0881}" sourceName="Segment">
  <pivotTables>
    <pivotTable tabId="7" name="ptStatus"/>
    <pivotTable tabId="7" name="ptProduct"/>
    <pivotTable tabId="7" name="ptSegment"/>
    <pivotTable tabId="7" name="ptMonth"/>
    <pivotTable tabId="7" name="ptChannel"/>
  </pivotTables>
  <data>
    <tabular pivotCacheId="43534963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944A1B9-459F-4C21-9794-9808AAEF0018}" sourceName="Channel">
  <pivotTables>
    <pivotTable tabId="7" name="ptStatus"/>
    <pivotTable tabId="7" name="ptProduct"/>
    <pivotTable tabId="7" name="ptSegment"/>
    <pivotTable tabId="7" name="ptMonth"/>
    <pivotTable tabId="7" name="ptChannel"/>
  </pivotTables>
  <data>
    <tabular pivotCacheId="43534963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3E5076A7-F539-468C-84AF-7E6B98FDC7A0}" sourceName="Branch">
  <pivotTables>
    <pivotTable tabId="7" name="ptStatus"/>
    <pivotTable tabId="7" name="ptProduct"/>
    <pivotTable tabId="7" name="ptSegment"/>
    <pivotTable tabId="7" name="ptMonth"/>
    <pivotTable tabId="7" name="ptChannel"/>
  </pivotTables>
  <data>
    <tabular pivotCacheId="435349632">
      <items count="6">
        <i x="4" s="1"/>
        <i x="3" s="1"/>
        <i x="1" s="1"/>
        <i x="5"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Product" xr10:uid="{4B2D3F04-D519-486A-AF56-1FA8766A5591}" cache="Slicer_Product" caption="Product" style="Dashboard Slicer" rowHeight="133350"/>
  <slicer name="slcSegment" xr10:uid="{16EF80F2-7F24-41D3-B9D2-3CC424F2E670}" cache="Slicer_Segment" caption="Segment" style="Dashboard Slicer" rowHeight="152400"/>
  <slicer name="slcChannel" xr10:uid="{AE7F2424-91C5-43C2-8940-8BFCE4F5B22E}" cache="Slicer_Channel" caption="Channel" style="Dashboard Slicer" rowHeight="152400"/>
  <slicer name="slcBranch" xr10:uid="{790E32F7-EA7E-407E-BEB5-779939A831EA}" cache="Slicer_Branch" caption="Branch" columnCount="2" style="Dashboard Slicer" rowHeight="152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14D6E8-4093-4A8E-9CCF-BF051DDCAAB4}" name="Deals" displayName="Deals" ref="A1:T1294" totalsRowShown="0" headerRowDxfId="25" dataDxfId="24">
  <autoFilter ref="A1:T1294" xr:uid="{4114D6E8-4093-4A8E-9CCF-BF051DDCAAB4}"/>
  <tableColumns count="20">
    <tableColumn id="1" xr3:uid="{834958C7-D584-42CD-A585-ACE0A11157A5}" name="DealID" dataDxfId="23"/>
    <tableColumn id="2" xr3:uid="{28A839BA-8B8D-4BA0-892F-28F7F1D78CB2}" name="ApplicationDate" dataDxfId="22"/>
    <tableColumn id="3" xr3:uid="{F71D12A8-E796-4CA6-9B88-9A771617CD0F}" name="CustomerID" dataDxfId="21"/>
    <tableColumn id="4" xr3:uid="{4BA0C5EB-1358-443F-AAB7-112EDB7BF25B}" name="Branch" dataDxfId="20"/>
    <tableColumn id="5" xr3:uid="{3CD76817-607D-4FC8-8511-C52D6C041523}" name="Product" dataDxfId="19"/>
    <tableColumn id="6" xr3:uid="{90B5C0ED-0D72-448A-884D-CED66B5A58E4}" name="Channel" dataDxfId="18"/>
    <tableColumn id="7" xr3:uid="{D2ED4203-E17F-4E5E-9024-79E0EA594148}" name="Amount" dataDxfId="17"/>
    <tableColumn id="8" xr3:uid="{34E7C975-941C-40E5-850A-17D5CE9C33E6}" name="ProfitRate" dataDxfId="16"/>
    <tableColumn id="9" xr3:uid="{38A97002-B5C9-4CF6-B8E0-D5F29B0D2C71}" name="TenorMonths" dataDxfId="15"/>
    <tableColumn id="10" xr3:uid="{891D1899-0C35-4370-A21E-296F284E8213}" name="Officer" dataDxfId="14"/>
    <tableColumn id="11" xr3:uid="{978B57C1-2A46-4CF8-8F60-97E1F857E8E2}" name="Status" dataDxfId="13"/>
    <tableColumn id="12" xr3:uid="{920FA0E2-CE29-41C4-AD86-B12AB970FEF3}" name="DecisionDate" dataDxfId="12"/>
    <tableColumn id="13" xr3:uid="{16FDF26A-D441-4249-B6EF-421CB0A51582}" name="Segment" dataDxfId="11">
      <calculatedColumnFormula>_xlfn.XLOOKUP(Deals[[#This Row],[CustomerID]],Customers!A:A,Customers!F:F)</calculatedColumnFormula>
    </tableColumn>
    <tableColumn id="14" xr3:uid="{CB32762B-540A-483D-8288-2377BD109C38}" name="Nationality" dataDxfId="10">
      <calculatedColumnFormula>_xlfn.XLOOKUP(Deals[[#This Row],[CustomerID]],Customers!A:A,Customers!E:E)</calculatedColumnFormula>
    </tableColumn>
    <tableColumn id="17" xr3:uid="{76AC5EB7-4B76-4076-9610-4D2932E35343}" name="Age" dataDxfId="9">
      <calculatedColumnFormula>2026-_xlfn.XLOOKUP(Deals[[#This Row],[CustomerID]],Customers!A:A,Customers!D:D)</calculatedColumnFormula>
    </tableColumn>
    <tableColumn id="16" xr3:uid="{DFED2F7A-4C78-43FC-8FBB-9A60BDE848ED}" name="AgeGroup" dataDxfId="8">
      <calculatedColumnFormula array="1">_xlfn.IFS(Deals[[#This Row],[Age]]&lt;30,"Under 30",Deals[[#This Row],[Age]]&lt;45,"30-44",TRUE,"45+")</calculatedColumnFormula>
    </tableColumn>
    <tableColumn id="18" xr3:uid="{EC3B8D1D-5270-4B15-A38E-3544EAA5B64D}" name="DaysToDecision" dataDxfId="7">
      <calculatedColumnFormula>IF(Deals[[#This Row],[Status]]="Pending","",Deals[[#This Row],[DecisionDate]]-Deals[[#This Row],[ApplicationDate]])</calculatedColumnFormula>
    </tableColumn>
    <tableColumn id="19" xr3:uid="{994D648A-95D9-4517-A719-9C011C46D45E}" name="IsApproved" dataDxfId="6">
      <calculatedColumnFormula>IF(Deals[[#This Row],[Status]]="Approved",1,0)</calculatedColumnFormula>
    </tableColumn>
    <tableColumn id="20" xr3:uid="{B4A713F7-A5EA-4D41-9A8F-0A0140927293}" name="ApprovedAmount" dataDxfId="5">
      <calculatedColumnFormula>IF(Deals[[#This Row],[IsApproved]]=1,Deals[[#This Row],[Amount]],0)</calculatedColumnFormula>
    </tableColumn>
    <tableColumn id="21" xr3:uid="{7ED44CD1-C1EB-4FC2-A81B-06984251A6D2}" name="ExpectedAnnualProfit" dataDxfId="4">
      <calculatedColumnFormula>Deals[[#This Row],[ApprovedAmount]]*Deals[[#This Row],[ProfitRate]]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pplicationDate" xr10:uid="{8826CCCF-CD44-4DAB-955E-4927C5B7526B}" sourceName="ApplicationDate">
  <pivotTables>
    <pivotTable tabId="7" name="ptChannel"/>
    <pivotTable tabId="7" name="ptMonth"/>
    <pivotTable tabId="7" name="ptProduct"/>
    <pivotTable tabId="7" name="ptSegment"/>
    <pivotTable tabId="7" name="ptStatus"/>
  </pivotTables>
  <state minimalRefreshVersion="6" lastRefreshVersion="6" pivotCacheId="435349632" filterType="dateBetween">
    <selection startDate="2026-01-01T00:00:00" endDate="2026-12-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licationDate" xr10:uid="{A775B045-182A-4D02-9201-750CEE2E96C3}" cache="NativeTimeline_ApplicationDate" caption="ApplicationDate" showHeader="0" showSelectionLabel="0" showTimeLevel="0" level="2" selectionLevel="0" scrollPosition="2026-01-01T00:00:00" style="Dashboard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E965E-3D4E-48FE-8FA6-F8F773FD2B9E}">
  <sheetPr codeName="Sheet6"/>
  <dimension ref="A1"/>
  <sheetViews>
    <sheetView showGridLines="0" showRowColHeaders="0" tabSelected="1" zoomScale="98" zoomScaleNormal="100" workbookViewId="0">
      <selection activeCell="V22" sqref="V22"/>
    </sheetView>
  </sheetViews>
  <sheetFormatPr defaultRowHeight="14.5"/>
  <cols>
    <col min="1" max="16384" width="8.7265625" style="3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9A729-949C-4769-A4D7-1D8C3DE56372}">
  <dimension ref="A1:V31"/>
  <sheetViews>
    <sheetView showGridLines="0" zoomScale="70" zoomScaleNormal="70" workbookViewId="0">
      <selection activeCell="W7" sqref="W7"/>
    </sheetView>
  </sheetViews>
  <sheetFormatPr defaultRowHeight="14.5"/>
  <sheetData>
    <row r="1" spans="1:22" ht="15" thickBot="1">
      <c r="A1" s="31" t="s">
        <v>2723</v>
      </c>
      <c r="B1" s="32" t="s">
        <v>2724</v>
      </c>
      <c r="C1" s="32"/>
      <c r="D1" s="32"/>
      <c r="E1" s="32"/>
      <c r="F1" s="32"/>
      <c r="G1" s="32"/>
      <c r="H1" s="32"/>
      <c r="I1" s="32"/>
      <c r="J1" s="32"/>
      <c r="K1" s="32"/>
      <c r="L1" s="32"/>
      <c r="M1" s="32"/>
      <c r="N1" s="32"/>
      <c r="O1" s="32"/>
      <c r="P1" s="32"/>
      <c r="Q1" s="32"/>
      <c r="R1" s="32"/>
      <c r="S1" s="36"/>
      <c r="T1" s="36"/>
      <c r="U1" s="36"/>
      <c r="V1" s="36"/>
    </row>
    <row r="2" spans="1:22">
      <c r="A2" s="33" t="s">
        <v>2725</v>
      </c>
      <c r="B2" s="37" t="s">
        <v>2719</v>
      </c>
      <c r="C2" s="37"/>
      <c r="D2" s="37"/>
      <c r="E2" s="37"/>
      <c r="F2" s="37"/>
      <c r="G2" s="37"/>
      <c r="H2" s="37"/>
      <c r="I2" s="37"/>
      <c r="J2" s="37"/>
      <c r="K2" s="37"/>
      <c r="L2" s="37"/>
      <c r="M2" s="37"/>
      <c r="N2" s="37"/>
      <c r="O2" s="37"/>
      <c r="P2" s="37"/>
      <c r="Q2" s="37"/>
      <c r="R2" s="37"/>
      <c r="S2" s="37"/>
      <c r="T2" s="37"/>
      <c r="U2" s="37"/>
      <c r="V2" s="38"/>
    </row>
    <row r="3" spans="1:22">
      <c r="A3" s="34"/>
      <c r="B3" s="39" t="s">
        <v>2720</v>
      </c>
      <c r="C3" s="39"/>
      <c r="D3" s="39"/>
      <c r="E3" s="39"/>
      <c r="F3" s="39"/>
      <c r="G3" s="39"/>
      <c r="H3" s="39"/>
      <c r="I3" s="39"/>
      <c r="J3" s="39"/>
      <c r="K3" s="39"/>
      <c r="L3" s="39"/>
      <c r="M3" s="39"/>
      <c r="N3" s="39"/>
      <c r="O3" s="39"/>
      <c r="P3" s="39"/>
      <c r="Q3" s="39"/>
      <c r="R3" s="39"/>
      <c r="S3" s="39"/>
      <c r="T3" s="39"/>
      <c r="U3" s="39"/>
      <c r="V3" s="40"/>
    </row>
    <row r="4" spans="1:22">
      <c r="A4" s="34"/>
      <c r="B4" s="39" t="s">
        <v>2721</v>
      </c>
      <c r="C4" s="39"/>
      <c r="D4" s="39"/>
      <c r="E4" s="39"/>
      <c r="F4" s="39"/>
      <c r="G4" s="39"/>
      <c r="H4" s="39"/>
      <c r="I4" s="39"/>
      <c r="J4" s="39"/>
      <c r="K4" s="39"/>
      <c r="L4" s="39"/>
      <c r="M4" s="39"/>
      <c r="N4" s="39"/>
      <c r="O4" s="39"/>
      <c r="P4" s="39"/>
      <c r="Q4" s="39"/>
      <c r="R4" s="39"/>
      <c r="S4" s="39"/>
      <c r="T4" s="39"/>
      <c r="U4" s="39"/>
      <c r="V4" s="40"/>
    </row>
    <row r="5" spans="1:22">
      <c r="A5" s="34"/>
      <c r="B5" s="39" t="s">
        <v>2722</v>
      </c>
      <c r="C5" s="39"/>
      <c r="D5" s="39"/>
      <c r="E5" s="39"/>
      <c r="F5" s="39"/>
      <c r="G5" s="39"/>
      <c r="H5" s="39"/>
      <c r="I5" s="39"/>
      <c r="J5" s="39"/>
      <c r="K5" s="39"/>
      <c r="L5" s="39"/>
      <c r="M5" s="39"/>
      <c r="N5" s="39"/>
      <c r="O5" s="39"/>
      <c r="P5" s="39"/>
      <c r="Q5" s="39"/>
      <c r="R5" s="39"/>
      <c r="S5" s="39"/>
      <c r="T5" s="39"/>
      <c r="U5" s="39"/>
      <c r="V5" s="40"/>
    </row>
    <row r="6" spans="1:22">
      <c r="A6" s="34" t="s">
        <v>2726</v>
      </c>
      <c r="B6" s="39" t="s">
        <v>2729</v>
      </c>
      <c r="C6" s="39"/>
      <c r="D6" s="39"/>
      <c r="E6" s="39"/>
      <c r="F6" s="39"/>
      <c r="G6" s="39"/>
      <c r="H6" s="39"/>
      <c r="I6" s="39"/>
      <c r="J6" s="39"/>
      <c r="K6" s="39"/>
      <c r="L6" s="39"/>
      <c r="M6" s="39"/>
      <c r="N6" s="39"/>
      <c r="O6" s="39"/>
      <c r="P6" s="39"/>
      <c r="Q6" s="39"/>
      <c r="R6" s="39"/>
      <c r="S6" s="39"/>
      <c r="T6" s="39"/>
      <c r="U6" s="39"/>
      <c r="V6" s="40"/>
    </row>
    <row r="7" spans="1:22">
      <c r="A7" s="34"/>
      <c r="B7" s="39" t="s">
        <v>2730</v>
      </c>
      <c r="C7" s="39"/>
      <c r="D7" s="39"/>
      <c r="E7" s="39"/>
      <c r="F7" s="39"/>
      <c r="G7" s="39"/>
      <c r="H7" s="39"/>
      <c r="I7" s="39"/>
      <c r="J7" s="39"/>
      <c r="K7" s="39"/>
      <c r="L7" s="39"/>
      <c r="M7" s="39"/>
      <c r="N7" s="39"/>
      <c r="O7" s="39"/>
      <c r="P7" s="39"/>
      <c r="Q7" s="39"/>
      <c r="R7" s="39"/>
      <c r="S7" s="39"/>
      <c r="T7" s="39"/>
      <c r="U7" s="39"/>
      <c r="V7" s="40"/>
    </row>
    <row r="8" spans="1:22">
      <c r="A8" s="34"/>
      <c r="B8" s="39" t="s">
        <v>2731</v>
      </c>
      <c r="C8" s="39"/>
      <c r="D8" s="39"/>
      <c r="E8" s="39"/>
      <c r="F8" s="39"/>
      <c r="G8" s="39"/>
      <c r="H8" s="39"/>
      <c r="I8" s="39"/>
      <c r="J8" s="39"/>
      <c r="K8" s="39"/>
      <c r="L8" s="39"/>
      <c r="M8" s="39"/>
      <c r="N8" s="39"/>
      <c r="O8" s="39"/>
      <c r="P8" s="39"/>
      <c r="Q8" s="39"/>
      <c r="R8" s="39"/>
      <c r="S8" s="39"/>
      <c r="T8" s="39"/>
      <c r="U8" s="39"/>
      <c r="V8" s="40"/>
    </row>
    <row r="9" spans="1:22">
      <c r="A9" s="34" t="s">
        <v>2727</v>
      </c>
      <c r="B9" s="39" t="s">
        <v>2732</v>
      </c>
      <c r="C9" s="39"/>
      <c r="D9" s="39"/>
      <c r="E9" s="39"/>
      <c r="F9" s="39"/>
      <c r="G9" s="39"/>
      <c r="H9" s="39"/>
      <c r="I9" s="39"/>
      <c r="J9" s="39"/>
      <c r="K9" s="39"/>
      <c r="L9" s="39"/>
      <c r="M9" s="39"/>
      <c r="N9" s="39"/>
      <c r="O9" s="39"/>
      <c r="P9" s="39"/>
      <c r="Q9" s="39"/>
      <c r="R9" s="39"/>
      <c r="S9" s="39"/>
      <c r="T9" s="39"/>
      <c r="U9" s="39"/>
      <c r="V9" s="40"/>
    </row>
    <row r="10" spans="1:22">
      <c r="A10" s="34"/>
      <c r="B10" s="39" t="s">
        <v>2733</v>
      </c>
      <c r="C10" s="39"/>
      <c r="D10" s="39"/>
      <c r="E10" s="39"/>
      <c r="F10" s="39"/>
      <c r="G10" s="39"/>
      <c r="H10" s="39"/>
      <c r="I10" s="39"/>
      <c r="J10" s="39"/>
      <c r="K10" s="39"/>
      <c r="L10" s="39"/>
      <c r="M10" s="39"/>
      <c r="N10" s="39"/>
      <c r="O10" s="39"/>
      <c r="P10" s="39"/>
      <c r="Q10" s="39"/>
      <c r="R10" s="39"/>
      <c r="S10" s="39"/>
      <c r="T10" s="39"/>
      <c r="U10" s="39"/>
      <c r="V10" s="40"/>
    </row>
    <row r="11" spans="1:22">
      <c r="A11" s="34"/>
      <c r="B11" s="39" t="s">
        <v>2734</v>
      </c>
      <c r="C11" s="39"/>
      <c r="D11" s="39"/>
      <c r="E11" s="39"/>
      <c r="F11" s="39"/>
      <c r="G11" s="39"/>
      <c r="H11" s="39"/>
      <c r="I11" s="39"/>
      <c r="J11" s="39"/>
      <c r="K11" s="39"/>
      <c r="L11" s="39"/>
      <c r="M11" s="39"/>
      <c r="N11" s="39"/>
      <c r="O11" s="39"/>
      <c r="P11" s="39"/>
      <c r="Q11" s="39"/>
      <c r="R11" s="39"/>
      <c r="S11" s="39"/>
      <c r="T11" s="39"/>
      <c r="U11" s="39"/>
      <c r="V11" s="40"/>
    </row>
    <row r="12" spans="1:22">
      <c r="A12" s="34" t="s">
        <v>2728</v>
      </c>
      <c r="B12" s="39" t="s">
        <v>2735</v>
      </c>
      <c r="C12" s="39"/>
      <c r="D12" s="39"/>
      <c r="E12" s="39"/>
      <c r="F12" s="39"/>
      <c r="G12" s="39"/>
      <c r="H12" s="39"/>
      <c r="I12" s="39"/>
      <c r="J12" s="39"/>
      <c r="K12" s="39"/>
      <c r="L12" s="39"/>
      <c r="M12" s="39"/>
      <c r="N12" s="39"/>
      <c r="O12" s="39"/>
      <c r="P12" s="39"/>
      <c r="Q12" s="39"/>
      <c r="R12" s="39"/>
      <c r="S12" s="39"/>
      <c r="T12" s="39"/>
      <c r="U12" s="39"/>
      <c r="V12" s="40"/>
    </row>
    <row r="13" spans="1:22">
      <c r="A13" s="34"/>
      <c r="B13" s="39" t="s">
        <v>2736</v>
      </c>
      <c r="C13" s="39"/>
      <c r="D13" s="39"/>
      <c r="E13" s="39"/>
      <c r="F13" s="39"/>
      <c r="G13" s="39"/>
      <c r="H13" s="39"/>
      <c r="I13" s="39"/>
      <c r="J13" s="39"/>
      <c r="K13" s="39"/>
      <c r="L13" s="39"/>
      <c r="M13" s="39"/>
      <c r="N13" s="39"/>
      <c r="O13" s="39"/>
      <c r="P13" s="39"/>
      <c r="Q13" s="39"/>
      <c r="R13" s="39"/>
      <c r="S13" s="39"/>
      <c r="T13" s="39"/>
      <c r="U13" s="39"/>
      <c r="V13" s="40"/>
    </row>
    <row r="14" spans="1:22">
      <c r="A14" s="34"/>
      <c r="B14" s="39" t="s">
        <v>2737</v>
      </c>
      <c r="C14" s="39"/>
      <c r="D14" s="39"/>
      <c r="E14" s="39"/>
      <c r="F14" s="39"/>
      <c r="G14" s="39"/>
      <c r="H14" s="39"/>
      <c r="I14" s="39"/>
      <c r="J14" s="39"/>
      <c r="K14" s="39"/>
      <c r="L14" s="39"/>
      <c r="M14" s="39"/>
      <c r="N14" s="39"/>
      <c r="O14" s="39"/>
      <c r="P14" s="39"/>
      <c r="Q14" s="39"/>
      <c r="R14" s="39"/>
      <c r="S14" s="39"/>
      <c r="T14" s="39"/>
      <c r="U14" s="39"/>
      <c r="V14" s="40"/>
    </row>
    <row r="15" spans="1:22">
      <c r="A15" s="34" t="s">
        <v>2742</v>
      </c>
      <c r="B15" s="39" t="s">
        <v>2739</v>
      </c>
      <c r="C15" s="39"/>
      <c r="D15" s="39"/>
      <c r="E15" s="39"/>
      <c r="F15" s="39"/>
      <c r="G15" s="39"/>
      <c r="H15" s="39"/>
      <c r="I15" s="39"/>
      <c r="J15" s="39"/>
      <c r="K15" s="39"/>
      <c r="L15" s="39"/>
      <c r="M15" s="39"/>
      <c r="N15" s="39"/>
      <c r="O15" s="39"/>
      <c r="P15" s="39"/>
      <c r="Q15" s="39"/>
      <c r="R15" s="39"/>
      <c r="S15" s="39"/>
      <c r="T15" s="39"/>
      <c r="U15" s="39"/>
      <c r="V15" s="40"/>
    </row>
    <row r="16" spans="1:22">
      <c r="A16" s="34"/>
      <c r="B16" s="39" t="s">
        <v>2740</v>
      </c>
      <c r="C16" s="39"/>
      <c r="D16" s="39"/>
      <c r="E16" s="39"/>
      <c r="F16" s="39"/>
      <c r="G16" s="39"/>
      <c r="H16" s="39"/>
      <c r="I16" s="39"/>
      <c r="J16" s="39"/>
      <c r="K16" s="39"/>
      <c r="L16" s="39"/>
      <c r="M16" s="39"/>
      <c r="N16" s="39"/>
      <c r="O16" s="39"/>
      <c r="P16" s="39"/>
      <c r="Q16" s="39"/>
      <c r="R16" s="39"/>
      <c r="S16" s="39"/>
      <c r="T16" s="39"/>
      <c r="U16" s="39"/>
      <c r="V16" s="40"/>
    </row>
    <row r="17" spans="1:22">
      <c r="A17" s="34"/>
      <c r="B17" s="39" t="s">
        <v>2741</v>
      </c>
      <c r="C17" s="39"/>
      <c r="D17" s="39"/>
      <c r="E17" s="39"/>
      <c r="F17" s="39"/>
      <c r="G17" s="39"/>
      <c r="H17" s="39"/>
      <c r="I17" s="39"/>
      <c r="J17" s="39"/>
      <c r="K17" s="39"/>
      <c r="L17" s="39"/>
      <c r="M17" s="39"/>
      <c r="N17" s="39"/>
      <c r="O17" s="39"/>
      <c r="P17" s="39"/>
      <c r="Q17" s="39"/>
      <c r="R17" s="39"/>
      <c r="S17" s="39"/>
      <c r="T17" s="39"/>
      <c r="U17" s="39"/>
      <c r="V17" s="40"/>
    </row>
    <row r="18" spans="1:22">
      <c r="A18" s="34" t="s">
        <v>2738</v>
      </c>
      <c r="B18" s="39" t="s">
        <v>2743</v>
      </c>
      <c r="C18" s="39"/>
      <c r="D18" s="39"/>
      <c r="E18" s="39"/>
      <c r="F18" s="39"/>
      <c r="G18" s="39"/>
      <c r="H18" s="39"/>
      <c r="I18" s="39"/>
      <c r="J18" s="39"/>
      <c r="K18" s="39"/>
      <c r="L18" s="39"/>
      <c r="M18" s="39"/>
      <c r="N18" s="39"/>
      <c r="O18" s="39"/>
      <c r="P18" s="39"/>
      <c r="Q18" s="39"/>
      <c r="R18" s="39"/>
      <c r="S18" s="39"/>
      <c r="T18" s="39"/>
      <c r="U18" s="39"/>
      <c r="V18" s="40"/>
    </row>
    <row r="19" spans="1:22">
      <c r="A19" s="34"/>
      <c r="B19" s="39" t="s">
        <v>2744</v>
      </c>
      <c r="C19" s="39"/>
      <c r="D19" s="39"/>
      <c r="E19" s="39"/>
      <c r="F19" s="39"/>
      <c r="G19" s="39"/>
      <c r="H19" s="39"/>
      <c r="I19" s="39"/>
      <c r="J19" s="39"/>
      <c r="K19" s="39"/>
      <c r="L19" s="39"/>
      <c r="M19" s="39"/>
      <c r="N19" s="39"/>
      <c r="O19" s="39"/>
      <c r="P19" s="39"/>
      <c r="Q19" s="39"/>
      <c r="R19" s="39"/>
      <c r="S19" s="39"/>
      <c r="T19" s="39"/>
      <c r="U19" s="39"/>
      <c r="V19" s="40"/>
    </row>
    <row r="20" spans="1:22">
      <c r="A20" s="34"/>
      <c r="B20" s="39" t="s">
        <v>2745</v>
      </c>
      <c r="C20" s="39"/>
      <c r="D20" s="39"/>
      <c r="E20" s="39"/>
      <c r="F20" s="39"/>
      <c r="G20" s="39"/>
      <c r="H20" s="39"/>
      <c r="I20" s="39"/>
      <c r="J20" s="39"/>
      <c r="K20" s="39"/>
      <c r="L20" s="39"/>
      <c r="M20" s="39"/>
      <c r="N20" s="39"/>
      <c r="O20" s="39"/>
      <c r="P20" s="39"/>
      <c r="Q20" s="39"/>
      <c r="R20" s="39"/>
      <c r="S20" s="39"/>
      <c r="T20" s="39"/>
      <c r="U20" s="39"/>
      <c r="V20" s="40"/>
    </row>
    <row r="21" spans="1:22">
      <c r="A21" s="34"/>
      <c r="B21" s="39" t="s">
        <v>2746</v>
      </c>
      <c r="C21" s="39"/>
      <c r="D21" s="39"/>
      <c r="E21" s="39"/>
      <c r="F21" s="39"/>
      <c r="G21" s="39"/>
      <c r="H21" s="39"/>
      <c r="I21" s="39"/>
      <c r="J21" s="39"/>
      <c r="K21" s="39"/>
      <c r="L21" s="39"/>
      <c r="M21" s="39"/>
      <c r="N21" s="39"/>
      <c r="O21" s="39"/>
      <c r="P21" s="39"/>
      <c r="Q21" s="39"/>
      <c r="R21" s="39"/>
      <c r="S21" s="39"/>
      <c r="T21" s="39"/>
      <c r="U21" s="39"/>
      <c r="V21" s="40"/>
    </row>
    <row r="22" spans="1:22">
      <c r="A22" s="34"/>
      <c r="B22" s="39"/>
      <c r="C22" s="39"/>
      <c r="D22" s="39"/>
      <c r="E22" s="39"/>
      <c r="F22" s="39"/>
      <c r="G22" s="39"/>
      <c r="H22" s="39"/>
      <c r="I22" s="39"/>
      <c r="J22" s="39"/>
      <c r="K22" s="39"/>
      <c r="L22" s="39"/>
      <c r="M22" s="39"/>
      <c r="N22" s="39"/>
      <c r="O22" s="39"/>
      <c r="P22" s="39"/>
      <c r="Q22" s="39"/>
      <c r="R22" s="39"/>
      <c r="S22" s="39"/>
      <c r="T22" s="39"/>
      <c r="U22" s="39"/>
      <c r="V22" s="40"/>
    </row>
    <row r="23" spans="1:22">
      <c r="A23" s="34"/>
      <c r="B23" s="39" t="s">
        <v>2747</v>
      </c>
      <c r="C23" s="39"/>
      <c r="D23" s="39"/>
      <c r="E23" s="39"/>
      <c r="F23" s="39"/>
      <c r="G23" s="39"/>
      <c r="H23" s="39"/>
      <c r="I23" s="39"/>
      <c r="J23" s="39"/>
      <c r="K23" s="39"/>
      <c r="L23" s="39"/>
      <c r="M23" s="39"/>
      <c r="N23" s="39"/>
      <c r="O23" s="39"/>
      <c r="P23" s="39"/>
      <c r="Q23" s="39"/>
      <c r="R23" s="39"/>
      <c r="S23" s="39"/>
      <c r="T23" s="39"/>
      <c r="U23" s="39"/>
      <c r="V23" s="40"/>
    </row>
    <row r="24" spans="1:22">
      <c r="A24" s="34"/>
      <c r="B24" s="39" t="s">
        <v>2748</v>
      </c>
      <c r="C24" s="39"/>
      <c r="D24" s="39"/>
      <c r="E24" s="39"/>
      <c r="F24" s="39"/>
      <c r="G24" s="39"/>
      <c r="H24" s="39"/>
      <c r="I24" s="39"/>
      <c r="J24" s="39"/>
      <c r="K24" s="39"/>
      <c r="L24" s="39"/>
      <c r="M24" s="39"/>
      <c r="N24" s="39"/>
      <c r="O24" s="39"/>
      <c r="P24" s="39"/>
      <c r="Q24" s="39"/>
      <c r="R24" s="39"/>
      <c r="S24" s="39"/>
      <c r="T24" s="39"/>
      <c r="U24" s="39"/>
      <c r="V24" s="40"/>
    </row>
    <row r="25" spans="1:22">
      <c r="A25" s="34"/>
      <c r="B25" s="39" t="s">
        <v>2749</v>
      </c>
      <c r="C25" s="39"/>
      <c r="D25" s="39"/>
      <c r="E25" s="39"/>
      <c r="F25" s="39"/>
      <c r="G25" s="39"/>
      <c r="H25" s="39"/>
      <c r="I25" s="39"/>
      <c r="J25" s="39"/>
      <c r="K25" s="39"/>
      <c r="L25" s="39"/>
      <c r="M25" s="39"/>
      <c r="N25" s="39"/>
      <c r="O25" s="39"/>
      <c r="P25" s="39"/>
      <c r="Q25" s="39"/>
      <c r="R25" s="39"/>
      <c r="S25" s="39"/>
      <c r="T25" s="39"/>
      <c r="U25" s="39"/>
      <c r="V25" s="40"/>
    </row>
    <row r="26" spans="1:22">
      <c r="A26" s="34"/>
      <c r="B26" s="39" t="s">
        <v>2750</v>
      </c>
      <c r="C26" s="39"/>
      <c r="D26" s="39"/>
      <c r="E26" s="39"/>
      <c r="F26" s="39"/>
      <c r="G26" s="39"/>
      <c r="H26" s="39"/>
      <c r="I26" s="39"/>
      <c r="J26" s="39"/>
      <c r="K26" s="39"/>
      <c r="L26" s="39"/>
      <c r="M26" s="39"/>
      <c r="N26" s="39"/>
      <c r="O26" s="39"/>
      <c r="P26" s="39"/>
      <c r="Q26" s="39"/>
      <c r="R26" s="39"/>
      <c r="S26" s="39"/>
      <c r="T26" s="39"/>
      <c r="U26" s="39"/>
      <c r="V26" s="40"/>
    </row>
    <row r="27" spans="1:22">
      <c r="A27" s="34"/>
      <c r="B27" s="39"/>
      <c r="C27" s="39"/>
      <c r="D27" s="39"/>
      <c r="E27" s="39"/>
      <c r="F27" s="39"/>
      <c r="G27" s="39"/>
      <c r="H27" s="39"/>
      <c r="I27" s="39"/>
      <c r="J27" s="39"/>
      <c r="K27" s="39"/>
      <c r="L27" s="39"/>
      <c r="M27" s="39"/>
      <c r="N27" s="39"/>
      <c r="O27" s="39"/>
      <c r="P27" s="39"/>
      <c r="Q27" s="39"/>
      <c r="R27" s="39"/>
      <c r="S27" s="39"/>
      <c r="T27" s="39"/>
      <c r="U27" s="39"/>
      <c r="V27" s="40"/>
    </row>
    <row r="28" spans="1:22">
      <c r="A28" s="34"/>
      <c r="B28" s="39" t="s">
        <v>2751</v>
      </c>
      <c r="C28" s="39"/>
      <c r="D28" s="39"/>
      <c r="E28" s="39"/>
      <c r="F28" s="39"/>
      <c r="G28" s="39"/>
      <c r="H28" s="39"/>
      <c r="I28" s="39"/>
      <c r="J28" s="39"/>
      <c r="K28" s="39"/>
      <c r="L28" s="39"/>
      <c r="M28" s="39"/>
      <c r="N28" s="39"/>
      <c r="O28" s="39"/>
      <c r="P28" s="39"/>
      <c r="Q28" s="39"/>
      <c r="R28" s="39"/>
      <c r="S28" s="39"/>
      <c r="T28" s="39"/>
      <c r="U28" s="39"/>
      <c r="V28" s="40"/>
    </row>
    <row r="29" spans="1:22">
      <c r="A29" s="34"/>
      <c r="B29" s="39" t="s">
        <v>2752</v>
      </c>
      <c r="C29" s="39"/>
      <c r="D29" s="39"/>
      <c r="E29" s="39"/>
      <c r="F29" s="39"/>
      <c r="G29" s="39"/>
      <c r="H29" s="39"/>
      <c r="I29" s="39"/>
      <c r="J29" s="39"/>
      <c r="K29" s="39"/>
      <c r="L29" s="39"/>
      <c r="M29" s="39"/>
      <c r="N29" s="39"/>
      <c r="O29" s="39"/>
      <c r="P29" s="39"/>
      <c r="Q29" s="39"/>
      <c r="R29" s="39"/>
      <c r="S29" s="39"/>
      <c r="T29" s="39"/>
      <c r="U29" s="39"/>
      <c r="V29" s="40"/>
    </row>
    <row r="30" spans="1:22">
      <c r="A30" s="34"/>
      <c r="B30" s="39" t="s">
        <v>2753</v>
      </c>
      <c r="C30" s="39"/>
      <c r="D30" s="39"/>
      <c r="E30" s="39"/>
      <c r="F30" s="39"/>
      <c r="G30" s="39"/>
      <c r="H30" s="39"/>
      <c r="I30" s="39"/>
      <c r="J30" s="39"/>
      <c r="K30" s="39"/>
      <c r="L30" s="39"/>
      <c r="M30" s="39"/>
      <c r="N30" s="39"/>
      <c r="O30" s="39"/>
      <c r="P30" s="39"/>
      <c r="Q30" s="39"/>
      <c r="R30" s="39"/>
      <c r="S30" s="39"/>
      <c r="T30" s="39"/>
      <c r="U30" s="39"/>
      <c r="V30" s="40"/>
    </row>
    <row r="31" spans="1:22" ht="15" thickBot="1">
      <c r="A31" s="35"/>
      <c r="B31" s="41" t="s">
        <v>2754</v>
      </c>
      <c r="C31" s="41"/>
      <c r="D31" s="41"/>
      <c r="E31" s="41"/>
      <c r="F31" s="41"/>
      <c r="G31" s="41"/>
      <c r="H31" s="41"/>
      <c r="I31" s="41"/>
      <c r="J31" s="41"/>
      <c r="K31" s="41"/>
      <c r="L31" s="41"/>
      <c r="M31" s="41"/>
      <c r="N31" s="41"/>
      <c r="O31" s="41"/>
      <c r="P31" s="41"/>
      <c r="Q31" s="41"/>
      <c r="R31" s="41"/>
      <c r="S31" s="41"/>
      <c r="T31" s="41"/>
      <c r="U31" s="41"/>
      <c r="V31" s="42"/>
    </row>
  </sheetData>
  <mergeCells count="7">
    <mergeCell ref="A18:A31"/>
    <mergeCell ref="A2:A5"/>
    <mergeCell ref="A6:A8"/>
    <mergeCell ref="A9:A11"/>
    <mergeCell ref="B1:R1"/>
    <mergeCell ref="A12:A14"/>
    <mergeCell ref="A15:A17"/>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5D95E-4DC8-4223-A350-5D7FDE75058F}">
  <sheetPr codeName="Sheet7"/>
  <dimension ref="A1:N17"/>
  <sheetViews>
    <sheetView topLeftCell="C1" workbookViewId="0">
      <selection activeCell="E20" sqref="E20"/>
    </sheetView>
  </sheetViews>
  <sheetFormatPr defaultRowHeight="14.5"/>
  <cols>
    <col min="1" max="1" width="10.7265625" bestFit="1" customWidth="1"/>
    <col min="2" max="2" width="16.36328125" bestFit="1" customWidth="1"/>
    <col min="3" max="3" width="12" bestFit="1" customWidth="1"/>
    <col min="4" max="4" width="25.08984375" bestFit="1" customWidth="1"/>
    <col min="5" max="5" width="16.36328125" bestFit="1" customWidth="1"/>
    <col min="6" max="6" width="16.6328125" bestFit="1" customWidth="1"/>
    <col min="7" max="7" width="10.7265625" bestFit="1" customWidth="1"/>
    <col min="8" max="9" width="9" bestFit="1" customWidth="1"/>
    <col min="10" max="11" width="10.7265625" bestFit="1" customWidth="1"/>
    <col min="13" max="13" width="21.08984375" bestFit="1" customWidth="1"/>
    <col min="14" max="14" width="21.81640625" customWidth="1"/>
  </cols>
  <sheetData>
    <row r="1" spans="1:14">
      <c r="A1" s="22" t="s">
        <v>10</v>
      </c>
      <c r="B1" t="s">
        <v>2697</v>
      </c>
      <c r="C1" t="s">
        <v>2698</v>
      </c>
      <c r="D1" t="s">
        <v>2699</v>
      </c>
      <c r="F1" s="22" t="s">
        <v>4</v>
      </c>
      <c r="G1" t="s">
        <v>2699</v>
      </c>
      <c r="M1" s="29" t="s">
        <v>2712</v>
      </c>
      <c r="N1" s="29" t="s">
        <v>2713</v>
      </c>
    </row>
    <row r="2" spans="1:14">
      <c r="A2" t="s">
        <v>17</v>
      </c>
      <c r="B2" s="23">
        <v>890</v>
      </c>
      <c r="C2" s="24">
        <v>6.7</v>
      </c>
      <c r="D2" s="23">
        <v>34751400</v>
      </c>
      <c r="F2" t="s">
        <v>21</v>
      </c>
      <c r="G2" s="23">
        <v>15307100</v>
      </c>
      <c r="M2" t="s">
        <v>2714</v>
      </c>
      <c r="N2" s="26">
        <f>IFERROR(GETPIVOTDATA("Approved Amount",$A$1),0)</f>
        <v>34751400</v>
      </c>
    </row>
    <row r="3" spans="1:14">
      <c r="A3" t="s">
        <v>1916</v>
      </c>
      <c r="B3" s="23">
        <v>54</v>
      </c>
      <c r="C3" s="24" t="e">
        <v>#DIV/0!</v>
      </c>
      <c r="D3" s="23">
        <v>0</v>
      </c>
      <c r="F3" t="s">
        <v>43</v>
      </c>
      <c r="G3" s="23">
        <v>10631400</v>
      </c>
      <c r="M3" t="s">
        <v>2715</v>
      </c>
      <c r="N3" s="23">
        <f>IFERROR(GETPIVOTDATA("Deals",$A$1,"Status","Approved"),0)</f>
        <v>890</v>
      </c>
    </row>
    <row r="4" spans="1:14">
      <c r="A4" t="s">
        <v>45</v>
      </c>
      <c r="B4" s="23">
        <v>349</v>
      </c>
      <c r="C4" s="24">
        <v>9.4899713467048716</v>
      </c>
      <c r="D4" s="23">
        <v>0</v>
      </c>
      <c r="F4" t="s">
        <v>15</v>
      </c>
      <c r="G4" s="23">
        <v>5322100</v>
      </c>
      <c r="M4" t="s">
        <v>2716</v>
      </c>
      <c r="N4" s="27">
        <f>IFERROR(GETPIVOTDATA("Approval %",$G$8,"Status","Approved"),0)</f>
        <v>0.71832122679580301</v>
      </c>
    </row>
    <row r="5" spans="1:14">
      <c r="A5" t="s">
        <v>2700</v>
      </c>
      <c r="B5" s="23">
        <v>1293</v>
      </c>
      <c r="C5" s="24">
        <v>7.4858757062146895</v>
      </c>
      <c r="D5" s="23">
        <v>34751400</v>
      </c>
      <c r="F5" t="s">
        <v>30</v>
      </c>
      <c r="G5" s="23">
        <v>3490800</v>
      </c>
      <c r="M5" t="s">
        <v>2717</v>
      </c>
      <c r="N5" s="23">
        <f>IFERROR(N2/N3,0)</f>
        <v>39046.516853932582</v>
      </c>
    </row>
    <row r="6" spans="1:14">
      <c r="F6" t="s">
        <v>2700</v>
      </c>
      <c r="G6" s="23">
        <v>34751400</v>
      </c>
      <c r="M6" t="s">
        <v>2718</v>
      </c>
      <c r="N6" s="28">
        <f>IFERROR(GETPIVOTDATA("Average Days",$A$1),0)</f>
        <v>7.4858757062146895</v>
      </c>
    </row>
    <row r="7" spans="1:14">
      <c r="A7" s="22" t="s">
        <v>2115</v>
      </c>
      <c r="B7" t="s">
        <v>2699</v>
      </c>
      <c r="D7" s="22" t="s">
        <v>2701</v>
      </c>
      <c r="E7" t="s">
        <v>2699</v>
      </c>
    </row>
    <row r="8" spans="1:14">
      <c r="A8" t="s">
        <v>2121</v>
      </c>
      <c r="B8" s="23">
        <v>12355000</v>
      </c>
      <c r="D8" t="s">
        <v>2702</v>
      </c>
      <c r="E8" s="23">
        <v>3763400</v>
      </c>
      <c r="G8" s="22" t="s">
        <v>2711</v>
      </c>
      <c r="H8" s="22" t="s">
        <v>10</v>
      </c>
    </row>
    <row r="9" spans="1:14">
      <c r="A9" t="s">
        <v>2124</v>
      </c>
      <c r="B9" s="23">
        <v>17448800</v>
      </c>
      <c r="D9" t="s">
        <v>2703</v>
      </c>
      <c r="E9" s="23">
        <v>2617900</v>
      </c>
      <c r="G9" s="22" t="s">
        <v>5</v>
      </c>
      <c r="H9" t="s">
        <v>17</v>
      </c>
      <c r="I9" t="s">
        <v>45</v>
      </c>
      <c r="J9" t="s">
        <v>2700</v>
      </c>
    </row>
    <row r="10" spans="1:14">
      <c r="A10" t="s">
        <v>2190</v>
      </c>
      <c r="B10" s="23">
        <v>4947600</v>
      </c>
      <c r="D10" t="s">
        <v>2704</v>
      </c>
      <c r="E10" s="23">
        <v>5313100</v>
      </c>
      <c r="G10" t="s">
        <v>3</v>
      </c>
      <c r="H10" s="25">
        <v>0.74965229485396379</v>
      </c>
      <c r="I10" s="25">
        <v>0.25034770514603616</v>
      </c>
      <c r="J10" s="25">
        <v>1</v>
      </c>
    </row>
    <row r="11" spans="1:14">
      <c r="A11" t="s">
        <v>2700</v>
      </c>
      <c r="B11" s="23">
        <v>34751400</v>
      </c>
      <c r="D11" t="s">
        <v>2705</v>
      </c>
      <c r="E11" s="23">
        <v>4301000</v>
      </c>
      <c r="G11" t="s">
        <v>31</v>
      </c>
      <c r="H11" s="25">
        <v>0.6449704142011834</v>
      </c>
      <c r="I11" s="25">
        <v>0.35502958579881655</v>
      </c>
      <c r="J11" s="25">
        <v>1</v>
      </c>
    </row>
    <row r="12" spans="1:14">
      <c r="D12" t="s">
        <v>2706</v>
      </c>
      <c r="E12" s="23">
        <v>3871700</v>
      </c>
      <c r="G12" t="s">
        <v>55</v>
      </c>
      <c r="H12" s="25">
        <v>0.73076923076923073</v>
      </c>
      <c r="I12" s="25">
        <v>0.26923076923076922</v>
      </c>
      <c r="J12" s="25">
        <v>1</v>
      </c>
    </row>
    <row r="13" spans="1:14">
      <c r="D13" t="s">
        <v>2707</v>
      </c>
      <c r="E13" s="23">
        <v>3770000</v>
      </c>
      <c r="G13" t="s">
        <v>2700</v>
      </c>
      <c r="H13" s="25">
        <v>0.71832122679580301</v>
      </c>
      <c r="I13" s="25">
        <v>0.28167877320419693</v>
      </c>
      <c r="J13" s="25">
        <v>1</v>
      </c>
      <c r="L13" s="26"/>
    </row>
    <row r="14" spans="1:14">
      <c r="D14" t="s">
        <v>2708</v>
      </c>
      <c r="E14" s="23">
        <v>3863500</v>
      </c>
    </row>
    <row r="15" spans="1:14">
      <c r="D15" t="s">
        <v>2709</v>
      </c>
      <c r="E15" s="23">
        <v>4535100</v>
      </c>
    </row>
    <row r="16" spans="1:14">
      <c r="D16" t="s">
        <v>2710</v>
      </c>
      <c r="E16" s="23">
        <v>2715700</v>
      </c>
    </row>
    <row r="17" spans="4:5">
      <c r="D17" t="s">
        <v>2700</v>
      </c>
      <c r="E17" s="23">
        <v>34751400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E609F-D1FE-403E-973B-0935B9799170}">
  <sheetPr codeName="Sheet2"/>
  <dimension ref="A1:W1294"/>
  <sheetViews>
    <sheetView topLeftCell="K1" workbookViewId="0">
      <selection activeCell="R8" sqref="R8"/>
    </sheetView>
  </sheetViews>
  <sheetFormatPr defaultRowHeight="14.5"/>
  <cols>
    <col min="1" max="1" width="11.36328125" bestFit="1" customWidth="1"/>
    <col min="2" max="2" width="20" bestFit="1" customWidth="1"/>
    <col min="3" max="3" width="16.36328125" bestFit="1" customWidth="1"/>
    <col min="4" max="4" width="12.08984375" bestFit="1" customWidth="1"/>
    <col min="5" max="5" width="21.6328125" bestFit="1" customWidth="1"/>
    <col min="6" max="6" width="13" bestFit="1" customWidth="1"/>
    <col min="7" max="7" width="12.6328125" bestFit="1" customWidth="1"/>
    <col min="8" max="8" width="14.6328125" bestFit="1" customWidth="1"/>
    <col min="9" max="9" width="17.81640625" bestFit="1" customWidth="1"/>
    <col min="10" max="10" width="11.54296875" bestFit="1" customWidth="1"/>
    <col min="11" max="11" width="11.36328125" bestFit="1" customWidth="1"/>
    <col min="12" max="12" width="17.7265625" bestFit="1" customWidth="1"/>
    <col min="13" max="13" width="13.6328125" bestFit="1" customWidth="1"/>
    <col min="14" max="14" width="15" bestFit="1" customWidth="1"/>
    <col min="15" max="15" width="14.90625" customWidth="1"/>
    <col min="16" max="16" width="2" hidden="1" customWidth="1"/>
    <col min="17" max="17" width="20.6328125" bestFit="1" customWidth="1"/>
    <col min="18" max="18" width="16" bestFit="1" customWidth="1"/>
    <col min="19" max="19" width="21.90625" bestFit="1" customWidth="1"/>
    <col min="20" max="20" width="25.81640625" bestFit="1" customWidth="1"/>
    <col min="23" max="23" width="21.453125" bestFit="1" customWidth="1"/>
  </cols>
  <sheetData>
    <row r="1" spans="1:23">
      <c r="A1" s="1" t="s">
        <v>0</v>
      </c>
      <c r="B1" s="1" t="s">
        <v>1</v>
      </c>
      <c r="C1" s="1" t="s">
        <v>2</v>
      </c>
      <c r="D1" s="1" t="s">
        <v>3</v>
      </c>
      <c r="E1" s="1" t="s">
        <v>4</v>
      </c>
      <c r="F1" s="1" t="s">
        <v>5</v>
      </c>
      <c r="G1" s="1" t="s">
        <v>6</v>
      </c>
      <c r="H1" s="1" t="s">
        <v>7</v>
      </c>
      <c r="I1" s="1" t="s">
        <v>8</v>
      </c>
      <c r="J1" s="1" t="s">
        <v>9</v>
      </c>
      <c r="K1" s="1" t="s">
        <v>10</v>
      </c>
      <c r="L1" s="1" t="s">
        <v>11</v>
      </c>
      <c r="M1" s="20" t="s">
        <v>2115</v>
      </c>
      <c r="N1" s="20" t="s">
        <v>2114</v>
      </c>
      <c r="O1" s="20" t="s">
        <v>2692</v>
      </c>
      <c r="P1" s="20" t="s">
        <v>2691</v>
      </c>
      <c r="Q1" s="20" t="s">
        <v>2693</v>
      </c>
      <c r="R1" s="20" t="s">
        <v>2694</v>
      </c>
      <c r="S1" s="20" t="s">
        <v>2695</v>
      </c>
      <c r="T1" s="20" t="s">
        <v>2696</v>
      </c>
    </row>
    <row r="2" spans="1:23">
      <c r="A2" s="2" t="s">
        <v>12</v>
      </c>
      <c r="B2" s="3">
        <v>46023</v>
      </c>
      <c r="C2" s="2" t="s">
        <v>13</v>
      </c>
      <c r="D2" s="2" t="s">
        <v>14</v>
      </c>
      <c r="E2" s="2" t="s">
        <v>15</v>
      </c>
      <c r="F2" s="2" t="s">
        <v>3</v>
      </c>
      <c r="G2" s="4">
        <v>25000</v>
      </c>
      <c r="H2" s="5">
        <v>5.8299999999999998E-2</v>
      </c>
      <c r="I2" s="2">
        <v>12</v>
      </c>
      <c r="J2" s="2" t="s">
        <v>16</v>
      </c>
      <c r="K2" s="2" t="s">
        <v>17</v>
      </c>
      <c r="L2" s="3">
        <v>46030</v>
      </c>
      <c r="M2" s="2" t="str">
        <f>_xlfn.XLOOKUP(Deals[[#This Row],[CustomerID]],Customers!A:A,Customers!F:F)</f>
        <v>Affluent</v>
      </c>
      <c r="N2" s="2" t="str">
        <f>_xlfn.XLOOKUP(Deals[[#This Row],[CustomerID]],Customers!A:A,Customers!E:E)</f>
        <v>Kuwaiti</v>
      </c>
      <c r="O2" s="2">
        <f>2026-_xlfn.XLOOKUP(Deals[[#This Row],[CustomerID]],Customers!A:A,Customers!D:D)</f>
        <v>53</v>
      </c>
      <c r="P2" s="2" t="str" cm="1">
        <f t="array" ref="P2">_xlfn.IFS(Deals[[#This Row],[Age]]&lt;30,"Under 30",Deals[[#This Row],[Age]]&lt;45,"30-44",TRUE,"45+")</f>
        <v>45+</v>
      </c>
      <c r="Q2" s="21">
        <f>IF(Deals[[#This Row],[Status]]="Pending","",Deals[[#This Row],[DecisionDate]]-Deals[[#This Row],[ApplicationDate]])</f>
        <v>7</v>
      </c>
      <c r="R2" s="21">
        <f>IF(Deals[[#This Row],[Status]]="Approved",1,0)</f>
        <v>1</v>
      </c>
      <c r="S2" s="21">
        <f>IF(Deals[[#This Row],[IsApproved]]=1,Deals[[#This Row],[Amount]],0)</f>
        <v>25000</v>
      </c>
      <c r="T2" s="21">
        <f>Deals[[#This Row],[ApprovedAmount]]*Deals[[#This Row],[ProfitRate]]</f>
        <v>1457.5</v>
      </c>
    </row>
    <row r="3" spans="1:23">
      <c r="A3" s="2" t="s">
        <v>18</v>
      </c>
      <c r="B3" s="3">
        <v>46023</v>
      </c>
      <c r="C3" s="2" t="s">
        <v>19</v>
      </c>
      <c r="D3" s="2" t="s">
        <v>20</v>
      </c>
      <c r="E3" s="2" t="s">
        <v>21</v>
      </c>
      <c r="F3" s="2" t="s">
        <v>3</v>
      </c>
      <c r="G3" s="4">
        <v>122900</v>
      </c>
      <c r="H3" s="5">
        <v>3.7499999999999999E-2</v>
      </c>
      <c r="I3" s="2">
        <v>120</v>
      </c>
      <c r="J3" s="2" t="s">
        <v>22</v>
      </c>
      <c r="K3" s="2" t="s">
        <v>17</v>
      </c>
      <c r="L3" s="3">
        <v>46036</v>
      </c>
      <c r="M3" s="2" t="str">
        <f>_xlfn.XLOOKUP(Deals[[#This Row],[CustomerID]],Customers!A:A,Customers!F:F)</f>
        <v>Mass</v>
      </c>
      <c r="N3" s="2" t="str">
        <f>_xlfn.XLOOKUP(Deals[[#This Row],[CustomerID]],Customers!A:A,Customers!E:E)</f>
        <v>Kuwaiti</v>
      </c>
      <c r="O3" s="2">
        <f>2026-_xlfn.XLOOKUP(Deals[[#This Row],[CustomerID]],Customers!A:A,Customers!D:D)</f>
        <v>23</v>
      </c>
      <c r="P3" s="2" t="str" cm="1">
        <f t="array" ref="P3">_xlfn.IFS(Deals[[#This Row],[Age]]&lt;30,"Under 30",Deals[[#This Row],[Age]]&lt;45,"30-44",TRUE,"45+")</f>
        <v>Under 30</v>
      </c>
      <c r="Q3" s="21">
        <f>IF(Deals[[#This Row],[Status]]="Pending","",Deals[[#This Row],[DecisionDate]]-Deals[[#This Row],[ApplicationDate]])</f>
        <v>13</v>
      </c>
      <c r="R3" s="21">
        <f>IF(Deals[[#This Row],[Status]]="Approved",1,0)</f>
        <v>1</v>
      </c>
      <c r="S3" s="21">
        <f>IF(Deals[[#This Row],[IsApproved]]=1,Deals[[#This Row],[Amount]],0)</f>
        <v>122900</v>
      </c>
      <c r="T3" s="21">
        <f>Deals[[#This Row],[ApprovedAmount]]*Deals[[#This Row],[ProfitRate]]</f>
        <v>4608.75</v>
      </c>
    </row>
    <row r="4" spans="1:23">
      <c r="A4" s="2" t="s">
        <v>23</v>
      </c>
      <c r="B4" s="3">
        <v>46023</v>
      </c>
      <c r="C4" s="2" t="s">
        <v>24</v>
      </c>
      <c r="D4" s="2" t="s">
        <v>25</v>
      </c>
      <c r="E4" s="2" t="s">
        <v>15</v>
      </c>
      <c r="F4" s="2" t="s">
        <v>3</v>
      </c>
      <c r="G4" s="4">
        <v>23200</v>
      </c>
      <c r="H4" s="5">
        <v>6.8199999999999997E-2</v>
      </c>
      <c r="I4" s="2">
        <v>12</v>
      </c>
      <c r="J4" s="2" t="s">
        <v>26</v>
      </c>
      <c r="K4" s="2" t="s">
        <v>17</v>
      </c>
      <c r="L4" s="3">
        <v>46030</v>
      </c>
      <c r="M4" s="2" t="str">
        <f>_xlfn.XLOOKUP(Deals[[#This Row],[CustomerID]],Customers!A:A,Customers!F:F)</f>
        <v>Affluent</v>
      </c>
      <c r="N4" s="2" t="str">
        <f>_xlfn.XLOOKUP(Deals[[#This Row],[CustomerID]],Customers!A:A,Customers!E:E)</f>
        <v>Kuwaiti</v>
      </c>
      <c r="O4" s="2">
        <f>2026-_xlfn.XLOOKUP(Deals[[#This Row],[CustomerID]],Customers!A:A,Customers!D:D)</f>
        <v>25</v>
      </c>
      <c r="P4" s="2" t="str" cm="1">
        <f t="array" ref="P4">_xlfn.IFS(Deals[[#This Row],[Age]]&lt;30,"Under 30",Deals[[#This Row],[Age]]&lt;45,"30-44",TRUE,"45+")</f>
        <v>Under 30</v>
      </c>
      <c r="Q4" s="21">
        <f>IF(Deals[[#This Row],[Status]]="Pending","",Deals[[#This Row],[DecisionDate]]-Deals[[#This Row],[ApplicationDate]])</f>
        <v>7</v>
      </c>
      <c r="R4" s="21">
        <f>IF(Deals[[#This Row],[Status]]="Approved",1,0)</f>
        <v>1</v>
      </c>
      <c r="S4" s="21">
        <f>IF(Deals[[#This Row],[IsApproved]]=1,Deals[[#This Row],[Amount]],0)</f>
        <v>23200</v>
      </c>
      <c r="T4" s="21">
        <f>Deals[[#This Row],[ApprovedAmount]]*Deals[[#This Row],[ProfitRate]]</f>
        <v>1582.24</v>
      </c>
      <c r="W4" t="s">
        <v>2689</v>
      </c>
    </row>
    <row r="5" spans="1:23">
      <c r="A5" s="2" t="s">
        <v>27</v>
      </c>
      <c r="B5" s="3">
        <v>46023</v>
      </c>
      <c r="C5" s="2" t="s">
        <v>28</v>
      </c>
      <c r="D5" s="2" t="s">
        <v>29</v>
      </c>
      <c r="E5" s="2" t="s">
        <v>30</v>
      </c>
      <c r="F5" s="2" t="s">
        <v>31</v>
      </c>
      <c r="G5" s="4">
        <v>11600</v>
      </c>
      <c r="H5" s="5">
        <v>4.41E-2</v>
      </c>
      <c r="I5" s="2">
        <v>48</v>
      </c>
      <c r="J5" s="2" t="s">
        <v>32</v>
      </c>
      <c r="K5" s="2" t="s">
        <v>17</v>
      </c>
      <c r="L5" s="3">
        <v>46025</v>
      </c>
      <c r="M5" s="2" t="str">
        <f>_xlfn.XLOOKUP(Deals[[#This Row],[CustomerID]],Customers!A:A,Customers!F:F)</f>
        <v>Affluent</v>
      </c>
      <c r="N5" s="2" t="str">
        <f>_xlfn.XLOOKUP(Deals[[#This Row],[CustomerID]],Customers!A:A,Customers!E:E)</f>
        <v>Kuwaiti</v>
      </c>
      <c r="O5" s="2">
        <f>2026-_xlfn.XLOOKUP(Deals[[#This Row],[CustomerID]],Customers!A:A,Customers!D:D)</f>
        <v>41</v>
      </c>
      <c r="P5" s="2" t="str" cm="1">
        <f t="array" ref="P5">_xlfn.IFS(Deals[[#This Row],[Age]]&lt;30,"Under 30",Deals[[#This Row],[Age]]&lt;45,"30-44",TRUE,"45+")</f>
        <v>30-44</v>
      </c>
      <c r="Q5" s="21">
        <f>IF(Deals[[#This Row],[Status]]="Pending","",Deals[[#This Row],[DecisionDate]]-Deals[[#This Row],[ApplicationDate]])</f>
        <v>2</v>
      </c>
      <c r="R5" s="21">
        <f>IF(Deals[[#This Row],[Status]]="Approved",1,0)</f>
        <v>1</v>
      </c>
      <c r="S5" s="21">
        <f>IF(Deals[[#This Row],[IsApproved]]=1,Deals[[#This Row],[Amount]],0)</f>
        <v>11600</v>
      </c>
      <c r="T5" s="21">
        <f>Deals[[#This Row],[ApprovedAmount]]*Deals[[#This Row],[ProfitRate]]</f>
        <v>511.56</v>
      </c>
      <c r="W5" t="s">
        <v>2690</v>
      </c>
    </row>
    <row r="6" spans="1:23">
      <c r="A6" s="2" t="s">
        <v>33</v>
      </c>
      <c r="B6" s="3">
        <v>46023</v>
      </c>
      <c r="C6" s="2" t="s">
        <v>34</v>
      </c>
      <c r="D6" s="2" t="s">
        <v>25</v>
      </c>
      <c r="E6" s="2" t="s">
        <v>15</v>
      </c>
      <c r="F6" s="2" t="s">
        <v>31</v>
      </c>
      <c r="G6" s="4">
        <v>24300</v>
      </c>
      <c r="H6" s="5">
        <v>6.25E-2</v>
      </c>
      <c r="I6" s="2">
        <v>60</v>
      </c>
      <c r="J6" s="2" t="s">
        <v>26</v>
      </c>
      <c r="K6" s="2" t="s">
        <v>17</v>
      </c>
      <c r="L6" s="3">
        <v>46028</v>
      </c>
      <c r="M6" s="2" t="str">
        <f>_xlfn.XLOOKUP(Deals[[#This Row],[CustomerID]],Customers!A:A,Customers!F:F)</f>
        <v>Mass</v>
      </c>
      <c r="N6" s="2" t="str">
        <f>_xlfn.XLOOKUP(Deals[[#This Row],[CustomerID]],Customers!A:A,Customers!E:E)</f>
        <v>Kuwaiti</v>
      </c>
      <c r="O6" s="2">
        <f>2026-_xlfn.XLOOKUP(Deals[[#This Row],[CustomerID]],Customers!A:A,Customers!D:D)</f>
        <v>25</v>
      </c>
      <c r="P6" s="2" t="str" cm="1">
        <f t="array" ref="P6">_xlfn.IFS(Deals[[#This Row],[Age]]&lt;30,"Under 30",Deals[[#This Row],[Age]]&lt;45,"30-44",TRUE,"45+")</f>
        <v>Under 30</v>
      </c>
      <c r="Q6" s="21">
        <f>IF(Deals[[#This Row],[Status]]="Pending","",Deals[[#This Row],[DecisionDate]]-Deals[[#This Row],[ApplicationDate]])</f>
        <v>5</v>
      </c>
      <c r="R6" s="21">
        <f>IF(Deals[[#This Row],[Status]]="Approved",1,0)</f>
        <v>1</v>
      </c>
      <c r="S6" s="21">
        <f>IF(Deals[[#This Row],[IsApproved]]=1,Deals[[#This Row],[Amount]],0)</f>
        <v>24300</v>
      </c>
      <c r="T6" s="21">
        <f>Deals[[#This Row],[ApprovedAmount]]*Deals[[#This Row],[ProfitRate]]</f>
        <v>1518.75</v>
      </c>
    </row>
    <row r="7" spans="1:23">
      <c r="A7" s="2" t="s">
        <v>35</v>
      </c>
      <c r="B7" s="3">
        <v>46023</v>
      </c>
      <c r="C7" s="2" t="s">
        <v>36</v>
      </c>
      <c r="D7" s="2" t="s">
        <v>20</v>
      </c>
      <c r="E7" s="2" t="s">
        <v>15</v>
      </c>
      <c r="F7" s="2" t="s">
        <v>3</v>
      </c>
      <c r="G7" s="4">
        <v>10600</v>
      </c>
      <c r="H7" s="5">
        <v>0.06</v>
      </c>
      <c r="I7" s="2">
        <v>36</v>
      </c>
      <c r="J7" s="2" t="s">
        <v>37</v>
      </c>
      <c r="K7" s="2" t="s">
        <v>17</v>
      </c>
      <c r="L7" s="3">
        <v>46025</v>
      </c>
      <c r="M7" s="2" t="str">
        <f>_xlfn.XLOOKUP(Deals[[#This Row],[CustomerID]],Customers!A:A,Customers!F:F)</f>
        <v>Mass</v>
      </c>
      <c r="N7" s="2" t="str">
        <f>_xlfn.XLOOKUP(Deals[[#This Row],[CustomerID]],Customers!A:A,Customers!E:E)</f>
        <v>Kuwaiti</v>
      </c>
      <c r="O7" s="2">
        <f>2026-_xlfn.XLOOKUP(Deals[[#This Row],[CustomerID]],Customers!A:A,Customers!D:D)</f>
        <v>31</v>
      </c>
      <c r="P7" s="2" t="str" cm="1">
        <f t="array" ref="P7">_xlfn.IFS(Deals[[#This Row],[Age]]&lt;30,"Under 30",Deals[[#This Row],[Age]]&lt;45,"30-44",TRUE,"45+")</f>
        <v>30-44</v>
      </c>
      <c r="Q7" s="21">
        <f>IF(Deals[[#This Row],[Status]]="Pending","",Deals[[#This Row],[DecisionDate]]-Deals[[#This Row],[ApplicationDate]])</f>
        <v>2</v>
      </c>
      <c r="R7" s="21">
        <f>IF(Deals[[#This Row],[Status]]="Approved",1,0)</f>
        <v>1</v>
      </c>
      <c r="S7" s="21">
        <f>IF(Deals[[#This Row],[IsApproved]]=1,Deals[[#This Row],[Amount]],0)</f>
        <v>10600</v>
      </c>
      <c r="T7" s="21">
        <f>Deals[[#This Row],[ApprovedAmount]]*Deals[[#This Row],[ProfitRate]]</f>
        <v>636</v>
      </c>
    </row>
    <row r="8" spans="1:23">
      <c r="A8" s="2" t="s">
        <v>38</v>
      </c>
      <c r="B8" s="3">
        <v>46024</v>
      </c>
      <c r="C8" s="2" t="s">
        <v>39</v>
      </c>
      <c r="D8" s="2" t="s">
        <v>14</v>
      </c>
      <c r="E8" s="2" t="s">
        <v>15</v>
      </c>
      <c r="F8" s="2" t="s">
        <v>3</v>
      </c>
      <c r="G8" s="4">
        <v>20300</v>
      </c>
      <c r="H8" s="5">
        <v>6.3799999999999996E-2</v>
      </c>
      <c r="I8" s="2">
        <v>12</v>
      </c>
      <c r="J8" s="2" t="s">
        <v>40</v>
      </c>
      <c r="K8" s="2" t="s">
        <v>17</v>
      </c>
      <c r="L8" s="3">
        <v>46025</v>
      </c>
      <c r="M8" s="2" t="str">
        <f>_xlfn.XLOOKUP(Deals[[#This Row],[CustomerID]],Customers!A:A,Customers!F:F)</f>
        <v>Mass</v>
      </c>
      <c r="N8" s="2" t="str">
        <f>_xlfn.XLOOKUP(Deals[[#This Row],[CustomerID]],Customers!A:A,Customers!E:E)</f>
        <v>Kuwaiti</v>
      </c>
      <c r="O8" s="2">
        <f>2026-_xlfn.XLOOKUP(Deals[[#This Row],[CustomerID]],Customers!A:A,Customers!D:D)</f>
        <v>26</v>
      </c>
      <c r="P8" s="2" t="str" cm="1">
        <f t="array" ref="P8">_xlfn.IFS(Deals[[#This Row],[Age]]&lt;30,"Under 30",Deals[[#This Row],[Age]]&lt;45,"30-44",TRUE,"45+")</f>
        <v>Under 30</v>
      </c>
      <c r="Q8" s="21">
        <f>IF(Deals[[#This Row],[Status]]="Pending","",Deals[[#This Row],[DecisionDate]]-Deals[[#This Row],[ApplicationDate]])</f>
        <v>1</v>
      </c>
      <c r="R8" s="21">
        <f>IF(Deals[[#This Row],[Status]]="Approved",1,0)</f>
        <v>1</v>
      </c>
      <c r="S8" s="21">
        <f>IF(Deals[[#This Row],[IsApproved]]=1,Deals[[#This Row],[Amount]],0)</f>
        <v>20300</v>
      </c>
      <c r="T8" s="21">
        <f>Deals[[#This Row],[ApprovedAmount]]*Deals[[#This Row],[ProfitRate]]</f>
        <v>1295.1399999999999</v>
      </c>
    </row>
    <row r="9" spans="1:23">
      <c r="A9" s="2" t="s">
        <v>41</v>
      </c>
      <c r="B9" s="3">
        <v>46024</v>
      </c>
      <c r="C9" s="2" t="s">
        <v>42</v>
      </c>
      <c r="D9" s="2" t="s">
        <v>20</v>
      </c>
      <c r="E9" s="2" t="s">
        <v>43</v>
      </c>
      <c r="F9" s="2" t="s">
        <v>3</v>
      </c>
      <c r="G9" s="4">
        <v>55100</v>
      </c>
      <c r="H9" s="5">
        <v>7.5999999999999998E-2</v>
      </c>
      <c r="I9" s="2">
        <v>84</v>
      </c>
      <c r="J9" s="2" t="s">
        <v>44</v>
      </c>
      <c r="K9" s="2" t="s">
        <v>45</v>
      </c>
      <c r="L9" s="3">
        <v>46041</v>
      </c>
      <c r="M9" s="2" t="str">
        <f>_xlfn.XLOOKUP(Deals[[#This Row],[CustomerID]],Customers!A:A,Customers!F:F)</f>
        <v>Affluent</v>
      </c>
      <c r="N9" s="2" t="str">
        <f>_xlfn.XLOOKUP(Deals[[#This Row],[CustomerID]],Customers!A:A,Customers!E:E)</f>
        <v>Kuwaiti</v>
      </c>
      <c r="O9" s="2">
        <f>2026-_xlfn.XLOOKUP(Deals[[#This Row],[CustomerID]],Customers!A:A,Customers!D:D)</f>
        <v>50</v>
      </c>
      <c r="P9" s="2" t="str" cm="1">
        <f t="array" ref="P9">_xlfn.IFS(Deals[[#This Row],[Age]]&lt;30,"Under 30",Deals[[#This Row],[Age]]&lt;45,"30-44",TRUE,"45+")</f>
        <v>45+</v>
      </c>
      <c r="Q9" s="21">
        <f>IF(Deals[[#This Row],[Status]]="Pending","",Deals[[#This Row],[DecisionDate]]-Deals[[#This Row],[ApplicationDate]])</f>
        <v>17</v>
      </c>
      <c r="R9" s="21">
        <f>IF(Deals[[#This Row],[Status]]="Approved",1,0)</f>
        <v>0</v>
      </c>
      <c r="S9" s="21">
        <f>IF(Deals[[#This Row],[IsApproved]]=1,Deals[[#This Row],[Amount]],0)</f>
        <v>0</v>
      </c>
      <c r="T9" s="21">
        <f>Deals[[#This Row],[ApprovedAmount]]*Deals[[#This Row],[ProfitRate]]</f>
        <v>0</v>
      </c>
    </row>
    <row r="10" spans="1:23">
      <c r="A10" s="2" t="s">
        <v>46</v>
      </c>
      <c r="B10" s="3">
        <v>46024</v>
      </c>
      <c r="C10" s="2" t="s">
        <v>47</v>
      </c>
      <c r="D10" s="2" t="s">
        <v>14</v>
      </c>
      <c r="E10" s="2" t="s">
        <v>15</v>
      </c>
      <c r="F10" s="2" t="s">
        <v>3</v>
      </c>
      <c r="G10" s="4">
        <v>2000</v>
      </c>
      <c r="H10" s="5">
        <v>5.5199999999999999E-2</v>
      </c>
      <c r="I10" s="2">
        <v>24</v>
      </c>
      <c r="J10" s="2" t="s">
        <v>48</v>
      </c>
      <c r="K10" s="2" t="s">
        <v>17</v>
      </c>
      <c r="L10" s="3">
        <v>46031</v>
      </c>
      <c r="M10" s="2" t="str">
        <f>_xlfn.XLOOKUP(Deals[[#This Row],[CustomerID]],Customers!A:A,Customers!F:F)</f>
        <v>Mass</v>
      </c>
      <c r="N10" s="2" t="str">
        <f>_xlfn.XLOOKUP(Deals[[#This Row],[CustomerID]],Customers!A:A,Customers!E:E)</f>
        <v>Kuwaiti</v>
      </c>
      <c r="O10" s="2">
        <f>2026-_xlfn.XLOOKUP(Deals[[#This Row],[CustomerID]],Customers!A:A,Customers!D:D)</f>
        <v>50</v>
      </c>
      <c r="P10" s="2" t="str" cm="1">
        <f t="array" ref="P10">_xlfn.IFS(Deals[[#This Row],[Age]]&lt;30,"Under 30",Deals[[#This Row],[Age]]&lt;45,"30-44",TRUE,"45+")</f>
        <v>45+</v>
      </c>
      <c r="Q10" s="21">
        <f>IF(Deals[[#This Row],[Status]]="Pending","",Deals[[#This Row],[DecisionDate]]-Deals[[#This Row],[ApplicationDate]])</f>
        <v>7</v>
      </c>
      <c r="R10" s="21">
        <f>IF(Deals[[#This Row],[Status]]="Approved",1,0)</f>
        <v>1</v>
      </c>
      <c r="S10" s="21">
        <f>IF(Deals[[#This Row],[IsApproved]]=1,Deals[[#This Row],[Amount]],0)</f>
        <v>2000</v>
      </c>
      <c r="T10" s="21">
        <f>Deals[[#This Row],[ApprovedAmount]]*Deals[[#This Row],[ProfitRate]]</f>
        <v>110.39999999999999</v>
      </c>
    </row>
    <row r="11" spans="1:23">
      <c r="A11" s="2" t="s">
        <v>49</v>
      </c>
      <c r="B11" s="3">
        <v>46024</v>
      </c>
      <c r="C11" s="2" t="s">
        <v>50</v>
      </c>
      <c r="D11" s="2" t="s">
        <v>20</v>
      </c>
      <c r="E11" s="2" t="s">
        <v>30</v>
      </c>
      <c r="F11" s="2" t="s">
        <v>31</v>
      </c>
      <c r="G11" s="4">
        <v>10600</v>
      </c>
      <c r="H11" s="5">
        <v>4.7199999999999999E-2</v>
      </c>
      <c r="I11" s="2">
        <v>36</v>
      </c>
      <c r="J11" s="2" t="s">
        <v>37</v>
      </c>
      <c r="K11" s="2" t="s">
        <v>17</v>
      </c>
      <c r="L11" s="3">
        <v>46028</v>
      </c>
      <c r="M11" s="2" t="str">
        <f>_xlfn.XLOOKUP(Deals[[#This Row],[CustomerID]],Customers!A:A,Customers!F:F)</f>
        <v>Affluent</v>
      </c>
      <c r="N11" s="2" t="str">
        <f>_xlfn.XLOOKUP(Deals[[#This Row],[CustomerID]],Customers!A:A,Customers!E:E)</f>
        <v>Kuwaiti</v>
      </c>
      <c r="O11" s="2">
        <f>2026-_xlfn.XLOOKUP(Deals[[#This Row],[CustomerID]],Customers!A:A,Customers!D:D)</f>
        <v>45</v>
      </c>
      <c r="P11" s="2" t="str" cm="1">
        <f t="array" ref="P11">_xlfn.IFS(Deals[[#This Row],[Age]]&lt;30,"Under 30",Deals[[#This Row],[Age]]&lt;45,"30-44",TRUE,"45+")</f>
        <v>45+</v>
      </c>
      <c r="Q11" s="21">
        <f>IF(Deals[[#This Row],[Status]]="Pending","",Deals[[#This Row],[DecisionDate]]-Deals[[#This Row],[ApplicationDate]])</f>
        <v>4</v>
      </c>
      <c r="R11" s="21">
        <f>IF(Deals[[#This Row],[Status]]="Approved",1,0)</f>
        <v>1</v>
      </c>
      <c r="S11" s="21">
        <f>IF(Deals[[#This Row],[IsApproved]]=1,Deals[[#This Row],[Amount]],0)</f>
        <v>10600</v>
      </c>
      <c r="T11" s="21">
        <f>Deals[[#This Row],[ApprovedAmount]]*Deals[[#This Row],[ProfitRate]]</f>
        <v>500.32</v>
      </c>
    </row>
    <row r="12" spans="1:23">
      <c r="A12" s="2" t="s">
        <v>52</v>
      </c>
      <c r="B12" s="3">
        <v>46025</v>
      </c>
      <c r="C12" s="2" t="s">
        <v>53</v>
      </c>
      <c r="D12" s="2" t="s">
        <v>54</v>
      </c>
      <c r="E12" s="2" t="s">
        <v>30</v>
      </c>
      <c r="F12" s="2" t="s">
        <v>55</v>
      </c>
      <c r="G12" s="4">
        <v>9600</v>
      </c>
      <c r="H12" s="5">
        <v>4.2000000000000003E-2</v>
      </c>
      <c r="I12" s="2">
        <v>36</v>
      </c>
      <c r="J12" s="2" t="s">
        <v>56</v>
      </c>
      <c r="K12" s="2" t="s">
        <v>17</v>
      </c>
      <c r="L12" s="3">
        <v>46029</v>
      </c>
      <c r="M12" s="2" t="str">
        <f>_xlfn.XLOOKUP(Deals[[#This Row],[CustomerID]],Customers!A:A,Customers!F:F)</f>
        <v>Premium</v>
      </c>
      <c r="N12" s="2" t="str">
        <f>_xlfn.XLOOKUP(Deals[[#This Row],[CustomerID]],Customers!A:A,Customers!E:E)</f>
        <v>Kuwaiti</v>
      </c>
      <c r="O12" s="2">
        <f>2026-_xlfn.XLOOKUP(Deals[[#This Row],[CustomerID]],Customers!A:A,Customers!D:D)</f>
        <v>23</v>
      </c>
      <c r="P12" s="2" t="str" cm="1">
        <f t="array" ref="P12">_xlfn.IFS(Deals[[#This Row],[Age]]&lt;30,"Under 30",Deals[[#This Row],[Age]]&lt;45,"30-44",TRUE,"45+")</f>
        <v>Under 30</v>
      </c>
      <c r="Q12" s="21">
        <f>IF(Deals[[#This Row],[Status]]="Pending","",Deals[[#This Row],[DecisionDate]]-Deals[[#This Row],[ApplicationDate]])</f>
        <v>4</v>
      </c>
      <c r="R12" s="21">
        <f>IF(Deals[[#This Row],[Status]]="Approved",1,0)</f>
        <v>1</v>
      </c>
      <c r="S12" s="21">
        <f>IF(Deals[[#This Row],[IsApproved]]=1,Deals[[#This Row],[Amount]],0)</f>
        <v>9600</v>
      </c>
      <c r="T12" s="21">
        <f>Deals[[#This Row],[ApprovedAmount]]*Deals[[#This Row],[ProfitRate]]</f>
        <v>403.20000000000005</v>
      </c>
    </row>
    <row r="13" spans="1:23">
      <c r="A13" s="2" t="s">
        <v>57</v>
      </c>
      <c r="B13" s="3">
        <v>46025</v>
      </c>
      <c r="C13" s="2" t="s">
        <v>58</v>
      </c>
      <c r="D13" s="2" t="s">
        <v>20</v>
      </c>
      <c r="E13" s="2" t="s">
        <v>15</v>
      </c>
      <c r="F13" s="2" t="s">
        <v>3</v>
      </c>
      <c r="G13" s="4">
        <v>12700</v>
      </c>
      <c r="H13" s="5">
        <v>5.4600000000000003E-2</v>
      </c>
      <c r="I13" s="2">
        <v>24</v>
      </c>
      <c r="J13" s="2" t="s">
        <v>22</v>
      </c>
      <c r="K13" s="2" t="s">
        <v>17</v>
      </c>
      <c r="L13" s="3">
        <v>46031</v>
      </c>
      <c r="M13" s="2" t="str">
        <f>_xlfn.XLOOKUP(Deals[[#This Row],[CustomerID]],Customers!A:A,Customers!F:F)</f>
        <v>Affluent</v>
      </c>
      <c r="N13" s="2" t="str">
        <f>_xlfn.XLOOKUP(Deals[[#This Row],[CustomerID]],Customers!A:A,Customers!E:E)</f>
        <v>Kuwaiti</v>
      </c>
      <c r="O13" s="2">
        <f>2026-_xlfn.XLOOKUP(Deals[[#This Row],[CustomerID]],Customers!A:A,Customers!D:D)</f>
        <v>64</v>
      </c>
      <c r="P13" s="2" t="str" cm="1">
        <f t="array" ref="P13">_xlfn.IFS(Deals[[#This Row],[Age]]&lt;30,"Under 30",Deals[[#This Row],[Age]]&lt;45,"30-44",TRUE,"45+")</f>
        <v>45+</v>
      </c>
      <c r="Q13" s="21">
        <f>IF(Deals[[#This Row],[Status]]="Pending","",Deals[[#This Row],[DecisionDate]]-Deals[[#This Row],[ApplicationDate]])</f>
        <v>6</v>
      </c>
      <c r="R13" s="21">
        <f>IF(Deals[[#This Row],[Status]]="Approved",1,0)</f>
        <v>1</v>
      </c>
      <c r="S13" s="21">
        <f>IF(Deals[[#This Row],[IsApproved]]=1,Deals[[#This Row],[Amount]],0)</f>
        <v>12700</v>
      </c>
      <c r="T13" s="21">
        <f>Deals[[#This Row],[ApprovedAmount]]*Deals[[#This Row],[ProfitRate]]</f>
        <v>693.42000000000007</v>
      </c>
    </row>
    <row r="14" spans="1:23">
      <c r="A14" s="2" t="s">
        <v>59</v>
      </c>
      <c r="B14" s="3">
        <v>46025</v>
      </c>
      <c r="C14" s="2" t="s">
        <v>60</v>
      </c>
      <c r="D14" s="2" t="s">
        <v>29</v>
      </c>
      <c r="E14" s="2" t="s">
        <v>15</v>
      </c>
      <c r="F14" s="2" t="s">
        <v>3</v>
      </c>
      <c r="G14" s="4">
        <v>12300</v>
      </c>
      <c r="H14" s="5">
        <v>6.1800000000000001E-2</v>
      </c>
      <c r="I14" s="2">
        <v>60</v>
      </c>
      <c r="J14" s="2" t="s">
        <v>61</v>
      </c>
      <c r="K14" s="2" t="s">
        <v>17</v>
      </c>
      <c r="L14" s="3">
        <v>46027</v>
      </c>
      <c r="M14" s="2" t="str">
        <f>_xlfn.XLOOKUP(Deals[[#This Row],[CustomerID]],Customers!A:A,Customers!F:F)</f>
        <v>Mass</v>
      </c>
      <c r="N14" s="2" t="str">
        <f>_xlfn.XLOOKUP(Deals[[#This Row],[CustomerID]],Customers!A:A,Customers!E:E)</f>
        <v>Non-Kuwaiti</v>
      </c>
      <c r="O14" s="2">
        <f>2026-_xlfn.XLOOKUP(Deals[[#This Row],[CustomerID]],Customers!A:A,Customers!D:D)</f>
        <v>43</v>
      </c>
      <c r="P14" s="2" t="str" cm="1">
        <f t="array" ref="P14">_xlfn.IFS(Deals[[#This Row],[Age]]&lt;30,"Under 30",Deals[[#This Row],[Age]]&lt;45,"30-44",TRUE,"45+")</f>
        <v>30-44</v>
      </c>
      <c r="Q14" s="21">
        <f>IF(Deals[[#This Row],[Status]]="Pending","",Deals[[#This Row],[DecisionDate]]-Deals[[#This Row],[ApplicationDate]])</f>
        <v>2</v>
      </c>
      <c r="R14" s="21">
        <f>IF(Deals[[#This Row],[Status]]="Approved",1,0)</f>
        <v>1</v>
      </c>
      <c r="S14" s="21">
        <f>IF(Deals[[#This Row],[IsApproved]]=1,Deals[[#This Row],[Amount]],0)</f>
        <v>12300</v>
      </c>
      <c r="T14" s="21">
        <f>Deals[[#This Row],[ApprovedAmount]]*Deals[[#This Row],[ProfitRate]]</f>
        <v>760.14</v>
      </c>
    </row>
    <row r="15" spans="1:23">
      <c r="A15" s="2" t="s">
        <v>62</v>
      </c>
      <c r="B15" s="3">
        <v>46026</v>
      </c>
      <c r="C15" s="2" t="s">
        <v>63</v>
      </c>
      <c r="D15" s="2" t="s">
        <v>20</v>
      </c>
      <c r="E15" s="2" t="s">
        <v>43</v>
      </c>
      <c r="F15" s="2" t="s">
        <v>31</v>
      </c>
      <c r="G15" s="4">
        <v>110700</v>
      </c>
      <c r="H15" s="5">
        <v>7.9200000000000007E-2</v>
      </c>
      <c r="I15" s="2">
        <v>84</v>
      </c>
      <c r="J15" s="2" t="s">
        <v>22</v>
      </c>
      <c r="K15" s="2" t="s">
        <v>45</v>
      </c>
      <c r="L15" s="3">
        <v>46041</v>
      </c>
      <c r="M15" s="2" t="str">
        <f>_xlfn.XLOOKUP(Deals[[#This Row],[CustomerID]],Customers!A:A,Customers!F:F)</f>
        <v>Mass</v>
      </c>
      <c r="N15" s="2" t="str">
        <f>_xlfn.XLOOKUP(Deals[[#This Row],[CustomerID]],Customers!A:A,Customers!E:E)</f>
        <v>Kuwaiti</v>
      </c>
      <c r="O15" s="2">
        <f>2026-_xlfn.XLOOKUP(Deals[[#This Row],[CustomerID]],Customers!A:A,Customers!D:D)</f>
        <v>35</v>
      </c>
      <c r="P15" s="2" t="str" cm="1">
        <f t="array" ref="P15">_xlfn.IFS(Deals[[#This Row],[Age]]&lt;30,"Under 30",Deals[[#This Row],[Age]]&lt;45,"30-44",TRUE,"45+")</f>
        <v>30-44</v>
      </c>
      <c r="Q15" s="21">
        <f>IF(Deals[[#This Row],[Status]]="Pending","",Deals[[#This Row],[DecisionDate]]-Deals[[#This Row],[ApplicationDate]])</f>
        <v>15</v>
      </c>
      <c r="R15" s="21">
        <f>IF(Deals[[#This Row],[Status]]="Approved",1,0)</f>
        <v>0</v>
      </c>
      <c r="S15" s="21">
        <f>IF(Deals[[#This Row],[IsApproved]]=1,Deals[[#This Row],[Amount]],0)</f>
        <v>0</v>
      </c>
      <c r="T15" s="21">
        <f>Deals[[#This Row],[ApprovedAmount]]*Deals[[#This Row],[ProfitRate]]</f>
        <v>0</v>
      </c>
    </row>
    <row r="16" spans="1:23">
      <c r="A16" s="2" t="s">
        <v>64</v>
      </c>
      <c r="B16" s="3">
        <v>46026</v>
      </c>
      <c r="C16" s="2" t="s">
        <v>65</v>
      </c>
      <c r="D16" s="2" t="s">
        <v>25</v>
      </c>
      <c r="E16" s="2" t="s">
        <v>30</v>
      </c>
      <c r="F16" s="2" t="s">
        <v>3</v>
      </c>
      <c r="G16" s="4">
        <v>7400</v>
      </c>
      <c r="H16" s="5">
        <v>3.85E-2</v>
      </c>
      <c r="I16" s="2">
        <v>60</v>
      </c>
      <c r="J16" s="2" t="s">
        <v>66</v>
      </c>
      <c r="K16" s="2" t="s">
        <v>45</v>
      </c>
      <c r="L16" s="3">
        <v>46030</v>
      </c>
      <c r="M16" s="2" t="str">
        <f>_xlfn.XLOOKUP(Deals[[#This Row],[CustomerID]],Customers!A:A,Customers!F:F)</f>
        <v>Mass</v>
      </c>
      <c r="N16" s="2" t="str">
        <f>_xlfn.XLOOKUP(Deals[[#This Row],[CustomerID]],Customers!A:A,Customers!E:E)</f>
        <v>Non-Kuwaiti</v>
      </c>
      <c r="O16" s="2">
        <f>2026-_xlfn.XLOOKUP(Deals[[#This Row],[CustomerID]],Customers!A:A,Customers!D:D)</f>
        <v>25</v>
      </c>
      <c r="P16" s="2" t="str" cm="1">
        <f t="array" ref="P16">_xlfn.IFS(Deals[[#This Row],[Age]]&lt;30,"Under 30",Deals[[#This Row],[Age]]&lt;45,"30-44",TRUE,"45+")</f>
        <v>Under 30</v>
      </c>
      <c r="Q16" s="21">
        <f>IF(Deals[[#This Row],[Status]]="Pending","",Deals[[#This Row],[DecisionDate]]-Deals[[#This Row],[ApplicationDate]])</f>
        <v>4</v>
      </c>
      <c r="R16" s="21">
        <f>IF(Deals[[#This Row],[Status]]="Approved",1,0)</f>
        <v>0</v>
      </c>
      <c r="S16" s="21">
        <f>IF(Deals[[#This Row],[IsApproved]]=1,Deals[[#This Row],[Amount]],0)</f>
        <v>0</v>
      </c>
      <c r="T16" s="21">
        <f>Deals[[#This Row],[ApprovedAmount]]*Deals[[#This Row],[ProfitRate]]</f>
        <v>0</v>
      </c>
    </row>
    <row r="17" spans="1:20">
      <c r="A17" s="2" t="s">
        <v>67</v>
      </c>
      <c r="B17" s="3">
        <v>46026</v>
      </c>
      <c r="C17" s="2" t="s">
        <v>68</v>
      </c>
      <c r="D17" s="2" t="s">
        <v>20</v>
      </c>
      <c r="E17" s="2" t="s">
        <v>15</v>
      </c>
      <c r="F17" s="2" t="s">
        <v>3</v>
      </c>
      <c r="G17" s="4">
        <v>12300</v>
      </c>
      <c r="H17" s="5">
        <v>5.6099999999999997E-2</v>
      </c>
      <c r="I17" s="2">
        <v>12</v>
      </c>
      <c r="J17" s="2" t="s">
        <v>44</v>
      </c>
      <c r="K17" s="2" t="s">
        <v>17</v>
      </c>
      <c r="L17" s="3">
        <v>46033</v>
      </c>
      <c r="M17" s="2" t="str">
        <f>_xlfn.XLOOKUP(Deals[[#This Row],[CustomerID]],Customers!A:A,Customers!F:F)</f>
        <v>Mass</v>
      </c>
      <c r="N17" s="2" t="str">
        <f>_xlfn.XLOOKUP(Deals[[#This Row],[CustomerID]],Customers!A:A,Customers!E:E)</f>
        <v>Non-Kuwaiti</v>
      </c>
      <c r="O17" s="2">
        <f>2026-_xlfn.XLOOKUP(Deals[[#This Row],[CustomerID]],Customers!A:A,Customers!D:D)</f>
        <v>33</v>
      </c>
      <c r="P17" s="2" t="str" cm="1">
        <f t="array" ref="P17">_xlfn.IFS(Deals[[#This Row],[Age]]&lt;30,"Under 30",Deals[[#This Row],[Age]]&lt;45,"30-44",TRUE,"45+")</f>
        <v>30-44</v>
      </c>
      <c r="Q17" s="21">
        <f>IF(Deals[[#This Row],[Status]]="Pending","",Deals[[#This Row],[DecisionDate]]-Deals[[#This Row],[ApplicationDate]])</f>
        <v>7</v>
      </c>
      <c r="R17" s="21">
        <f>IF(Deals[[#This Row],[Status]]="Approved",1,0)</f>
        <v>1</v>
      </c>
      <c r="S17" s="21">
        <f>IF(Deals[[#This Row],[IsApproved]]=1,Deals[[#This Row],[Amount]],0)</f>
        <v>12300</v>
      </c>
      <c r="T17" s="21">
        <f>Deals[[#This Row],[ApprovedAmount]]*Deals[[#This Row],[ProfitRate]]</f>
        <v>690.03</v>
      </c>
    </row>
    <row r="18" spans="1:20">
      <c r="A18" s="2" t="s">
        <v>69</v>
      </c>
      <c r="B18" s="3">
        <v>46026</v>
      </c>
      <c r="C18" s="2" t="s">
        <v>70</v>
      </c>
      <c r="D18" s="2" t="s">
        <v>71</v>
      </c>
      <c r="E18" s="2" t="s">
        <v>15</v>
      </c>
      <c r="F18" s="2" t="s">
        <v>31</v>
      </c>
      <c r="G18" s="4">
        <v>3000</v>
      </c>
      <c r="H18" s="5">
        <v>6.3899999999999998E-2</v>
      </c>
      <c r="I18" s="2">
        <v>24</v>
      </c>
      <c r="J18" s="2" t="s">
        <v>72</v>
      </c>
      <c r="K18" s="2" t="s">
        <v>17</v>
      </c>
      <c r="L18" s="3">
        <v>46029</v>
      </c>
      <c r="M18" s="2" t="str">
        <f>_xlfn.XLOOKUP(Deals[[#This Row],[CustomerID]],Customers!A:A,Customers!F:F)</f>
        <v>Mass</v>
      </c>
      <c r="N18" s="2" t="str">
        <f>_xlfn.XLOOKUP(Deals[[#This Row],[CustomerID]],Customers!A:A,Customers!E:E)</f>
        <v>Kuwaiti</v>
      </c>
      <c r="O18" s="2">
        <f>2026-_xlfn.XLOOKUP(Deals[[#This Row],[CustomerID]],Customers!A:A,Customers!D:D)</f>
        <v>49</v>
      </c>
      <c r="P18" s="2" t="str" cm="1">
        <f t="array" ref="P18">_xlfn.IFS(Deals[[#This Row],[Age]]&lt;30,"Under 30",Deals[[#This Row],[Age]]&lt;45,"30-44",TRUE,"45+")</f>
        <v>45+</v>
      </c>
      <c r="Q18" s="21">
        <f>IF(Deals[[#This Row],[Status]]="Pending","",Deals[[#This Row],[DecisionDate]]-Deals[[#This Row],[ApplicationDate]])</f>
        <v>3</v>
      </c>
      <c r="R18" s="21">
        <f>IF(Deals[[#This Row],[Status]]="Approved",1,0)</f>
        <v>1</v>
      </c>
      <c r="S18" s="21">
        <f>IF(Deals[[#This Row],[IsApproved]]=1,Deals[[#This Row],[Amount]],0)</f>
        <v>3000</v>
      </c>
      <c r="T18" s="21">
        <f>Deals[[#This Row],[ApprovedAmount]]*Deals[[#This Row],[ProfitRate]]</f>
        <v>191.7</v>
      </c>
    </row>
    <row r="19" spans="1:20">
      <c r="A19" s="2" t="s">
        <v>73</v>
      </c>
      <c r="B19" s="3">
        <v>46026</v>
      </c>
      <c r="C19" s="2" t="s">
        <v>74</v>
      </c>
      <c r="D19" s="2" t="s">
        <v>25</v>
      </c>
      <c r="E19" s="2" t="s">
        <v>43</v>
      </c>
      <c r="F19" s="2" t="s">
        <v>3</v>
      </c>
      <c r="G19" s="4">
        <v>148100</v>
      </c>
      <c r="H19" s="5">
        <v>7.5600000000000001E-2</v>
      </c>
      <c r="I19" s="2">
        <v>24</v>
      </c>
      <c r="J19" s="2" t="s">
        <v>66</v>
      </c>
      <c r="K19" s="2" t="s">
        <v>45</v>
      </c>
      <c r="L19" s="3">
        <v>46043</v>
      </c>
      <c r="M19" s="2" t="str">
        <f>_xlfn.XLOOKUP(Deals[[#This Row],[CustomerID]],Customers!A:A,Customers!F:F)</f>
        <v>Mass</v>
      </c>
      <c r="N19" s="2" t="str">
        <f>_xlfn.XLOOKUP(Deals[[#This Row],[CustomerID]],Customers!A:A,Customers!E:E)</f>
        <v>Non-Kuwaiti</v>
      </c>
      <c r="O19" s="2">
        <f>2026-_xlfn.XLOOKUP(Deals[[#This Row],[CustomerID]],Customers!A:A,Customers!D:D)</f>
        <v>37</v>
      </c>
      <c r="P19" s="2" t="str" cm="1">
        <f t="array" ref="P19">_xlfn.IFS(Deals[[#This Row],[Age]]&lt;30,"Under 30",Deals[[#This Row],[Age]]&lt;45,"30-44",TRUE,"45+")</f>
        <v>30-44</v>
      </c>
      <c r="Q19" s="21">
        <f>IF(Deals[[#This Row],[Status]]="Pending","",Deals[[#This Row],[DecisionDate]]-Deals[[#This Row],[ApplicationDate]])</f>
        <v>17</v>
      </c>
      <c r="R19" s="21">
        <f>IF(Deals[[#This Row],[Status]]="Approved",1,0)</f>
        <v>0</v>
      </c>
      <c r="S19" s="21">
        <f>IF(Deals[[#This Row],[IsApproved]]=1,Deals[[#This Row],[Amount]],0)</f>
        <v>0</v>
      </c>
      <c r="T19" s="21">
        <f>Deals[[#This Row],[ApprovedAmount]]*Deals[[#This Row],[ProfitRate]]</f>
        <v>0</v>
      </c>
    </row>
    <row r="20" spans="1:20">
      <c r="A20" s="2" t="s">
        <v>75</v>
      </c>
      <c r="B20" s="3">
        <v>46027</v>
      </c>
      <c r="C20" s="2" t="s">
        <v>76</v>
      </c>
      <c r="D20" s="2" t="s">
        <v>71</v>
      </c>
      <c r="E20" s="2" t="s">
        <v>43</v>
      </c>
      <c r="F20" s="2" t="s">
        <v>3</v>
      </c>
      <c r="G20" s="4">
        <v>77100</v>
      </c>
      <c r="H20" s="5">
        <v>7.7200000000000005E-2</v>
      </c>
      <c r="I20" s="2">
        <v>84</v>
      </c>
      <c r="J20" s="2" t="s">
        <v>72</v>
      </c>
      <c r="K20" s="2" t="s">
        <v>45</v>
      </c>
      <c r="L20" s="3">
        <v>46036</v>
      </c>
      <c r="M20" s="2" t="str">
        <f>_xlfn.XLOOKUP(Deals[[#This Row],[CustomerID]],Customers!A:A,Customers!F:F)</f>
        <v>Mass</v>
      </c>
      <c r="N20" s="2" t="str">
        <f>_xlfn.XLOOKUP(Deals[[#This Row],[CustomerID]],Customers!A:A,Customers!E:E)</f>
        <v>Kuwaiti</v>
      </c>
      <c r="O20" s="2">
        <f>2026-_xlfn.XLOOKUP(Deals[[#This Row],[CustomerID]],Customers!A:A,Customers!D:D)</f>
        <v>53</v>
      </c>
      <c r="P20" s="2" t="str" cm="1">
        <f t="array" ref="P20">_xlfn.IFS(Deals[[#This Row],[Age]]&lt;30,"Under 30",Deals[[#This Row],[Age]]&lt;45,"30-44",TRUE,"45+")</f>
        <v>45+</v>
      </c>
      <c r="Q20" s="21">
        <f>IF(Deals[[#This Row],[Status]]="Pending","",Deals[[#This Row],[DecisionDate]]-Deals[[#This Row],[ApplicationDate]])</f>
        <v>9</v>
      </c>
      <c r="R20" s="21">
        <f>IF(Deals[[#This Row],[Status]]="Approved",1,0)</f>
        <v>0</v>
      </c>
      <c r="S20" s="21">
        <f>IF(Deals[[#This Row],[IsApproved]]=1,Deals[[#This Row],[Amount]],0)</f>
        <v>0</v>
      </c>
      <c r="T20" s="21">
        <f>Deals[[#This Row],[ApprovedAmount]]*Deals[[#This Row],[ProfitRate]]</f>
        <v>0</v>
      </c>
    </row>
    <row r="21" spans="1:20">
      <c r="A21" s="2" t="s">
        <v>77</v>
      </c>
      <c r="B21" s="3">
        <v>46027</v>
      </c>
      <c r="C21" s="2" t="s">
        <v>78</v>
      </c>
      <c r="D21" s="2" t="s">
        <v>29</v>
      </c>
      <c r="E21" s="2" t="s">
        <v>43</v>
      </c>
      <c r="F21" s="2" t="s">
        <v>3</v>
      </c>
      <c r="G21" s="4">
        <v>38400</v>
      </c>
      <c r="H21" s="5">
        <v>6.3100000000000003E-2</v>
      </c>
      <c r="I21" s="2">
        <v>24</v>
      </c>
      <c r="J21" s="2" t="s">
        <v>61</v>
      </c>
      <c r="K21" s="2" t="s">
        <v>17</v>
      </c>
      <c r="L21" s="3">
        <v>46035</v>
      </c>
      <c r="M21" s="2" t="str">
        <f>_xlfn.XLOOKUP(Deals[[#This Row],[CustomerID]],Customers!A:A,Customers!F:F)</f>
        <v>Mass</v>
      </c>
      <c r="N21" s="2" t="str">
        <f>_xlfn.XLOOKUP(Deals[[#This Row],[CustomerID]],Customers!A:A,Customers!E:E)</f>
        <v>Kuwaiti</v>
      </c>
      <c r="O21" s="2">
        <f>2026-_xlfn.XLOOKUP(Deals[[#This Row],[CustomerID]],Customers!A:A,Customers!D:D)</f>
        <v>34</v>
      </c>
      <c r="P21" s="2" t="str" cm="1">
        <f t="array" ref="P21">_xlfn.IFS(Deals[[#This Row],[Age]]&lt;30,"Under 30",Deals[[#This Row],[Age]]&lt;45,"30-44",TRUE,"45+")</f>
        <v>30-44</v>
      </c>
      <c r="Q21" s="21">
        <f>IF(Deals[[#This Row],[Status]]="Pending","",Deals[[#This Row],[DecisionDate]]-Deals[[#This Row],[ApplicationDate]])</f>
        <v>8</v>
      </c>
      <c r="R21" s="21">
        <f>IF(Deals[[#This Row],[Status]]="Approved",1,0)</f>
        <v>1</v>
      </c>
      <c r="S21" s="21">
        <f>IF(Deals[[#This Row],[IsApproved]]=1,Deals[[#This Row],[Amount]],0)</f>
        <v>38400</v>
      </c>
      <c r="T21" s="21">
        <f>Deals[[#This Row],[ApprovedAmount]]*Deals[[#This Row],[ProfitRate]]</f>
        <v>2423.04</v>
      </c>
    </row>
    <row r="22" spans="1:20">
      <c r="A22" s="2" t="s">
        <v>79</v>
      </c>
      <c r="B22" s="3">
        <v>46027</v>
      </c>
      <c r="C22" s="2" t="s">
        <v>80</v>
      </c>
      <c r="D22" s="2" t="s">
        <v>20</v>
      </c>
      <c r="E22" s="2" t="s">
        <v>43</v>
      </c>
      <c r="F22" s="2" t="s">
        <v>3</v>
      </c>
      <c r="G22" s="4">
        <v>55100</v>
      </c>
      <c r="H22" s="5">
        <v>7.7100000000000002E-2</v>
      </c>
      <c r="I22" s="2">
        <v>60</v>
      </c>
      <c r="J22" s="2" t="s">
        <v>44</v>
      </c>
      <c r="K22" s="2" t="s">
        <v>45</v>
      </c>
      <c r="L22" s="3">
        <v>46038</v>
      </c>
      <c r="M22" s="2" t="str">
        <f>_xlfn.XLOOKUP(Deals[[#This Row],[CustomerID]],Customers!A:A,Customers!F:F)</f>
        <v>Mass</v>
      </c>
      <c r="N22" s="2" t="str">
        <f>_xlfn.XLOOKUP(Deals[[#This Row],[CustomerID]],Customers!A:A,Customers!E:E)</f>
        <v>Non-Kuwaiti</v>
      </c>
      <c r="O22" s="2">
        <f>2026-_xlfn.XLOOKUP(Deals[[#This Row],[CustomerID]],Customers!A:A,Customers!D:D)</f>
        <v>47</v>
      </c>
      <c r="P22" s="2" t="str" cm="1">
        <f t="array" ref="P22">_xlfn.IFS(Deals[[#This Row],[Age]]&lt;30,"Under 30",Deals[[#This Row],[Age]]&lt;45,"30-44",TRUE,"45+")</f>
        <v>45+</v>
      </c>
      <c r="Q22" s="21">
        <f>IF(Deals[[#This Row],[Status]]="Pending","",Deals[[#This Row],[DecisionDate]]-Deals[[#This Row],[ApplicationDate]])</f>
        <v>11</v>
      </c>
      <c r="R22" s="21">
        <f>IF(Deals[[#This Row],[Status]]="Approved",1,0)</f>
        <v>0</v>
      </c>
      <c r="S22" s="21">
        <f>IF(Deals[[#This Row],[IsApproved]]=1,Deals[[#This Row],[Amount]],0)</f>
        <v>0</v>
      </c>
      <c r="T22" s="21">
        <f>Deals[[#This Row],[ApprovedAmount]]*Deals[[#This Row],[ProfitRate]]</f>
        <v>0</v>
      </c>
    </row>
    <row r="23" spans="1:20">
      <c r="A23" s="2" t="s">
        <v>83</v>
      </c>
      <c r="B23" s="3">
        <v>46027</v>
      </c>
      <c r="C23" s="2" t="s">
        <v>84</v>
      </c>
      <c r="D23" s="2" t="s">
        <v>20</v>
      </c>
      <c r="E23" s="2" t="s">
        <v>43</v>
      </c>
      <c r="F23" s="2" t="s">
        <v>3</v>
      </c>
      <c r="G23" s="4">
        <v>62100</v>
      </c>
      <c r="H23" s="5">
        <v>5.6500000000000002E-2</v>
      </c>
      <c r="I23" s="2">
        <v>36</v>
      </c>
      <c r="J23" s="2" t="s">
        <v>44</v>
      </c>
      <c r="K23" s="2" t="s">
        <v>45</v>
      </c>
      <c r="L23" s="3">
        <v>46047</v>
      </c>
      <c r="M23" s="2" t="str">
        <f>_xlfn.XLOOKUP(Deals[[#This Row],[CustomerID]],Customers!A:A,Customers!F:F)</f>
        <v>Mass</v>
      </c>
      <c r="N23" s="2" t="str">
        <f>_xlfn.XLOOKUP(Deals[[#This Row],[CustomerID]],Customers!A:A,Customers!E:E)</f>
        <v>Non-Kuwaiti</v>
      </c>
      <c r="O23" s="2">
        <f>2026-_xlfn.XLOOKUP(Deals[[#This Row],[CustomerID]],Customers!A:A,Customers!D:D)</f>
        <v>23</v>
      </c>
      <c r="P23" s="2" t="str" cm="1">
        <f t="array" ref="P23">_xlfn.IFS(Deals[[#This Row],[Age]]&lt;30,"Under 30",Deals[[#This Row],[Age]]&lt;45,"30-44",TRUE,"45+")</f>
        <v>Under 30</v>
      </c>
      <c r="Q23" s="21">
        <f>IF(Deals[[#This Row],[Status]]="Pending","",Deals[[#This Row],[DecisionDate]]-Deals[[#This Row],[ApplicationDate]])</f>
        <v>20</v>
      </c>
      <c r="R23" s="21">
        <f>IF(Deals[[#This Row],[Status]]="Approved",1,0)</f>
        <v>0</v>
      </c>
      <c r="S23" s="21">
        <f>IF(Deals[[#This Row],[IsApproved]]=1,Deals[[#This Row],[Amount]],0)</f>
        <v>0</v>
      </c>
      <c r="T23" s="21">
        <f>Deals[[#This Row],[ApprovedAmount]]*Deals[[#This Row],[ProfitRate]]</f>
        <v>0</v>
      </c>
    </row>
    <row r="24" spans="1:20">
      <c r="A24" s="2" t="s">
        <v>85</v>
      </c>
      <c r="B24" s="3">
        <v>46028</v>
      </c>
      <c r="C24" s="2" t="s">
        <v>86</v>
      </c>
      <c r="D24" s="2" t="s">
        <v>20</v>
      </c>
      <c r="E24" s="2" t="s">
        <v>15</v>
      </c>
      <c r="F24" s="2" t="s">
        <v>3</v>
      </c>
      <c r="G24" s="4">
        <v>8900</v>
      </c>
      <c r="H24" s="5">
        <v>5.5500000000000001E-2</v>
      </c>
      <c r="I24" s="2">
        <v>12</v>
      </c>
      <c r="J24" s="2" t="s">
        <v>22</v>
      </c>
      <c r="K24" s="2" t="s">
        <v>17</v>
      </c>
      <c r="L24" s="3">
        <v>46029</v>
      </c>
      <c r="M24" s="2" t="str">
        <f>_xlfn.XLOOKUP(Deals[[#This Row],[CustomerID]],Customers!A:A,Customers!F:F)</f>
        <v>Mass</v>
      </c>
      <c r="N24" s="2" t="str">
        <f>_xlfn.XLOOKUP(Deals[[#This Row],[CustomerID]],Customers!A:A,Customers!E:E)</f>
        <v>Kuwaiti</v>
      </c>
      <c r="O24" s="2">
        <f>2026-_xlfn.XLOOKUP(Deals[[#This Row],[CustomerID]],Customers!A:A,Customers!D:D)</f>
        <v>43</v>
      </c>
      <c r="P24" s="2" t="str" cm="1">
        <f t="array" ref="P24">_xlfn.IFS(Deals[[#This Row],[Age]]&lt;30,"Under 30",Deals[[#This Row],[Age]]&lt;45,"30-44",TRUE,"45+")</f>
        <v>30-44</v>
      </c>
      <c r="Q24" s="21">
        <f>IF(Deals[[#This Row],[Status]]="Pending","",Deals[[#This Row],[DecisionDate]]-Deals[[#This Row],[ApplicationDate]])</f>
        <v>1</v>
      </c>
      <c r="R24" s="21">
        <f>IF(Deals[[#This Row],[Status]]="Approved",1,0)</f>
        <v>1</v>
      </c>
      <c r="S24" s="21">
        <f>IF(Deals[[#This Row],[IsApproved]]=1,Deals[[#This Row],[Amount]],0)</f>
        <v>8900</v>
      </c>
      <c r="T24" s="21">
        <f>Deals[[#This Row],[ApprovedAmount]]*Deals[[#This Row],[ProfitRate]]</f>
        <v>493.95</v>
      </c>
    </row>
    <row r="25" spans="1:20">
      <c r="A25" s="2" t="s">
        <v>88</v>
      </c>
      <c r="B25" s="3">
        <v>46028</v>
      </c>
      <c r="C25" s="2" t="s">
        <v>89</v>
      </c>
      <c r="D25" s="2" t="s">
        <v>20</v>
      </c>
      <c r="E25" s="2" t="s">
        <v>30</v>
      </c>
      <c r="F25" s="2" t="s">
        <v>3</v>
      </c>
      <c r="G25" s="4">
        <v>13400</v>
      </c>
      <c r="H25" s="5">
        <v>3.5299999999999998E-2</v>
      </c>
      <c r="I25" s="2">
        <v>48</v>
      </c>
      <c r="J25" s="2" t="s">
        <v>37</v>
      </c>
      <c r="K25" s="2" t="s">
        <v>45</v>
      </c>
      <c r="L25" s="3">
        <v>46030</v>
      </c>
      <c r="M25" s="2" t="str">
        <f>_xlfn.XLOOKUP(Deals[[#This Row],[CustomerID]],Customers!A:A,Customers!F:F)</f>
        <v>Affluent</v>
      </c>
      <c r="N25" s="2" t="str">
        <f>_xlfn.XLOOKUP(Deals[[#This Row],[CustomerID]],Customers!A:A,Customers!E:E)</f>
        <v>Kuwaiti</v>
      </c>
      <c r="O25" s="2">
        <f>2026-_xlfn.XLOOKUP(Deals[[#This Row],[CustomerID]],Customers!A:A,Customers!D:D)</f>
        <v>33</v>
      </c>
      <c r="P25" s="2" t="str" cm="1">
        <f t="array" ref="P25">_xlfn.IFS(Deals[[#This Row],[Age]]&lt;30,"Under 30",Deals[[#This Row],[Age]]&lt;45,"30-44",TRUE,"45+")</f>
        <v>30-44</v>
      </c>
      <c r="Q25" s="21">
        <f>IF(Deals[[#This Row],[Status]]="Pending","",Deals[[#This Row],[DecisionDate]]-Deals[[#This Row],[ApplicationDate]])</f>
        <v>2</v>
      </c>
      <c r="R25" s="21">
        <f>IF(Deals[[#This Row],[Status]]="Approved",1,0)</f>
        <v>0</v>
      </c>
      <c r="S25" s="21">
        <f>IF(Deals[[#This Row],[IsApproved]]=1,Deals[[#This Row],[Amount]],0)</f>
        <v>0</v>
      </c>
      <c r="T25" s="21">
        <f>Deals[[#This Row],[ApprovedAmount]]*Deals[[#This Row],[ProfitRate]]</f>
        <v>0</v>
      </c>
    </row>
    <row r="26" spans="1:20">
      <c r="A26" s="2" t="s">
        <v>90</v>
      </c>
      <c r="B26" s="3">
        <v>46028</v>
      </c>
      <c r="C26" s="2" t="s">
        <v>91</v>
      </c>
      <c r="D26" s="2" t="s">
        <v>54</v>
      </c>
      <c r="E26" s="2" t="s">
        <v>21</v>
      </c>
      <c r="F26" s="2" t="s">
        <v>55</v>
      </c>
      <c r="G26" s="4">
        <v>199400</v>
      </c>
      <c r="H26" s="5">
        <v>3.2000000000000001E-2</v>
      </c>
      <c r="I26" s="2">
        <v>120</v>
      </c>
      <c r="J26" s="2" t="s">
        <v>56</v>
      </c>
      <c r="K26" s="2" t="s">
        <v>45</v>
      </c>
      <c r="L26" s="3">
        <v>46050</v>
      </c>
      <c r="M26" s="2" t="str">
        <f>_xlfn.XLOOKUP(Deals[[#This Row],[CustomerID]],Customers!A:A,Customers!F:F)</f>
        <v>Mass</v>
      </c>
      <c r="N26" s="2" t="str">
        <f>_xlfn.XLOOKUP(Deals[[#This Row],[CustomerID]],Customers!A:A,Customers!E:E)</f>
        <v>Non-Kuwaiti</v>
      </c>
      <c r="O26" s="2">
        <f>2026-_xlfn.XLOOKUP(Deals[[#This Row],[CustomerID]],Customers!A:A,Customers!D:D)</f>
        <v>70</v>
      </c>
      <c r="P26" s="2" t="str" cm="1">
        <f t="array" ref="P26">_xlfn.IFS(Deals[[#This Row],[Age]]&lt;30,"Under 30",Deals[[#This Row],[Age]]&lt;45,"30-44",TRUE,"45+")</f>
        <v>45+</v>
      </c>
      <c r="Q26" s="21">
        <f>IF(Deals[[#This Row],[Status]]="Pending","",Deals[[#This Row],[DecisionDate]]-Deals[[#This Row],[ApplicationDate]])</f>
        <v>22</v>
      </c>
      <c r="R26" s="21">
        <f>IF(Deals[[#This Row],[Status]]="Approved",1,0)</f>
        <v>0</v>
      </c>
      <c r="S26" s="21">
        <f>IF(Deals[[#This Row],[IsApproved]]=1,Deals[[#This Row],[Amount]],0)</f>
        <v>0</v>
      </c>
      <c r="T26" s="21">
        <f>Deals[[#This Row],[ApprovedAmount]]*Deals[[#This Row],[ProfitRate]]</f>
        <v>0</v>
      </c>
    </row>
    <row r="27" spans="1:20">
      <c r="A27" s="2" t="s">
        <v>92</v>
      </c>
      <c r="B27" s="3">
        <v>46029</v>
      </c>
      <c r="C27" s="2" t="s">
        <v>93</v>
      </c>
      <c r="D27" s="2" t="s">
        <v>71</v>
      </c>
      <c r="E27" s="2" t="s">
        <v>30</v>
      </c>
      <c r="F27" s="2" t="s">
        <v>3</v>
      </c>
      <c r="G27" s="4">
        <v>8800</v>
      </c>
      <c r="H27" s="5">
        <v>4.1500000000000002E-2</v>
      </c>
      <c r="I27" s="2">
        <v>60</v>
      </c>
      <c r="J27" s="2" t="s">
        <v>94</v>
      </c>
      <c r="K27" s="2" t="s">
        <v>17</v>
      </c>
      <c r="L27" s="3">
        <v>46032</v>
      </c>
      <c r="M27" s="2" t="str">
        <f>_xlfn.XLOOKUP(Deals[[#This Row],[CustomerID]],Customers!A:A,Customers!F:F)</f>
        <v>Affluent</v>
      </c>
      <c r="N27" s="2" t="str">
        <f>_xlfn.XLOOKUP(Deals[[#This Row],[CustomerID]],Customers!A:A,Customers!E:E)</f>
        <v>Kuwaiti</v>
      </c>
      <c r="O27" s="2">
        <f>2026-_xlfn.XLOOKUP(Deals[[#This Row],[CustomerID]],Customers!A:A,Customers!D:D)</f>
        <v>33</v>
      </c>
      <c r="P27" s="2" t="str" cm="1">
        <f t="array" ref="P27">_xlfn.IFS(Deals[[#This Row],[Age]]&lt;30,"Under 30",Deals[[#This Row],[Age]]&lt;45,"30-44",TRUE,"45+")</f>
        <v>30-44</v>
      </c>
      <c r="Q27" s="21">
        <f>IF(Deals[[#This Row],[Status]]="Pending","",Deals[[#This Row],[DecisionDate]]-Deals[[#This Row],[ApplicationDate]])</f>
        <v>3</v>
      </c>
      <c r="R27" s="21">
        <f>IF(Deals[[#This Row],[Status]]="Approved",1,0)</f>
        <v>1</v>
      </c>
      <c r="S27" s="21">
        <f>IF(Deals[[#This Row],[IsApproved]]=1,Deals[[#This Row],[Amount]],0)</f>
        <v>8800</v>
      </c>
      <c r="T27" s="21">
        <f>Deals[[#This Row],[ApprovedAmount]]*Deals[[#This Row],[ProfitRate]]</f>
        <v>365.20000000000005</v>
      </c>
    </row>
    <row r="28" spans="1:20">
      <c r="A28" s="2" t="s">
        <v>95</v>
      </c>
      <c r="B28" s="3">
        <v>46029</v>
      </c>
      <c r="C28" s="2" t="s">
        <v>96</v>
      </c>
      <c r="D28" s="2" t="s">
        <v>14</v>
      </c>
      <c r="E28" s="2" t="s">
        <v>15</v>
      </c>
      <c r="F28" s="2" t="s">
        <v>3</v>
      </c>
      <c r="G28" s="4">
        <v>16600</v>
      </c>
      <c r="H28" s="5">
        <v>6.5199999999999994E-2</v>
      </c>
      <c r="I28" s="2">
        <v>48</v>
      </c>
      <c r="J28" s="2" t="s">
        <v>16</v>
      </c>
      <c r="K28" s="2" t="s">
        <v>17</v>
      </c>
      <c r="L28" s="3">
        <v>46033</v>
      </c>
      <c r="M28" s="2" t="str">
        <f>_xlfn.XLOOKUP(Deals[[#This Row],[CustomerID]],Customers!A:A,Customers!F:F)</f>
        <v>Premium</v>
      </c>
      <c r="N28" s="2" t="str">
        <f>_xlfn.XLOOKUP(Deals[[#This Row],[CustomerID]],Customers!A:A,Customers!E:E)</f>
        <v>Kuwaiti</v>
      </c>
      <c r="O28" s="2">
        <f>2026-_xlfn.XLOOKUP(Deals[[#This Row],[CustomerID]],Customers!A:A,Customers!D:D)</f>
        <v>41</v>
      </c>
      <c r="P28" s="2" t="str" cm="1">
        <f t="array" ref="P28">_xlfn.IFS(Deals[[#This Row],[Age]]&lt;30,"Under 30",Deals[[#This Row],[Age]]&lt;45,"30-44",TRUE,"45+")</f>
        <v>30-44</v>
      </c>
      <c r="Q28" s="21">
        <f>IF(Deals[[#This Row],[Status]]="Pending","",Deals[[#This Row],[DecisionDate]]-Deals[[#This Row],[ApplicationDate]])</f>
        <v>4</v>
      </c>
      <c r="R28" s="21">
        <f>IF(Deals[[#This Row],[Status]]="Approved",1,0)</f>
        <v>1</v>
      </c>
      <c r="S28" s="21">
        <f>IF(Deals[[#This Row],[IsApproved]]=1,Deals[[#This Row],[Amount]],0)</f>
        <v>16600</v>
      </c>
      <c r="T28" s="21">
        <f>Deals[[#This Row],[ApprovedAmount]]*Deals[[#This Row],[ProfitRate]]</f>
        <v>1082.32</v>
      </c>
    </row>
    <row r="29" spans="1:20">
      <c r="A29" s="2" t="s">
        <v>97</v>
      </c>
      <c r="B29" s="3">
        <v>46030</v>
      </c>
      <c r="C29" s="2" t="s">
        <v>98</v>
      </c>
      <c r="D29" s="2" t="s">
        <v>29</v>
      </c>
      <c r="E29" s="2" t="s">
        <v>21</v>
      </c>
      <c r="F29" s="2" t="s">
        <v>55</v>
      </c>
      <c r="G29" s="4">
        <v>215000</v>
      </c>
      <c r="H29" s="5">
        <v>4.3200000000000002E-2</v>
      </c>
      <c r="I29" s="2">
        <v>300</v>
      </c>
      <c r="J29" s="2" t="s">
        <v>32</v>
      </c>
      <c r="K29" s="2" t="s">
        <v>17</v>
      </c>
      <c r="L29" s="3">
        <v>46054</v>
      </c>
      <c r="M29" s="2" t="str">
        <f>_xlfn.XLOOKUP(Deals[[#This Row],[CustomerID]],Customers!A:A,Customers!F:F)</f>
        <v>Mass</v>
      </c>
      <c r="N29" s="2" t="str">
        <f>_xlfn.XLOOKUP(Deals[[#This Row],[CustomerID]],Customers!A:A,Customers!E:E)</f>
        <v>Kuwaiti</v>
      </c>
      <c r="O29" s="2">
        <f>2026-_xlfn.XLOOKUP(Deals[[#This Row],[CustomerID]],Customers!A:A,Customers!D:D)</f>
        <v>48</v>
      </c>
      <c r="P29" s="2" t="str" cm="1">
        <f t="array" ref="P29">_xlfn.IFS(Deals[[#This Row],[Age]]&lt;30,"Under 30",Deals[[#This Row],[Age]]&lt;45,"30-44",TRUE,"45+")</f>
        <v>45+</v>
      </c>
      <c r="Q29" s="21">
        <f>IF(Deals[[#This Row],[Status]]="Pending","",Deals[[#This Row],[DecisionDate]]-Deals[[#This Row],[ApplicationDate]])</f>
        <v>24</v>
      </c>
      <c r="R29" s="21">
        <f>IF(Deals[[#This Row],[Status]]="Approved",1,0)</f>
        <v>1</v>
      </c>
      <c r="S29" s="21">
        <f>IF(Deals[[#This Row],[IsApproved]]=1,Deals[[#This Row],[Amount]],0)</f>
        <v>215000</v>
      </c>
      <c r="T29" s="21">
        <f>Deals[[#This Row],[ApprovedAmount]]*Deals[[#This Row],[ProfitRate]]</f>
        <v>9288</v>
      </c>
    </row>
    <row r="30" spans="1:20">
      <c r="A30" s="2" t="s">
        <v>99</v>
      </c>
      <c r="B30" s="3">
        <v>46030</v>
      </c>
      <c r="C30" s="2" t="s">
        <v>100</v>
      </c>
      <c r="D30" s="2" t="s">
        <v>71</v>
      </c>
      <c r="E30" s="2" t="s">
        <v>21</v>
      </c>
      <c r="F30" s="2" t="s">
        <v>3</v>
      </c>
      <c r="G30" s="4">
        <v>78800</v>
      </c>
      <c r="H30" s="5">
        <v>3.7400000000000003E-2</v>
      </c>
      <c r="I30" s="2">
        <v>300</v>
      </c>
      <c r="J30" s="2" t="s">
        <v>101</v>
      </c>
      <c r="K30" s="2" t="s">
        <v>17</v>
      </c>
      <c r="L30" s="3">
        <v>46050</v>
      </c>
      <c r="M30" s="2" t="str">
        <f>_xlfn.XLOOKUP(Deals[[#This Row],[CustomerID]],Customers!A:A,Customers!F:F)</f>
        <v>Affluent</v>
      </c>
      <c r="N30" s="2" t="str">
        <f>_xlfn.XLOOKUP(Deals[[#This Row],[CustomerID]],Customers!A:A,Customers!E:E)</f>
        <v>Kuwaiti</v>
      </c>
      <c r="O30" s="2">
        <f>2026-_xlfn.XLOOKUP(Deals[[#This Row],[CustomerID]],Customers!A:A,Customers!D:D)</f>
        <v>34</v>
      </c>
      <c r="P30" s="2" t="str" cm="1">
        <f t="array" ref="P30">_xlfn.IFS(Deals[[#This Row],[Age]]&lt;30,"Under 30",Deals[[#This Row],[Age]]&lt;45,"30-44",TRUE,"45+")</f>
        <v>30-44</v>
      </c>
      <c r="Q30" s="21">
        <f>IF(Deals[[#This Row],[Status]]="Pending","",Deals[[#This Row],[DecisionDate]]-Deals[[#This Row],[ApplicationDate]])</f>
        <v>20</v>
      </c>
      <c r="R30" s="21">
        <f>IF(Deals[[#This Row],[Status]]="Approved",1,0)</f>
        <v>1</v>
      </c>
      <c r="S30" s="21">
        <f>IF(Deals[[#This Row],[IsApproved]]=1,Deals[[#This Row],[Amount]],0)</f>
        <v>78800</v>
      </c>
      <c r="T30" s="21">
        <f>Deals[[#This Row],[ApprovedAmount]]*Deals[[#This Row],[ProfitRate]]</f>
        <v>2947.1200000000003</v>
      </c>
    </row>
    <row r="31" spans="1:20">
      <c r="A31" s="2" t="s">
        <v>102</v>
      </c>
      <c r="B31" s="3">
        <v>46031</v>
      </c>
      <c r="C31" s="2" t="s">
        <v>103</v>
      </c>
      <c r="D31" s="2" t="s">
        <v>14</v>
      </c>
      <c r="E31" s="2" t="s">
        <v>15</v>
      </c>
      <c r="F31" s="2" t="s">
        <v>3</v>
      </c>
      <c r="G31" s="4">
        <v>20800</v>
      </c>
      <c r="H31" s="5">
        <v>6.7500000000000004E-2</v>
      </c>
      <c r="I31" s="2">
        <v>24</v>
      </c>
      <c r="J31" s="2" t="s">
        <v>16</v>
      </c>
      <c r="K31" s="2" t="s">
        <v>17</v>
      </c>
      <c r="L31" s="3">
        <v>46037</v>
      </c>
      <c r="M31" s="2" t="str">
        <f>_xlfn.XLOOKUP(Deals[[#This Row],[CustomerID]],Customers!A:A,Customers!F:F)</f>
        <v>Mass</v>
      </c>
      <c r="N31" s="2" t="str">
        <f>_xlfn.XLOOKUP(Deals[[#This Row],[CustomerID]],Customers!A:A,Customers!E:E)</f>
        <v>Kuwaiti</v>
      </c>
      <c r="O31" s="2">
        <f>2026-_xlfn.XLOOKUP(Deals[[#This Row],[CustomerID]],Customers!A:A,Customers!D:D)</f>
        <v>36</v>
      </c>
      <c r="P31" s="2" t="str" cm="1">
        <f t="array" ref="P31">_xlfn.IFS(Deals[[#This Row],[Age]]&lt;30,"Under 30",Deals[[#This Row],[Age]]&lt;45,"30-44",TRUE,"45+")</f>
        <v>30-44</v>
      </c>
      <c r="Q31" s="21">
        <f>IF(Deals[[#This Row],[Status]]="Pending","",Deals[[#This Row],[DecisionDate]]-Deals[[#This Row],[ApplicationDate]])</f>
        <v>6</v>
      </c>
      <c r="R31" s="21">
        <f>IF(Deals[[#This Row],[Status]]="Approved",1,0)</f>
        <v>1</v>
      </c>
      <c r="S31" s="21">
        <f>IF(Deals[[#This Row],[IsApproved]]=1,Deals[[#This Row],[Amount]],0)</f>
        <v>20800</v>
      </c>
      <c r="T31" s="21">
        <f>Deals[[#This Row],[ApprovedAmount]]*Deals[[#This Row],[ProfitRate]]</f>
        <v>1404</v>
      </c>
    </row>
    <row r="32" spans="1:20">
      <c r="A32" s="2" t="s">
        <v>104</v>
      </c>
      <c r="B32" s="3">
        <v>46031</v>
      </c>
      <c r="C32" s="2" t="s">
        <v>105</v>
      </c>
      <c r="D32" s="2" t="s">
        <v>71</v>
      </c>
      <c r="E32" s="2" t="s">
        <v>15</v>
      </c>
      <c r="F32" s="2" t="s">
        <v>3</v>
      </c>
      <c r="G32" s="4">
        <v>25000</v>
      </c>
      <c r="H32" s="5">
        <v>5.1999999999999998E-2</v>
      </c>
      <c r="I32" s="2">
        <v>36</v>
      </c>
      <c r="J32" s="2" t="s">
        <v>94</v>
      </c>
      <c r="K32" s="2" t="s">
        <v>45</v>
      </c>
      <c r="L32" s="3">
        <v>46035</v>
      </c>
      <c r="M32" s="2" t="str">
        <f>_xlfn.XLOOKUP(Deals[[#This Row],[CustomerID]],Customers!A:A,Customers!F:F)</f>
        <v>Premium</v>
      </c>
      <c r="N32" s="2" t="str">
        <f>_xlfn.XLOOKUP(Deals[[#This Row],[CustomerID]],Customers!A:A,Customers!E:E)</f>
        <v>Kuwaiti</v>
      </c>
      <c r="O32" s="2">
        <f>2026-_xlfn.XLOOKUP(Deals[[#This Row],[CustomerID]],Customers!A:A,Customers!D:D)</f>
        <v>48</v>
      </c>
      <c r="P32" s="2" t="str" cm="1">
        <f t="array" ref="P32">_xlfn.IFS(Deals[[#This Row],[Age]]&lt;30,"Under 30",Deals[[#This Row],[Age]]&lt;45,"30-44",TRUE,"45+")</f>
        <v>45+</v>
      </c>
      <c r="Q32" s="21">
        <f>IF(Deals[[#This Row],[Status]]="Pending","",Deals[[#This Row],[DecisionDate]]-Deals[[#This Row],[ApplicationDate]])</f>
        <v>4</v>
      </c>
      <c r="R32" s="21">
        <f>IF(Deals[[#This Row],[Status]]="Approved",1,0)</f>
        <v>0</v>
      </c>
      <c r="S32" s="21">
        <f>IF(Deals[[#This Row],[IsApproved]]=1,Deals[[#This Row],[Amount]],0)</f>
        <v>0</v>
      </c>
      <c r="T32" s="21">
        <f>Deals[[#This Row],[ApprovedAmount]]*Deals[[#This Row],[ProfitRate]]</f>
        <v>0</v>
      </c>
    </row>
    <row r="33" spans="1:20">
      <c r="A33" s="2" t="s">
        <v>106</v>
      </c>
      <c r="B33" s="3">
        <v>46031</v>
      </c>
      <c r="C33" s="2" t="s">
        <v>107</v>
      </c>
      <c r="D33" s="2" t="s">
        <v>71</v>
      </c>
      <c r="E33" s="2" t="s">
        <v>43</v>
      </c>
      <c r="F33" s="2" t="s">
        <v>3</v>
      </c>
      <c r="G33" s="4">
        <v>105600</v>
      </c>
      <c r="H33" s="5">
        <v>6.08E-2</v>
      </c>
      <c r="I33" s="2">
        <v>60</v>
      </c>
      <c r="J33" s="2" t="s">
        <v>72</v>
      </c>
      <c r="K33" s="2" t="s">
        <v>45</v>
      </c>
      <c r="L33" s="3">
        <v>46051</v>
      </c>
      <c r="M33" s="2" t="str">
        <f>_xlfn.XLOOKUP(Deals[[#This Row],[CustomerID]],Customers!A:A,Customers!F:F)</f>
        <v>Premium</v>
      </c>
      <c r="N33" s="2" t="str">
        <f>_xlfn.XLOOKUP(Deals[[#This Row],[CustomerID]],Customers!A:A,Customers!E:E)</f>
        <v>Non-Kuwaiti</v>
      </c>
      <c r="O33" s="2">
        <f>2026-_xlfn.XLOOKUP(Deals[[#This Row],[CustomerID]],Customers!A:A,Customers!D:D)</f>
        <v>34</v>
      </c>
      <c r="P33" s="2" t="str" cm="1">
        <f t="array" ref="P33">_xlfn.IFS(Deals[[#This Row],[Age]]&lt;30,"Under 30",Deals[[#This Row],[Age]]&lt;45,"30-44",TRUE,"45+")</f>
        <v>30-44</v>
      </c>
      <c r="Q33" s="21">
        <f>IF(Deals[[#This Row],[Status]]="Pending","",Deals[[#This Row],[DecisionDate]]-Deals[[#This Row],[ApplicationDate]])</f>
        <v>20</v>
      </c>
      <c r="R33" s="21">
        <f>IF(Deals[[#This Row],[Status]]="Approved",1,0)</f>
        <v>0</v>
      </c>
      <c r="S33" s="21">
        <f>IF(Deals[[#This Row],[IsApproved]]=1,Deals[[#This Row],[Amount]],0)</f>
        <v>0</v>
      </c>
      <c r="T33" s="21">
        <f>Deals[[#This Row],[ApprovedAmount]]*Deals[[#This Row],[ProfitRate]]</f>
        <v>0</v>
      </c>
    </row>
    <row r="34" spans="1:20">
      <c r="A34" s="2" t="s">
        <v>108</v>
      </c>
      <c r="B34" s="3">
        <v>46031</v>
      </c>
      <c r="C34" s="2" t="s">
        <v>109</v>
      </c>
      <c r="D34" s="2" t="s">
        <v>20</v>
      </c>
      <c r="E34" s="2" t="s">
        <v>43</v>
      </c>
      <c r="F34" s="2" t="s">
        <v>31</v>
      </c>
      <c r="G34" s="4">
        <v>60400</v>
      </c>
      <c r="H34" s="5">
        <v>6.1499999999999999E-2</v>
      </c>
      <c r="I34" s="2">
        <v>36</v>
      </c>
      <c r="J34" s="2" t="s">
        <v>22</v>
      </c>
      <c r="K34" s="2" t="s">
        <v>17</v>
      </c>
      <c r="L34" s="3">
        <v>46052</v>
      </c>
      <c r="M34" s="2" t="str">
        <f>_xlfn.XLOOKUP(Deals[[#This Row],[CustomerID]],Customers!A:A,Customers!F:F)</f>
        <v>Premium</v>
      </c>
      <c r="N34" s="2" t="str">
        <f>_xlfn.XLOOKUP(Deals[[#This Row],[CustomerID]],Customers!A:A,Customers!E:E)</f>
        <v>Kuwaiti</v>
      </c>
      <c r="O34" s="2">
        <f>2026-_xlfn.XLOOKUP(Deals[[#This Row],[CustomerID]],Customers!A:A,Customers!D:D)</f>
        <v>40</v>
      </c>
      <c r="P34" s="2" t="str" cm="1">
        <f t="array" ref="P34">_xlfn.IFS(Deals[[#This Row],[Age]]&lt;30,"Under 30",Deals[[#This Row],[Age]]&lt;45,"30-44",TRUE,"45+")</f>
        <v>30-44</v>
      </c>
      <c r="Q34" s="21">
        <f>IF(Deals[[#This Row],[Status]]="Pending","",Deals[[#This Row],[DecisionDate]]-Deals[[#This Row],[ApplicationDate]])</f>
        <v>21</v>
      </c>
      <c r="R34" s="21">
        <f>IF(Deals[[#This Row],[Status]]="Approved",1,0)</f>
        <v>1</v>
      </c>
      <c r="S34" s="21">
        <f>IF(Deals[[#This Row],[IsApproved]]=1,Deals[[#This Row],[Amount]],0)</f>
        <v>60400</v>
      </c>
      <c r="T34" s="21">
        <f>Deals[[#This Row],[ApprovedAmount]]*Deals[[#This Row],[ProfitRate]]</f>
        <v>3714.6</v>
      </c>
    </row>
    <row r="35" spans="1:20">
      <c r="A35" s="2" t="s">
        <v>111</v>
      </c>
      <c r="B35" s="3">
        <v>46031</v>
      </c>
      <c r="C35" s="2" t="s">
        <v>112</v>
      </c>
      <c r="D35" s="2" t="s">
        <v>71</v>
      </c>
      <c r="E35" s="2" t="s">
        <v>43</v>
      </c>
      <c r="F35" s="2" t="s">
        <v>3</v>
      </c>
      <c r="G35" s="4">
        <v>110800</v>
      </c>
      <c r="H35" s="5">
        <v>6.6500000000000004E-2</v>
      </c>
      <c r="I35" s="2">
        <v>36</v>
      </c>
      <c r="J35" s="2" t="s">
        <v>72</v>
      </c>
      <c r="K35" s="2" t="s">
        <v>17</v>
      </c>
      <c r="L35" s="3">
        <v>46041</v>
      </c>
      <c r="M35" s="2" t="str">
        <f>_xlfn.XLOOKUP(Deals[[#This Row],[CustomerID]],Customers!A:A,Customers!F:F)</f>
        <v>Mass</v>
      </c>
      <c r="N35" s="2" t="str">
        <f>_xlfn.XLOOKUP(Deals[[#This Row],[CustomerID]],Customers!A:A,Customers!E:E)</f>
        <v>Kuwaiti</v>
      </c>
      <c r="O35" s="2">
        <f>2026-_xlfn.XLOOKUP(Deals[[#This Row],[CustomerID]],Customers!A:A,Customers!D:D)</f>
        <v>25</v>
      </c>
      <c r="P35" s="2" t="str" cm="1">
        <f t="array" ref="P35">_xlfn.IFS(Deals[[#This Row],[Age]]&lt;30,"Under 30",Deals[[#This Row],[Age]]&lt;45,"30-44",TRUE,"45+")</f>
        <v>Under 30</v>
      </c>
      <c r="Q35" s="21">
        <f>IF(Deals[[#This Row],[Status]]="Pending","",Deals[[#This Row],[DecisionDate]]-Deals[[#This Row],[ApplicationDate]])</f>
        <v>10</v>
      </c>
      <c r="R35" s="21">
        <f>IF(Deals[[#This Row],[Status]]="Approved",1,0)</f>
        <v>1</v>
      </c>
      <c r="S35" s="21">
        <f>IF(Deals[[#This Row],[IsApproved]]=1,Deals[[#This Row],[Amount]],0)</f>
        <v>110800</v>
      </c>
      <c r="T35" s="21">
        <f>Deals[[#This Row],[ApprovedAmount]]*Deals[[#This Row],[ProfitRate]]</f>
        <v>7368.2000000000007</v>
      </c>
    </row>
    <row r="36" spans="1:20">
      <c r="A36" s="2" t="s">
        <v>113</v>
      </c>
      <c r="B36" s="3">
        <v>46032</v>
      </c>
      <c r="C36" s="2" t="s">
        <v>114</v>
      </c>
      <c r="D36" s="2" t="s">
        <v>71</v>
      </c>
      <c r="E36" s="2" t="s">
        <v>15</v>
      </c>
      <c r="F36" s="2" t="s">
        <v>3</v>
      </c>
      <c r="G36" s="4">
        <v>14600</v>
      </c>
      <c r="H36" s="5">
        <v>5.3499999999999999E-2</v>
      </c>
      <c r="I36" s="2">
        <v>60</v>
      </c>
      <c r="J36" s="2" t="s">
        <v>72</v>
      </c>
      <c r="K36" s="2" t="s">
        <v>17</v>
      </c>
      <c r="L36" s="3">
        <v>46037</v>
      </c>
      <c r="M36" s="2" t="str">
        <f>_xlfn.XLOOKUP(Deals[[#This Row],[CustomerID]],Customers!A:A,Customers!F:F)</f>
        <v>Mass</v>
      </c>
      <c r="N36" s="2" t="str">
        <f>_xlfn.XLOOKUP(Deals[[#This Row],[CustomerID]],Customers!A:A,Customers!E:E)</f>
        <v>Kuwaiti</v>
      </c>
      <c r="O36" s="2">
        <f>2026-_xlfn.XLOOKUP(Deals[[#This Row],[CustomerID]],Customers!A:A,Customers!D:D)</f>
        <v>40</v>
      </c>
      <c r="P36" s="2" t="str" cm="1">
        <f t="array" ref="P36">_xlfn.IFS(Deals[[#This Row],[Age]]&lt;30,"Under 30",Deals[[#This Row],[Age]]&lt;45,"30-44",TRUE,"45+")</f>
        <v>30-44</v>
      </c>
      <c r="Q36" s="21">
        <f>IF(Deals[[#This Row],[Status]]="Pending","",Deals[[#This Row],[DecisionDate]]-Deals[[#This Row],[ApplicationDate]])</f>
        <v>5</v>
      </c>
      <c r="R36" s="21">
        <f>IF(Deals[[#This Row],[Status]]="Approved",1,0)</f>
        <v>1</v>
      </c>
      <c r="S36" s="21">
        <f>IF(Deals[[#This Row],[IsApproved]]=1,Deals[[#This Row],[Amount]],0)</f>
        <v>14600</v>
      </c>
      <c r="T36" s="21">
        <f>Deals[[#This Row],[ApprovedAmount]]*Deals[[#This Row],[ProfitRate]]</f>
        <v>781.1</v>
      </c>
    </row>
    <row r="37" spans="1:20">
      <c r="A37" s="2" t="s">
        <v>115</v>
      </c>
      <c r="B37" s="3">
        <v>46032</v>
      </c>
      <c r="C37" s="2" t="s">
        <v>116</v>
      </c>
      <c r="D37" s="2" t="s">
        <v>20</v>
      </c>
      <c r="E37" s="2" t="s">
        <v>15</v>
      </c>
      <c r="F37" s="2" t="s">
        <v>31</v>
      </c>
      <c r="G37" s="4">
        <v>14600</v>
      </c>
      <c r="H37" s="5">
        <v>6.6299999999999998E-2</v>
      </c>
      <c r="I37" s="2">
        <v>12</v>
      </c>
      <c r="J37" s="2" t="s">
        <v>44</v>
      </c>
      <c r="K37" s="2" t="s">
        <v>17</v>
      </c>
      <c r="L37" s="3">
        <v>46033</v>
      </c>
      <c r="M37" s="2" t="str">
        <f>_xlfn.XLOOKUP(Deals[[#This Row],[CustomerID]],Customers!A:A,Customers!F:F)</f>
        <v>Affluent</v>
      </c>
      <c r="N37" s="2" t="str">
        <f>_xlfn.XLOOKUP(Deals[[#This Row],[CustomerID]],Customers!A:A,Customers!E:E)</f>
        <v>Kuwaiti</v>
      </c>
      <c r="O37" s="2">
        <f>2026-_xlfn.XLOOKUP(Deals[[#This Row],[CustomerID]],Customers!A:A,Customers!D:D)</f>
        <v>38</v>
      </c>
      <c r="P37" s="2" t="str" cm="1">
        <f t="array" ref="P37">_xlfn.IFS(Deals[[#This Row],[Age]]&lt;30,"Under 30",Deals[[#This Row],[Age]]&lt;45,"30-44",TRUE,"45+")</f>
        <v>30-44</v>
      </c>
      <c r="Q37" s="21">
        <f>IF(Deals[[#This Row],[Status]]="Pending","",Deals[[#This Row],[DecisionDate]]-Deals[[#This Row],[ApplicationDate]])</f>
        <v>1</v>
      </c>
      <c r="R37" s="21">
        <f>IF(Deals[[#This Row],[Status]]="Approved",1,0)</f>
        <v>1</v>
      </c>
      <c r="S37" s="21">
        <f>IF(Deals[[#This Row],[IsApproved]]=1,Deals[[#This Row],[Amount]],0)</f>
        <v>14600</v>
      </c>
      <c r="T37" s="21">
        <f>Deals[[#This Row],[ApprovedAmount]]*Deals[[#This Row],[ProfitRate]]</f>
        <v>967.98</v>
      </c>
    </row>
    <row r="38" spans="1:20">
      <c r="A38" s="2" t="s">
        <v>117</v>
      </c>
      <c r="B38" s="3">
        <v>46032</v>
      </c>
      <c r="C38" s="2" t="s">
        <v>118</v>
      </c>
      <c r="D38" s="2" t="s">
        <v>20</v>
      </c>
      <c r="E38" s="2" t="s">
        <v>43</v>
      </c>
      <c r="F38" s="2" t="s">
        <v>3</v>
      </c>
      <c r="G38" s="4">
        <v>125200</v>
      </c>
      <c r="H38" s="5">
        <v>6.8900000000000003E-2</v>
      </c>
      <c r="I38" s="2">
        <v>60</v>
      </c>
      <c r="J38" s="2" t="s">
        <v>37</v>
      </c>
      <c r="K38" s="2" t="s">
        <v>17</v>
      </c>
      <c r="L38" s="3">
        <v>46048</v>
      </c>
      <c r="M38" s="2" t="str">
        <f>_xlfn.XLOOKUP(Deals[[#This Row],[CustomerID]],Customers!A:A,Customers!F:F)</f>
        <v>Mass</v>
      </c>
      <c r="N38" s="2" t="str">
        <f>_xlfn.XLOOKUP(Deals[[#This Row],[CustomerID]],Customers!A:A,Customers!E:E)</f>
        <v>Non-Kuwaiti</v>
      </c>
      <c r="O38" s="2">
        <f>2026-_xlfn.XLOOKUP(Deals[[#This Row],[CustomerID]],Customers!A:A,Customers!D:D)</f>
        <v>58</v>
      </c>
      <c r="P38" s="2" t="str" cm="1">
        <f t="array" ref="P38">_xlfn.IFS(Deals[[#This Row],[Age]]&lt;30,"Under 30",Deals[[#This Row],[Age]]&lt;45,"30-44",TRUE,"45+")</f>
        <v>45+</v>
      </c>
      <c r="Q38" s="21">
        <f>IF(Deals[[#This Row],[Status]]="Pending","",Deals[[#This Row],[DecisionDate]]-Deals[[#This Row],[ApplicationDate]])</f>
        <v>16</v>
      </c>
      <c r="R38" s="21">
        <f>IF(Deals[[#This Row],[Status]]="Approved",1,0)</f>
        <v>1</v>
      </c>
      <c r="S38" s="21">
        <f>IF(Deals[[#This Row],[IsApproved]]=1,Deals[[#This Row],[Amount]],0)</f>
        <v>125200</v>
      </c>
      <c r="T38" s="21">
        <f>Deals[[#This Row],[ApprovedAmount]]*Deals[[#This Row],[ProfitRate]]</f>
        <v>8626.2800000000007</v>
      </c>
    </row>
    <row r="39" spans="1:20">
      <c r="A39" s="2" t="s">
        <v>119</v>
      </c>
      <c r="B39" s="3">
        <v>46032</v>
      </c>
      <c r="C39" s="2" t="s">
        <v>120</v>
      </c>
      <c r="D39" s="2" t="s">
        <v>20</v>
      </c>
      <c r="E39" s="2" t="s">
        <v>30</v>
      </c>
      <c r="F39" s="2" t="s">
        <v>3</v>
      </c>
      <c r="G39" s="4">
        <v>9300</v>
      </c>
      <c r="H39" s="5">
        <v>4.6800000000000001E-2</v>
      </c>
      <c r="I39" s="2">
        <v>36</v>
      </c>
      <c r="J39" s="2" t="s">
        <v>44</v>
      </c>
      <c r="K39" s="2" t="s">
        <v>17</v>
      </c>
      <c r="L39" s="3">
        <v>46035</v>
      </c>
      <c r="M39" s="2" t="str">
        <f>_xlfn.XLOOKUP(Deals[[#This Row],[CustomerID]],Customers!A:A,Customers!F:F)</f>
        <v>Mass</v>
      </c>
      <c r="N39" s="2" t="str">
        <f>_xlfn.XLOOKUP(Deals[[#This Row],[CustomerID]],Customers!A:A,Customers!E:E)</f>
        <v>Kuwaiti</v>
      </c>
      <c r="O39" s="2">
        <f>2026-_xlfn.XLOOKUP(Deals[[#This Row],[CustomerID]],Customers!A:A,Customers!D:D)</f>
        <v>31</v>
      </c>
      <c r="P39" s="2" t="str" cm="1">
        <f t="array" ref="P39">_xlfn.IFS(Deals[[#This Row],[Age]]&lt;30,"Under 30",Deals[[#This Row],[Age]]&lt;45,"30-44",TRUE,"45+")</f>
        <v>30-44</v>
      </c>
      <c r="Q39" s="21">
        <f>IF(Deals[[#This Row],[Status]]="Pending","",Deals[[#This Row],[DecisionDate]]-Deals[[#This Row],[ApplicationDate]])</f>
        <v>3</v>
      </c>
      <c r="R39" s="21">
        <f>IF(Deals[[#This Row],[Status]]="Approved",1,0)</f>
        <v>1</v>
      </c>
      <c r="S39" s="21">
        <f>IF(Deals[[#This Row],[IsApproved]]=1,Deals[[#This Row],[Amount]],0)</f>
        <v>9300</v>
      </c>
      <c r="T39" s="21">
        <f>Deals[[#This Row],[ApprovedAmount]]*Deals[[#This Row],[ProfitRate]]</f>
        <v>435.24</v>
      </c>
    </row>
    <row r="40" spans="1:20">
      <c r="A40" s="2" t="s">
        <v>121</v>
      </c>
      <c r="B40" s="3">
        <v>46033</v>
      </c>
      <c r="C40" s="2" t="s">
        <v>122</v>
      </c>
      <c r="D40" s="2" t="s">
        <v>29</v>
      </c>
      <c r="E40" s="2" t="s">
        <v>21</v>
      </c>
      <c r="F40" s="2" t="s">
        <v>31</v>
      </c>
      <c r="G40" s="4">
        <v>286500</v>
      </c>
      <c r="H40" s="5">
        <v>3.3099999999999997E-2</v>
      </c>
      <c r="I40" s="2">
        <v>300</v>
      </c>
      <c r="J40" s="2" t="s">
        <v>123</v>
      </c>
      <c r="K40" s="2" t="s">
        <v>17</v>
      </c>
      <c r="L40" s="3">
        <v>46054</v>
      </c>
      <c r="M40" s="2" t="str">
        <f>_xlfn.XLOOKUP(Deals[[#This Row],[CustomerID]],Customers!A:A,Customers!F:F)</f>
        <v>Affluent</v>
      </c>
      <c r="N40" s="2" t="str">
        <f>_xlfn.XLOOKUP(Deals[[#This Row],[CustomerID]],Customers!A:A,Customers!E:E)</f>
        <v>Non-Kuwaiti</v>
      </c>
      <c r="O40" s="2">
        <f>2026-_xlfn.XLOOKUP(Deals[[#This Row],[CustomerID]],Customers!A:A,Customers!D:D)</f>
        <v>39</v>
      </c>
      <c r="P40" s="2" t="str" cm="1">
        <f t="array" ref="P40">_xlfn.IFS(Deals[[#This Row],[Age]]&lt;30,"Under 30",Deals[[#This Row],[Age]]&lt;45,"30-44",TRUE,"45+")</f>
        <v>30-44</v>
      </c>
      <c r="Q40" s="21">
        <f>IF(Deals[[#This Row],[Status]]="Pending","",Deals[[#This Row],[DecisionDate]]-Deals[[#This Row],[ApplicationDate]])</f>
        <v>21</v>
      </c>
      <c r="R40" s="21">
        <f>IF(Deals[[#This Row],[Status]]="Approved",1,0)</f>
        <v>1</v>
      </c>
      <c r="S40" s="21">
        <f>IF(Deals[[#This Row],[IsApproved]]=1,Deals[[#This Row],[Amount]],0)</f>
        <v>286500</v>
      </c>
      <c r="T40" s="21">
        <f>Deals[[#This Row],[ApprovedAmount]]*Deals[[#This Row],[ProfitRate]]</f>
        <v>9483.15</v>
      </c>
    </row>
    <row r="41" spans="1:20">
      <c r="A41" s="2" t="s">
        <v>124</v>
      </c>
      <c r="B41" s="3">
        <v>46033</v>
      </c>
      <c r="C41" s="2" t="s">
        <v>125</v>
      </c>
      <c r="D41" s="2" t="s">
        <v>20</v>
      </c>
      <c r="E41" s="2" t="s">
        <v>30</v>
      </c>
      <c r="F41" s="2" t="s">
        <v>3</v>
      </c>
      <c r="G41" s="4">
        <v>7700</v>
      </c>
      <c r="H41" s="5">
        <v>4.5600000000000002E-2</v>
      </c>
      <c r="I41" s="2">
        <v>60</v>
      </c>
      <c r="J41" s="2" t="s">
        <v>44</v>
      </c>
      <c r="K41" s="2" t="s">
        <v>45</v>
      </c>
      <c r="L41" s="3">
        <v>46036</v>
      </c>
      <c r="M41" s="2" t="str">
        <f>_xlfn.XLOOKUP(Deals[[#This Row],[CustomerID]],Customers!A:A,Customers!F:F)</f>
        <v>Mass</v>
      </c>
      <c r="N41" s="2" t="str">
        <f>_xlfn.XLOOKUP(Deals[[#This Row],[CustomerID]],Customers!A:A,Customers!E:E)</f>
        <v>Non-Kuwaiti</v>
      </c>
      <c r="O41" s="2">
        <f>2026-_xlfn.XLOOKUP(Deals[[#This Row],[CustomerID]],Customers!A:A,Customers!D:D)</f>
        <v>34</v>
      </c>
      <c r="P41" s="2" t="str" cm="1">
        <f t="array" ref="P41">_xlfn.IFS(Deals[[#This Row],[Age]]&lt;30,"Under 30",Deals[[#This Row],[Age]]&lt;45,"30-44",TRUE,"45+")</f>
        <v>30-44</v>
      </c>
      <c r="Q41" s="21">
        <f>IF(Deals[[#This Row],[Status]]="Pending","",Deals[[#This Row],[DecisionDate]]-Deals[[#This Row],[ApplicationDate]])</f>
        <v>3</v>
      </c>
      <c r="R41" s="21">
        <f>IF(Deals[[#This Row],[Status]]="Approved",1,0)</f>
        <v>0</v>
      </c>
      <c r="S41" s="21">
        <f>IF(Deals[[#This Row],[IsApproved]]=1,Deals[[#This Row],[Amount]],0)</f>
        <v>0</v>
      </c>
      <c r="T41" s="21">
        <f>Deals[[#This Row],[ApprovedAmount]]*Deals[[#This Row],[ProfitRate]]</f>
        <v>0</v>
      </c>
    </row>
    <row r="42" spans="1:20">
      <c r="A42" s="2" t="s">
        <v>126</v>
      </c>
      <c r="B42" s="3">
        <v>46033</v>
      </c>
      <c r="C42" s="2" t="s">
        <v>127</v>
      </c>
      <c r="D42" s="2" t="s">
        <v>29</v>
      </c>
      <c r="E42" s="2" t="s">
        <v>30</v>
      </c>
      <c r="F42" s="2" t="s">
        <v>3</v>
      </c>
      <c r="G42" s="4">
        <v>16700</v>
      </c>
      <c r="H42" s="5">
        <v>4.2500000000000003E-2</v>
      </c>
      <c r="I42" s="2">
        <v>48</v>
      </c>
      <c r="J42" s="2" t="s">
        <v>61</v>
      </c>
      <c r="K42" s="2" t="s">
        <v>17</v>
      </c>
      <c r="L42" s="3">
        <v>46034</v>
      </c>
      <c r="M42" s="2" t="str">
        <f>_xlfn.XLOOKUP(Deals[[#This Row],[CustomerID]],Customers!A:A,Customers!F:F)</f>
        <v>Affluent</v>
      </c>
      <c r="N42" s="2" t="str">
        <f>_xlfn.XLOOKUP(Deals[[#This Row],[CustomerID]],Customers!A:A,Customers!E:E)</f>
        <v>Non-Kuwaiti</v>
      </c>
      <c r="O42" s="2">
        <f>2026-_xlfn.XLOOKUP(Deals[[#This Row],[CustomerID]],Customers!A:A,Customers!D:D)</f>
        <v>25</v>
      </c>
      <c r="P42" s="2" t="str" cm="1">
        <f t="array" ref="P42">_xlfn.IFS(Deals[[#This Row],[Age]]&lt;30,"Under 30",Deals[[#This Row],[Age]]&lt;45,"30-44",TRUE,"45+")</f>
        <v>Under 30</v>
      </c>
      <c r="Q42" s="21">
        <f>IF(Deals[[#This Row],[Status]]="Pending","",Deals[[#This Row],[DecisionDate]]-Deals[[#This Row],[ApplicationDate]])</f>
        <v>1</v>
      </c>
      <c r="R42" s="21">
        <f>IF(Deals[[#This Row],[Status]]="Approved",1,0)</f>
        <v>1</v>
      </c>
      <c r="S42" s="21">
        <f>IF(Deals[[#This Row],[IsApproved]]=1,Deals[[#This Row],[Amount]],0)</f>
        <v>16700</v>
      </c>
      <c r="T42" s="21">
        <f>Deals[[#This Row],[ApprovedAmount]]*Deals[[#This Row],[ProfitRate]]</f>
        <v>709.75</v>
      </c>
    </row>
    <row r="43" spans="1:20">
      <c r="A43" s="2" t="s">
        <v>128</v>
      </c>
      <c r="B43" s="3">
        <v>46033</v>
      </c>
      <c r="C43" s="2" t="s">
        <v>129</v>
      </c>
      <c r="D43" s="2" t="s">
        <v>20</v>
      </c>
      <c r="E43" s="2" t="s">
        <v>30</v>
      </c>
      <c r="F43" s="2" t="s">
        <v>31</v>
      </c>
      <c r="G43" s="4">
        <v>10400</v>
      </c>
      <c r="H43" s="5">
        <v>3.7600000000000001E-2</v>
      </c>
      <c r="I43" s="2">
        <v>48</v>
      </c>
      <c r="J43" s="2" t="s">
        <v>22</v>
      </c>
      <c r="K43" s="2" t="s">
        <v>45</v>
      </c>
      <c r="L43" s="3">
        <v>46034</v>
      </c>
      <c r="M43" s="2" t="str">
        <f>_xlfn.XLOOKUP(Deals[[#This Row],[CustomerID]],Customers!A:A,Customers!F:F)</f>
        <v>Mass</v>
      </c>
      <c r="N43" s="2" t="str">
        <f>_xlfn.XLOOKUP(Deals[[#This Row],[CustomerID]],Customers!A:A,Customers!E:E)</f>
        <v>Kuwaiti</v>
      </c>
      <c r="O43" s="2">
        <f>2026-_xlfn.XLOOKUP(Deals[[#This Row],[CustomerID]],Customers!A:A,Customers!D:D)</f>
        <v>54</v>
      </c>
      <c r="P43" s="2" t="str" cm="1">
        <f t="array" ref="P43">_xlfn.IFS(Deals[[#This Row],[Age]]&lt;30,"Under 30",Deals[[#This Row],[Age]]&lt;45,"30-44",TRUE,"45+")</f>
        <v>45+</v>
      </c>
      <c r="Q43" s="21">
        <f>IF(Deals[[#This Row],[Status]]="Pending","",Deals[[#This Row],[DecisionDate]]-Deals[[#This Row],[ApplicationDate]])</f>
        <v>1</v>
      </c>
      <c r="R43" s="21">
        <f>IF(Deals[[#This Row],[Status]]="Approved",1,0)</f>
        <v>0</v>
      </c>
      <c r="S43" s="21">
        <f>IF(Deals[[#This Row],[IsApproved]]=1,Deals[[#This Row],[Amount]],0)</f>
        <v>0</v>
      </c>
      <c r="T43" s="21">
        <f>Deals[[#This Row],[ApprovedAmount]]*Deals[[#This Row],[ProfitRate]]</f>
        <v>0</v>
      </c>
    </row>
    <row r="44" spans="1:20">
      <c r="A44" s="2" t="s">
        <v>130</v>
      </c>
      <c r="B44" s="3">
        <v>46033</v>
      </c>
      <c r="C44" s="2" t="s">
        <v>131</v>
      </c>
      <c r="D44" s="2" t="s">
        <v>20</v>
      </c>
      <c r="E44" s="2" t="s">
        <v>30</v>
      </c>
      <c r="F44" s="2" t="s">
        <v>3</v>
      </c>
      <c r="G44" s="4">
        <v>16200</v>
      </c>
      <c r="H44" s="5">
        <v>4.2299999999999997E-2</v>
      </c>
      <c r="I44" s="2">
        <v>48</v>
      </c>
      <c r="J44" s="2" t="s">
        <v>44</v>
      </c>
      <c r="K44" s="2" t="s">
        <v>45</v>
      </c>
      <c r="L44" s="3">
        <v>46035</v>
      </c>
      <c r="M44" s="2" t="str">
        <f>_xlfn.XLOOKUP(Deals[[#This Row],[CustomerID]],Customers!A:A,Customers!F:F)</f>
        <v>Affluent</v>
      </c>
      <c r="N44" s="2" t="str">
        <f>_xlfn.XLOOKUP(Deals[[#This Row],[CustomerID]],Customers!A:A,Customers!E:E)</f>
        <v>Kuwaiti</v>
      </c>
      <c r="O44" s="2">
        <f>2026-_xlfn.XLOOKUP(Deals[[#This Row],[CustomerID]],Customers!A:A,Customers!D:D)</f>
        <v>49</v>
      </c>
      <c r="P44" s="2" t="str" cm="1">
        <f t="array" ref="P44">_xlfn.IFS(Deals[[#This Row],[Age]]&lt;30,"Under 30",Deals[[#This Row],[Age]]&lt;45,"30-44",TRUE,"45+")</f>
        <v>45+</v>
      </c>
      <c r="Q44" s="21">
        <f>IF(Deals[[#This Row],[Status]]="Pending","",Deals[[#This Row],[DecisionDate]]-Deals[[#This Row],[ApplicationDate]])</f>
        <v>2</v>
      </c>
      <c r="R44" s="21">
        <f>IF(Deals[[#This Row],[Status]]="Approved",1,0)</f>
        <v>0</v>
      </c>
      <c r="S44" s="21">
        <f>IF(Deals[[#This Row],[IsApproved]]=1,Deals[[#This Row],[Amount]],0)</f>
        <v>0</v>
      </c>
      <c r="T44" s="21">
        <f>Deals[[#This Row],[ApprovedAmount]]*Deals[[#This Row],[ProfitRate]]</f>
        <v>0</v>
      </c>
    </row>
    <row r="45" spans="1:20">
      <c r="A45" s="2" t="s">
        <v>132</v>
      </c>
      <c r="B45" s="3">
        <v>46034</v>
      </c>
      <c r="C45" s="2" t="s">
        <v>133</v>
      </c>
      <c r="D45" s="2" t="s">
        <v>71</v>
      </c>
      <c r="E45" s="2" t="s">
        <v>15</v>
      </c>
      <c r="F45" s="2" t="s">
        <v>55</v>
      </c>
      <c r="G45" s="4">
        <v>5600</v>
      </c>
      <c r="H45" s="5">
        <v>5.6099999999999997E-2</v>
      </c>
      <c r="I45" s="2">
        <v>12</v>
      </c>
      <c r="J45" s="2" t="s">
        <v>72</v>
      </c>
      <c r="K45" s="2" t="s">
        <v>17</v>
      </c>
      <c r="L45" s="3">
        <v>46041</v>
      </c>
      <c r="M45" s="2" t="str">
        <f>_xlfn.XLOOKUP(Deals[[#This Row],[CustomerID]],Customers!A:A,Customers!F:F)</f>
        <v>Mass</v>
      </c>
      <c r="N45" s="2" t="str">
        <f>_xlfn.XLOOKUP(Deals[[#This Row],[CustomerID]],Customers!A:A,Customers!E:E)</f>
        <v>Non-Kuwaiti</v>
      </c>
      <c r="O45" s="2">
        <f>2026-_xlfn.XLOOKUP(Deals[[#This Row],[CustomerID]],Customers!A:A,Customers!D:D)</f>
        <v>26</v>
      </c>
      <c r="P45" s="2" t="str" cm="1">
        <f t="array" ref="P45">_xlfn.IFS(Deals[[#This Row],[Age]]&lt;30,"Under 30",Deals[[#This Row],[Age]]&lt;45,"30-44",TRUE,"45+")</f>
        <v>Under 30</v>
      </c>
      <c r="Q45" s="21">
        <f>IF(Deals[[#This Row],[Status]]="Pending","",Deals[[#This Row],[DecisionDate]]-Deals[[#This Row],[ApplicationDate]])</f>
        <v>7</v>
      </c>
      <c r="R45" s="21">
        <f>IF(Deals[[#This Row],[Status]]="Approved",1,0)</f>
        <v>1</v>
      </c>
      <c r="S45" s="21">
        <f>IF(Deals[[#This Row],[IsApproved]]=1,Deals[[#This Row],[Amount]],0)</f>
        <v>5600</v>
      </c>
      <c r="T45" s="21">
        <f>Deals[[#This Row],[ApprovedAmount]]*Deals[[#This Row],[ProfitRate]]</f>
        <v>314.15999999999997</v>
      </c>
    </row>
    <row r="46" spans="1:20">
      <c r="A46" s="2" t="s">
        <v>134</v>
      </c>
      <c r="B46" s="3">
        <v>46034</v>
      </c>
      <c r="C46" s="2" t="s">
        <v>135</v>
      </c>
      <c r="D46" s="2" t="s">
        <v>25</v>
      </c>
      <c r="E46" s="2" t="s">
        <v>30</v>
      </c>
      <c r="F46" s="2" t="s">
        <v>55</v>
      </c>
      <c r="G46" s="4">
        <v>14500</v>
      </c>
      <c r="H46" s="5">
        <v>4.4499999999999998E-2</v>
      </c>
      <c r="I46" s="2">
        <v>48</v>
      </c>
      <c r="J46" s="2" t="s">
        <v>26</v>
      </c>
      <c r="K46" s="2" t="s">
        <v>17</v>
      </c>
      <c r="L46" s="3">
        <v>46036</v>
      </c>
      <c r="M46" s="2" t="str">
        <f>_xlfn.XLOOKUP(Deals[[#This Row],[CustomerID]],Customers!A:A,Customers!F:F)</f>
        <v>Mass</v>
      </c>
      <c r="N46" s="2" t="str">
        <f>_xlfn.XLOOKUP(Deals[[#This Row],[CustomerID]],Customers!A:A,Customers!E:E)</f>
        <v>Kuwaiti</v>
      </c>
      <c r="O46" s="2">
        <f>2026-_xlfn.XLOOKUP(Deals[[#This Row],[CustomerID]],Customers!A:A,Customers!D:D)</f>
        <v>29</v>
      </c>
      <c r="P46" s="2" t="str" cm="1">
        <f t="array" ref="P46">_xlfn.IFS(Deals[[#This Row],[Age]]&lt;30,"Under 30",Deals[[#This Row],[Age]]&lt;45,"30-44",TRUE,"45+")</f>
        <v>Under 30</v>
      </c>
      <c r="Q46" s="21">
        <f>IF(Deals[[#This Row],[Status]]="Pending","",Deals[[#This Row],[DecisionDate]]-Deals[[#This Row],[ApplicationDate]])</f>
        <v>2</v>
      </c>
      <c r="R46" s="21">
        <f>IF(Deals[[#This Row],[Status]]="Approved",1,0)</f>
        <v>1</v>
      </c>
      <c r="S46" s="21">
        <f>IF(Deals[[#This Row],[IsApproved]]=1,Deals[[#This Row],[Amount]],0)</f>
        <v>14500</v>
      </c>
      <c r="T46" s="21">
        <f>Deals[[#This Row],[ApprovedAmount]]*Deals[[#This Row],[ProfitRate]]</f>
        <v>645.25</v>
      </c>
    </row>
    <row r="47" spans="1:20">
      <c r="A47" s="2" t="s">
        <v>136</v>
      </c>
      <c r="B47" s="3">
        <v>46034</v>
      </c>
      <c r="C47" s="2" t="s">
        <v>137</v>
      </c>
      <c r="D47" s="2" t="s">
        <v>71</v>
      </c>
      <c r="E47" s="2" t="s">
        <v>15</v>
      </c>
      <c r="F47" s="2" t="s">
        <v>3</v>
      </c>
      <c r="G47" s="4">
        <v>6200</v>
      </c>
      <c r="H47" s="5">
        <v>6.0400000000000002E-2</v>
      </c>
      <c r="I47" s="2">
        <v>36</v>
      </c>
      <c r="J47" s="2" t="s">
        <v>72</v>
      </c>
      <c r="K47" s="2" t="s">
        <v>17</v>
      </c>
      <c r="L47" s="3">
        <v>46035</v>
      </c>
      <c r="M47" s="2" t="str">
        <f>_xlfn.XLOOKUP(Deals[[#This Row],[CustomerID]],Customers!A:A,Customers!F:F)</f>
        <v>Mass</v>
      </c>
      <c r="N47" s="2" t="str">
        <f>_xlfn.XLOOKUP(Deals[[#This Row],[CustomerID]],Customers!A:A,Customers!E:E)</f>
        <v>Non-Kuwaiti</v>
      </c>
      <c r="O47" s="2">
        <f>2026-_xlfn.XLOOKUP(Deals[[#This Row],[CustomerID]],Customers!A:A,Customers!D:D)</f>
        <v>40</v>
      </c>
      <c r="P47" s="2" t="str" cm="1">
        <f t="array" ref="P47">_xlfn.IFS(Deals[[#This Row],[Age]]&lt;30,"Under 30",Deals[[#This Row],[Age]]&lt;45,"30-44",TRUE,"45+")</f>
        <v>30-44</v>
      </c>
      <c r="Q47" s="21">
        <f>IF(Deals[[#This Row],[Status]]="Pending","",Deals[[#This Row],[DecisionDate]]-Deals[[#This Row],[ApplicationDate]])</f>
        <v>1</v>
      </c>
      <c r="R47" s="21">
        <f>IF(Deals[[#This Row],[Status]]="Approved",1,0)</f>
        <v>1</v>
      </c>
      <c r="S47" s="21">
        <f>IF(Deals[[#This Row],[IsApproved]]=1,Deals[[#This Row],[Amount]],0)</f>
        <v>6200</v>
      </c>
      <c r="T47" s="21">
        <f>Deals[[#This Row],[ApprovedAmount]]*Deals[[#This Row],[ProfitRate]]</f>
        <v>374.48</v>
      </c>
    </row>
    <row r="48" spans="1:20">
      <c r="A48" s="2" t="s">
        <v>138</v>
      </c>
      <c r="B48" s="3">
        <v>46034</v>
      </c>
      <c r="C48" s="2" t="s">
        <v>139</v>
      </c>
      <c r="D48" s="2" t="s">
        <v>29</v>
      </c>
      <c r="E48" s="2" t="s">
        <v>15</v>
      </c>
      <c r="F48" s="2" t="s">
        <v>3</v>
      </c>
      <c r="G48" s="4">
        <v>5300</v>
      </c>
      <c r="H48" s="5">
        <v>5.1200000000000002E-2</v>
      </c>
      <c r="I48" s="2">
        <v>48</v>
      </c>
      <c r="J48" s="2" t="s">
        <v>123</v>
      </c>
      <c r="K48" s="2" t="s">
        <v>17</v>
      </c>
      <c r="L48" s="3">
        <v>46035</v>
      </c>
      <c r="M48" s="2" t="str">
        <f>_xlfn.XLOOKUP(Deals[[#This Row],[CustomerID]],Customers!A:A,Customers!F:F)</f>
        <v>Mass</v>
      </c>
      <c r="N48" s="2" t="str">
        <f>_xlfn.XLOOKUP(Deals[[#This Row],[CustomerID]],Customers!A:A,Customers!E:E)</f>
        <v>Kuwaiti</v>
      </c>
      <c r="O48" s="2">
        <f>2026-_xlfn.XLOOKUP(Deals[[#This Row],[CustomerID]],Customers!A:A,Customers!D:D)</f>
        <v>50</v>
      </c>
      <c r="P48" s="2" t="str" cm="1">
        <f t="array" ref="P48">_xlfn.IFS(Deals[[#This Row],[Age]]&lt;30,"Under 30",Deals[[#This Row],[Age]]&lt;45,"30-44",TRUE,"45+")</f>
        <v>45+</v>
      </c>
      <c r="Q48" s="21">
        <f>IF(Deals[[#This Row],[Status]]="Pending","",Deals[[#This Row],[DecisionDate]]-Deals[[#This Row],[ApplicationDate]])</f>
        <v>1</v>
      </c>
      <c r="R48" s="21">
        <f>IF(Deals[[#This Row],[Status]]="Approved",1,0)</f>
        <v>1</v>
      </c>
      <c r="S48" s="21">
        <f>IF(Deals[[#This Row],[IsApproved]]=1,Deals[[#This Row],[Amount]],0)</f>
        <v>5300</v>
      </c>
      <c r="T48" s="21">
        <f>Deals[[#This Row],[ApprovedAmount]]*Deals[[#This Row],[ProfitRate]]</f>
        <v>271.36</v>
      </c>
    </row>
    <row r="49" spans="1:20">
      <c r="A49" s="2" t="s">
        <v>140</v>
      </c>
      <c r="B49" s="3">
        <v>46035</v>
      </c>
      <c r="C49" s="2" t="s">
        <v>141</v>
      </c>
      <c r="D49" s="2" t="s">
        <v>29</v>
      </c>
      <c r="E49" s="2" t="s">
        <v>15</v>
      </c>
      <c r="F49" s="2" t="s">
        <v>3</v>
      </c>
      <c r="G49" s="4">
        <v>23500</v>
      </c>
      <c r="H49" s="5">
        <v>5.3699999999999998E-2</v>
      </c>
      <c r="I49" s="2">
        <v>48</v>
      </c>
      <c r="J49" s="2" t="s">
        <v>61</v>
      </c>
      <c r="K49" s="2" t="s">
        <v>17</v>
      </c>
      <c r="L49" s="3">
        <v>46040</v>
      </c>
      <c r="M49" s="2" t="str">
        <f>_xlfn.XLOOKUP(Deals[[#This Row],[CustomerID]],Customers!A:A,Customers!F:F)</f>
        <v>Affluent</v>
      </c>
      <c r="N49" s="2" t="str">
        <f>_xlfn.XLOOKUP(Deals[[#This Row],[CustomerID]],Customers!A:A,Customers!E:E)</f>
        <v>Kuwaiti</v>
      </c>
      <c r="O49" s="2">
        <f>2026-_xlfn.XLOOKUP(Deals[[#This Row],[CustomerID]],Customers!A:A,Customers!D:D)</f>
        <v>40</v>
      </c>
      <c r="P49" s="2" t="str" cm="1">
        <f t="array" ref="P49">_xlfn.IFS(Deals[[#This Row],[Age]]&lt;30,"Under 30",Deals[[#This Row],[Age]]&lt;45,"30-44",TRUE,"45+")</f>
        <v>30-44</v>
      </c>
      <c r="Q49" s="21">
        <f>IF(Deals[[#This Row],[Status]]="Pending","",Deals[[#This Row],[DecisionDate]]-Deals[[#This Row],[ApplicationDate]])</f>
        <v>5</v>
      </c>
      <c r="R49" s="21">
        <f>IF(Deals[[#This Row],[Status]]="Approved",1,0)</f>
        <v>1</v>
      </c>
      <c r="S49" s="21">
        <f>IF(Deals[[#This Row],[IsApproved]]=1,Deals[[#This Row],[Amount]],0)</f>
        <v>23500</v>
      </c>
      <c r="T49" s="21">
        <f>Deals[[#This Row],[ApprovedAmount]]*Deals[[#This Row],[ProfitRate]]</f>
        <v>1261.95</v>
      </c>
    </row>
    <row r="50" spans="1:20">
      <c r="A50" s="2" t="s">
        <v>142</v>
      </c>
      <c r="B50" s="3">
        <v>46035</v>
      </c>
      <c r="C50" s="2" t="s">
        <v>34</v>
      </c>
      <c r="D50" s="2" t="s">
        <v>25</v>
      </c>
      <c r="E50" s="2" t="s">
        <v>30</v>
      </c>
      <c r="F50" s="2" t="s">
        <v>3</v>
      </c>
      <c r="G50" s="4">
        <v>10700</v>
      </c>
      <c r="H50" s="5">
        <v>4.99E-2</v>
      </c>
      <c r="I50" s="2">
        <v>36</v>
      </c>
      <c r="J50" s="2" t="s">
        <v>26</v>
      </c>
      <c r="K50" s="2" t="s">
        <v>17</v>
      </c>
      <c r="L50" s="3">
        <v>46038</v>
      </c>
      <c r="M50" s="2" t="str">
        <f>_xlfn.XLOOKUP(Deals[[#This Row],[CustomerID]],Customers!A:A,Customers!F:F)</f>
        <v>Mass</v>
      </c>
      <c r="N50" s="2" t="str">
        <f>_xlfn.XLOOKUP(Deals[[#This Row],[CustomerID]],Customers!A:A,Customers!E:E)</f>
        <v>Kuwaiti</v>
      </c>
      <c r="O50" s="2">
        <f>2026-_xlfn.XLOOKUP(Deals[[#This Row],[CustomerID]],Customers!A:A,Customers!D:D)</f>
        <v>25</v>
      </c>
      <c r="P50" s="2" t="str" cm="1">
        <f t="array" ref="P50">_xlfn.IFS(Deals[[#This Row],[Age]]&lt;30,"Under 30",Deals[[#This Row],[Age]]&lt;45,"30-44",TRUE,"45+")</f>
        <v>Under 30</v>
      </c>
      <c r="Q50" s="21">
        <f>IF(Deals[[#This Row],[Status]]="Pending","",Deals[[#This Row],[DecisionDate]]-Deals[[#This Row],[ApplicationDate]])</f>
        <v>3</v>
      </c>
      <c r="R50" s="21">
        <f>IF(Deals[[#This Row],[Status]]="Approved",1,0)</f>
        <v>1</v>
      </c>
      <c r="S50" s="21">
        <f>IF(Deals[[#This Row],[IsApproved]]=1,Deals[[#This Row],[Amount]],0)</f>
        <v>10700</v>
      </c>
      <c r="T50" s="21">
        <f>Deals[[#This Row],[ApprovedAmount]]*Deals[[#This Row],[ProfitRate]]</f>
        <v>533.92999999999995</v>
      </c>
    </row>
    <row r="51" spans="1:20">
      <c r="A51" s="2" t="s">
        <v>143</v>
      </c>
      <c r="B51" s="3">
        <v>46035</v>
      </c>
      <c r="C51" s="2" t="s">
        <v>144</v>
      </c>
      <c r="D51" s="2" t="s">
        <v>29</v>
      </c>
      <c r="E51" s="2" t="s">
        <v>15</v>
      </c>
      <c r="F51" s="2" t="s">
        <v>31</v>
      </c>
      <c r="G51" s="4">
        <v>18100</v>
      </c>
      <c r="H51" s="5">
        <v>5.2299999999999999E-2</v>
      </c>
      <c r="I51" s="2">
        <v>36</v>
      </c>
      <c r="J51" s="2" t="s">
        <v>61</v>
      </c>
      <c r="K51" s="2" t="s">
        <v>17</v>
      </c>
      <c r="L51" s="3">
        <v>46042</v>
      </c>
      <c r="M51" s="2" t="str">
        <f>_xlfn.XLOOKUP(Deals[[#This Row],[CustomerID]],Customers!A:A,Customers!F:F)</f>
        <v>Affluent</v>
      </c>
      <c r="N51" s="2" t="str">
        <f>_xlfn.XLOOKUP(Deals[[#This Row],[CustomerID]],Customers!A:A,Customers!E:E)</f>
        <v>Non-Kuwaiti</v>
      </c>
      <c r="O51" s="2">
        <f>2026-_xlfn.XLOOKUP(Deals[[#This Row],[CustomerID]],Customers!A:A,Customers!D:D)</f>
        <v>56</v>
      </c>
      <c r="P51" s="2" t="str" cm="1">
        <f t="array" ref="P51">_xlfn.IFS(Deals[[#This Row],[Age]]&lt;30,"Under 30",Deals[[#This Row],[Age]]&lt;45,"30-44",TRUE,"45+")</f>
        <v>45+</v>
      </c>
      <c r="Q51" s="21">
        <f>IF(Deals[[#This Row],[Status]]="Pending","",Deals[[#This Row],[DecisionDate]]-Deals[[#This Row],[ApplicationDate]])</f>
        <v>7</v>
      </c>
      <c r="R51" s="21">
        <f>IF(Deals[[#This Row],[Status]]="Approved",1,0)</f>
        <v>1</v>
      </c>
      <c r="S51" s="21">
        <f>IF(Deals[[#This Row],[IsApproved]]=1,Deals[[#This Row],[Amount]],0)</f>
        <v>18100</v>
      </c>
      <c r="T51" s="21">
        <f>Deals[[#This Row],[ApprovedAmount]]*Deals[[#This Row],[ProfitRate]]</f>
        <v>946.63</v>
      </c>
    </row>
    <row r="52" spans="1:20">
      <c r="A52" s="2" t="s">
        <v>145</v>
      </c>
      <c r="B52" s="3">
        <v>46035</v>
      </c>
      <c r="C52" s="2" t="s">
        <v>146</v>
      </c>
      <c r="D52" s="2" t="s">
        <v>54</v>
      </c>
      <c r="E52" s="2" t="s">
        <v>43</v>
      </c>
      <c r="F52" s="2" t="s">
        <v>3</v>
      </c>
      <c r="G52" s="4">
        <v>62800</v>
      </c>
      <c r="H52" s="5">
        <v>5.8900000000000001E-2</v>
      </c>
      <c r="I52" s="2">
        <v>24</v>
      </c>
      <c r="J52" s="2" t="s">
        <v>148</v>
      </c>
      <c r="K52" s="2" t="s">
        <v>17</v>
      </c>
      <c r="L52" s="3">
        <v>46046</v>
      </c>
      <c r="M52" s="2" t="str">
        <f>_xlfn.XLOOKUP(Deals[[#This Row],[CustomerID]],Customers!A:A,Customers!F:F)</f>
        <v>Mass</v>
      </c>
      <c r="N52" s="2" t="str">
        <f>_xlfn.XLOOKUP(Deals[[#This Row],[CustomerID]],Customers!A:A,Customers!E:E)</f>
        <v>Kuwaiti</v>
      </c>
      <c r="O52" s="2">
        <f>2026-_xlfn.XLOOKUP(Deals[[#This Row],[CustomerID]],Customers!A:A,Customers!D:D)</f>
        <v>24</v>
      </c>
      <c r="P52" s="2" t="str" cm="1">
        <f t="array" ref="P52">_xlfn.IFS(Deals[[#This Row],[Age]]&lt;30,"Under 30",Deals[[#This Row],[Age]]&lt;45,"30-44",TRUE,"45+")</f>
        <v>Under 30</v>
      </c>
      <c r="Q52" s="21">
        <f>IF(Deals[[#This Row],[Status]]="Pending","",Deals[[#This Row],[DecisionDate]]-Deals[[#This Row],[ApplicationDate]])</f>
        <v>11</v>
      </c>
      <c r="R52" s="21">
        <f>IF(Deals[[#This Row],[Status]]="Approved",1,0)</f>
        <v>1</v>
      </c>
      <c r="S52" s="21">
        <f>IF(Deals[[#This Row],[IsApproved]]=1,Deals[[#This Row],[Amount]],0)</f>
        <v>62800</v>
      </c>
      <c r="T52" s="21">
        <f>Deals[[#This Row],[ApprovedAmount]]*Deals[[#This Row],[ProfitRate]]</f>
        <v>3698.92</v>
      </c>
    </row>
    <row r="53" spans="1:20">
      <c r="A53" s="2" t="s">
        <v>149</v>
      </c>
      <c r="B53" s="3">
        <v>46035</v>
      </c>
      <c r="C53" s="2" t="s">
        <v>150</v>
      </c>
      <c r="D53" s="2" t="s">
        <v>14</v>
      </c>
      <c r="E53" s="2" t="s">
        <v>43</v>
      </c>
      <c r="F53" s="2" t="s">
        <v>55</v>
      </c>
      <c r="G53" s="4">
        <v>31300</v>
      </c>
      <c r="H53" s="5">
        <v>7.7700000000000005E-2</v>
      </c>
      <c r="I53" s="2">
        <v>36</v>
      </c>
      <c r="J53" s="2" t="s">
        <v>40</v>
      </c>
      <c r="K53" s="2" t="s">
        <v>17</v>
      </c>
      <c r="L53" s="3">
        <v>46044</v>
      </c>
      <c r="M53" s="2" t="str">
        <f>_xlfn.XLOOKUP(Deals[[#This Row],[CustomerID]],Customers!A:A,Customers!F:F)</f>
        <v>Premium</v>
      </c>
      <c r="N53" s="2" t="str">
        <f>_xlfn.XLOOKUP(Deals[[#This Row],[CustomerID]],Customers!A:A,Customers!E:E)</f>
        <v>Kuwaiti</v>
      </c>
      <c r="O53" s="2">
        <f>2026-_xlfn.XLOOKUP(Deals[[#This Row],[CustomerID]],Customers!A:A,Customers!D:D)</f>
        <v>28</v>
      </c>
      <c r="P53" s="2" t="str" cm="1">
        <f t="array" ref="P53">_xlfn.IFS(Deals[[#This Row],[Age]]&lt;30,"Under 30",Deals[[#This Row],[Age]]&lt;45,"30-44",TRUE,"45+")</f>
        <v>Under 30</v>
      </c>
      <c r="Q53" s="21">
        <f>IF(Deals[[#This Row],[Status]]="Pending","",Deals[[#This Row],[DecisionDate]]-Deals[[#This Row],[ApplicationDate]])</f>
        <v>9</v>
      </c>
      <c r="R53" s="21">
        <f>IF(Deals[[#This Row],[Status]]="Approved",1,0)</f>
        <v>1</v>
      </c>
      <c r="S53" s="21">
        <f>IF(Deals[[#This Row],[IsApproved]]=1,Deals[[#This Row],[Amount]],0)</f>
        <v>31300</v>
      </c>
      <c r="T53" s="21">
        <f>Deals[[#This Row],[ApprovedAmount]]*Deals[[#This Row],[ProfitRate]]</f>
        <v>2432.0100000000002</v>
      </c>
    </row>
    <row r="54" spans="1:20">
      <c r="A54" s="2" t="s">
        <v>152</v>
      </c>
      <c r="B54" s="3">
        <v>46036</v>
      </c>
      <c r="C54" s="2" t="s">
        <v>153</v>
      </c>
      <c r="D54" s="2" t="s">
        <v>20</v>
      </c>
      <c r="E54" s="2" t="s">
        <v>15</v>
      </c>
      <c r="F54" s="2" t="s">
        <v>31</v>
      </c>
      <c r="G54" s="4">
        <v>19900</v>
      </c>
      <c r="H54" s="5">
        <v>6.1699999999999998E-2</v>
      </c>
      <c r="I54" s="2">
        <v>48</v>
      </c>
      <c r="J54" s="2" t="s">
        <v>44</v>
      </c>
      <c r="K54" s="2" t="s">
        <v>17</v>
      </c>
      <c r="L54" s="3">
        <v>46039</v>
      </c>
      <c r="M54" s="2" t="str">
        <f>_xlfn.XLOOKUP(Deals[[#This Row],[CustomerID]],Customers!A:A,Customers!F:F)</f>
        <v>Mass</v>
      </c>
      <c r="N54" s="2" t="str">
        <f>_xlfn.XLOOKUP(Deals[[#This Row],[CustomerID]],Customers!A:A,Customers!E:E)</f>
        <v>Kuwaiti</v>
      </c>
      <c r="O54" s="2">
        <f>2026-_xlfn.XLOOKUP(Deals[[#This Row],[CustomerID]],Customers!A:A,Customers!D:D)</f>
        <v>32</v>
      </c>
      <c r="P54" s="2" t="str" cm="1">
        <f t="array" ref="P54">_xlfn.IFS(Deals[[#This Row],[Age]]&lt;30,"Under 30",Deals[[#This Row],[Age]]&lt;45,"30-44",TRUE,"45+")</f>
        <v>30-44</v>
      </c>
      <c r="Q54" s="21">
        <f>IF(Deals[[#This Row],[Status]]="Pending","",Deals[[#This Row],[DecisionDate]]-Deals[[#This Row],[ApplicationDate]])</f>
        <v>3</v>
      </c>
      <c r="R54" s="21">
        <f>IF(Deals[[#This Row],[Status]]="Approved",1,0)</f>
        <v>1</v>
      </c>
      <c r="S54" s="21">
        <f>IF(Deals[[#This Row],[IsApproved]]=1,Deals[[#This Row],[Amount]],0)</f>
        <v>19900</v>
      </c>
      <c r="T54" s="21">
        <f>Deals[[#This Row],[ApprovedAmount]]*Deals[[#This Row],[ProfitRate]]</f>
        <v>1227.83</v>
      </c>
    </row>
    <row r="55" spans="1:20">
      <c r="A55" s="2" t="s">
        <v>155</v>
      </c>
      <c r="B55" s="3">
        <v>46036</v>
      </c>
      <c r="C55" s="2" t="s">
        <v>156</v>
      </c>
      <c r="D55" s="2" t="s">
        <v>14</v>
      </c>
      <c r="E55" s="2" t="s">
        <v>15</v>
      </c>
      <c r="F55" s="2" t="s">
        <v>55</v>
      </c>
      <c r="G55" s="4">
        <v>20300</v>
      </c>
      <c r="H55" s="5">
        <v>5.6099999999999997E-2</v>
      </c>
      <c r="I55" s="2">
        <v>12</v>
      </c>
      <c r="J55" s="2" t="s">
        <v>40</v>
      </c>
      <c r="K55" s="2" t="s">
        <v>17</v>
      </c>
      <c r="L55" s="3">
        <v>46037</v>
      </c>
      <c r="M55" s="2" t="str">
        <f>_xlfn.XLOOKUP(Deals[[#This Row],[CustomerID]],Customers!A:A,Customers!F:F)</f>
        <v>Mass</v>
      </c>
      <c r="N55" s="2" t="str">
        <f>_xlfn.XLOOKUP(Deals[[#This Row],[CustomerID]],Customers!A:A,Customers!E:E)</f>
        <v>Kuwaiti</v>
      </c>
      <c r="O55" s="2">
        <f>2026-_xlfn.XLOOKUP(Deals[[#This Row],[CustomerID]],Customers!A:A,Customers!D:D)</f>
        <v>36</v>
      </c>
      <c r="P55" s="2" t="str" cm="1">
        <f t="array" ref="P55">_xlfn.IFS(Deals[[#This Row],[Age]]&lt;30,"Under 30",Deals[[#This Row],[Age]]&lt;45,"30-44",TRUE,"45+")</f>
        <v>30-44</v>
      </c>
      <c r="Q55" s="21">
        <f>IF(Deals[[#This Row],[Status]]="Pending","",Deals[[#This Row],[DecisionDate]]-Deals[[#This Row],[ApplicationDate]])</f>
        <v>1</v>
      </c>
      <c r="R55" s="21">
        <f>IF(Deals[[#This Row],[Status]]="Approved",1,0)</f>
        <v>1</v>
      </c>
      <c r="S55" s="21">
        <f>IF(Deals[[#This Row],[IsApproved]]=1,Deals[[#This Row],[Amount]],0)</f>
        <v>20300</v>
      </c>
      <c r="T55" s="21">
        <f>Deals[[#This Row],[ApprovedAmount]]*Deals[[#This Row],[ProfitRate]]</f>
        <v>1138.83</v>
      </c>
    </row>
    <row r="56" spans="1:20">
      <c r="A56" s="2" t="s">
        <v>158</v>
      </c>
      <c r="B56" s="3">
        <v>46036</v>
      </c>
      <c r="C56" s="2" t="s">
        <v>159</v>
      </c>
      <c r="D56" s="2" t="s">
        <v>25</v>
      </c>
      <c r="E56" s="2" t="s">
        <v>30</v>
      </c>
      <c r="F56" s="2" t="s">
        <v>3</v>
      </c>
      <c r="G56" s="4">
        <v>15200</v>
      </c>
      <c r="H56" s="5">
        <v>4.8399999999999999E-2</v>
      </c>
      <c r="I56" s="2">
        <v>60</v>
      </c>
      <c r="J56" s="2" t="s">
        <v>66</v>
      </c>
      <c r="K56" s="2" t="s">
        <v>17</v>
      </c>
      <c r="L56" s="3">
        <v>46037</v>
      </c>
      <c r="M56" s="2" t="str">
        <f>_xlfn.XLOOKUP(Deals[[#This Row],[CustomerID]],Customers!A:A,Customers!F:F)</f>
        <v>Affluent</v>
      </c>
      <c r="N56" s="2" t="str">
        <f>_xlfn.XLOOKUP(Deals[[#This Row],[CustomerID]],Customers!A:A,Customers!E:E)</f>
        <v>Kuwaiti</v>
      </c>
      <c r="O56" s="2">
        <f>2026-_xlfn.XLOOKUP(Deals[[#This Row],[CustomerID]],Customers!A:A,Customers!D:D)</f>
        <v>63</v>
      </c>
      <c r="P56" s="2" t="str" cm="1">
        <f t="array" ref="P56">_xlfn.IFS(Deals[[#This Row],[Age]]&lt;30,"Under 30",Deals[[#This Row],[Age]]&lt;45,"30-44",TRUE,"45+")</f>
        <v>45+</v>
      </c>
      <c r="Q56" s="21">
        <f>IF(Deals[[#This Row],[Status]]="Pending","",Deals[[#This Row],[DecisionDate]]-Deals[[#This Row],[ApplicationDate]])</f>
        <v>1</v>
      </c>
      <c r="R56" s="21">
        <f>IF(Deals[[#This Row],[Status]]="Approved",1,0)</f>
        <v>1</v>
      </c>
      <c r="S56" s="21">
        <f>IF(Deals[[#This Row],[IsApproved]]=1,Deals[[#This Row],[Amount]],0)</f>
        <v>15200</v>
      </c>
      <c r="T56" s="21">
        <f>Deals[[#This Row],[ApprovedAmount]]*Deals[[#This Row],[ProfitRate]]</f>
        <v>735.68</v>
      </c>
    </row>
    <row r="57" spans="1:20">
      <c r="A57" s="2" t="s">
        <v>161</v>
      </c>
      <c r="B57" s="3">
        <v>46036</v>
      </c>
      <c r="C57" s="2" t="s">
        <v>162</v>
      </c>
      <c r="D57" s="2" t="s">
        <v>14</v>
      </c>
      <c r="E57" s="2" t="s">
        <v>15</v>
      </c>
      <c r="F57" s="2" t="s">
        <v>3</v>
      </c>
      <c r="G57" s="4">
        <v>7000</v>
      </c>
      <c r="H57" s="5">
        <v>6.5000000000000002E-2</v>
      </c>
      <c r="I57" s="2">
        <v>36</v>
      </c>
      <c r="J57" s="2" t="s">
        <v>48</v>
      </c>
      <c r="K57" s="2" t="s">
        <v>17</v>
      </c>
      <c r="L57" s="3">
        <v>46040</v>
      </c>
      <c r="M57" s="2" t="str">
        <f>_xlfn.XLOOKUP(Deals[[#This Row],[CustomerID]],Customers!A:A,Customers!F:F)</f>
        <v>Premium</v>
      </c>
      <c r="N57" s="2" t="str">
        <f>_xlfn.XLOOKUP(Deals[[#This Row],[CustomerID]],Customers!A:A,Customers!E:E)</f>
        <v>Non-Kuwaiti</v>
      </c>
      <c r="O57" s="2">
        <f>2026-_xlfn.XLOOKUP(Deals[[#This Row],[CustomerID]],Customers!A:A,Customers!D:D)</f>
        <v>61</v>
      </c>
      <c r="P57" s="2" t="str" cm="1">
        <f t="array" ref="P57">_xlfn.IFS(Deals[[#This Row],[Age]]&lt;30,"Under 30",Deals[[#This Row],[Age]]&lt;45,"30-44",TRUE,"45+")</f>
        <v>45+</v>
      </c>
      <c r="Q57" s="21">
        <f>IF(Deals[[#This Row],[Status]]="Pending","",Deals[[#This Row],[DecisionDate]]-Deals[[#This Row],[ApplicationDate]])</f>
        <v>4</v>
      </c>
      <c r="R57" s="21">
        <f>IF(Deals[[#This Row],[Status]]="Approved",1,0)</f>
        <v>1</v>
      </c>
      <c r="S57" s="21">
        <f>IF(Deals[[#This Row],[IsApproved]]=1,Deals[[#This Row],[Amount]],0)</f>
        <v>7000</v>
      </c>
      <c r="T57" s="21">
        <f>Deals[[#This Row],[ApprovedAmount]]*Deals[[#This Row],[ProfitRate]]</f>
        <v>455</v>
      </c>
    </row>
    <row r="58" spans="1:20">
      <c r="A58" s="2" t="s">
        <v>163</v>
      </c>
      <c r="B58" s="3">
        <v>46036</v>
      </c>
      <c r="C58" s="2" t="s">
        <v>164</v>
      </c>
      <c r="D58" s="2" t="s">
        <v>54</v>
      </c>
      <c r="E58" s="2" t="s">
        <v>15</v>
      </c>
      <c r="F58" s="2" t="s">
        <v>3</v>
      </c>
      <c r="G58" s="4">
        <v>21700</v>
      </c>
      <c r="H58" s="5">
        <v>5.8500000000000003E-2</v>
      </c>
      <c r="I58" s="2">
        <v>48</v>
      </c>
      <c r="J58" s="2" t="s">
        <v>148</v>
      </c>
      <c r="K58" s="2" t="s">
        <v>17</v>
      </c>
      <c r="L58" s="3">
        <v>46039</v>
      </c>
      <c r="M58" s="2" t="str">
        <f>_xlfn.XLOOKUP(Deals[[#This Row],[CustomerID]],Customers!A:A,Customers!F:F)</f>
        <v>Premium</v>
      </c>
      <c r="N58" s="2" t="str">
        <f>_xlfn.XLOOKUP(Deals[[#This Row],[CustomerID]],Customers!A:A,Customers!E:E)</f>
        <v>Non-Kuwaiti</v>
      </c>
      <c r="O58" s="2">
        <f>2026-_xlfn.XLOOKUP(Deals[[#This Row],[CustomerID]],Customers!A:A,Customers!D:D)</f>
        <v>64</v>
      </c>
      <c r="P58" s="2" t="str" cm="1">
        <f t="array" ref="P58">_xlfn.IFS(Deals[[#This Row],[Age]]&lt;30,"Under 30",Deals[[#This Row],[Age]]&lt;45,"30-44",TRUE,"45+")</f>
        <v>45+</v>
      </c>
      <c r="Q58" s="21">
        <f>IF(Deals[[#This Row],[Status]]="Pending","",Deals[[#This Row],[DecisionDate]]-Deals[[#This Row],[ApplicationDate]])</f>
        <v>3</v>
      </c>
      <c r="R58" s="21">
        <f>IF(Deals[[#This Row],[Status]]="Approved",1,0)</f>
        <v>1</v>
      </c>
      <c r="S58" s="21">
        <f>IF(Deals[[#This Row],[IsApproved]]=1,Deals[[#This Row],[Amount]],0)</f>
        <v>21700</v>
      </c>
      <c r="T58" s="21">
        <f>Deals[[#This Row],[ApprovedAmount]]*Deals[[#This Row],[ProfitRate]]</f>
        <v>1269.45</v>
      </c>
    </row>
    <row r="59" spans="1:20">
      <c r="A59" s="2" t="s">
        <v>165</v>
      </c>
      <c r="B59" s="3">
        <v>46036</v>
      </c>
      <c r="C59" s="2" t="s">
        <v>166</v>
      </c>
      <c r="D59" s="2" t="s">
        <v>20</v>
      </c>
      <c r="E59" s="2" t="s">
        <v>43</v>
      </c>
      <c r="F59" s="2" t="s">
        <v>3</v>
      </c>
      <c r="G59" s="4">
        <v>84800</v>
      </c>
      <c r="H59" s="5">
        <v>7.7799999999999994E-2</v>
      </c>
      <c r="I59" s="2">
        <v>24</v>
      </c>
      <c r="J59" s="2" t="s">
        <v>37</v>
      </c>
      <c r="K59" s="2" t="s">
        <v>17</v>
      </c>
      <c r="L59" s="3">
        <v>46047</v>
      </c>
      <c r="M59" s="2" t="str">
        <f>_xlfn.XLOOKUP(Deals[[#This Row],[CustomerID]],Customers!A:A,Customers!F:F)</f>
        <v>Mass</v>
      </c>
      <c r="N59" s="2" t="str">
        <f>_xlfn.XLOOKUP(Deals[[#This Row],[CustomerID]],Customers!A:A,Customers!E:E)</f>
        <v>Kuwaiti</v>
      </c>
      <c r="O59" s="2">
        <f>2026-_xlfn.XLOOKUP(Deals[[#This Row],[CustomerID]],Customers!A:A,Customers!D:D)</f>
        <v>24</v>
      </c>
      <c r="P59" s="2" t="str" cm="1">
        <f t="array" ref="P59">_xlfn.IFS(Deals[[#This Row],[Age]]&lt;30,"Under 30",Deals[[#This Row],[Age]]&lt;45,"30-44",TRUE,"45+")</f>
        <v>Under 30</v>
      </c>
      <c r="Q59" s="21">
        <f>IF(Deals[[#This Row],[Status]]="Pending","",Deals[[#This Row],[DecisionDate]]-Deals[[#This Row],[ApplicationDate]])</f>
        <v>11</v>
      </c>
      <c r="R59" s="21">
        <f>IF(Deals[[#This Row],[Status]]="Approved",1,0)</f>
        <v>1</v>
      </c>
      <c r="S59" s="21">
        <f>IF(Deals[[#This Row],[IsApproved]]=1,Deals[[#This Row],[Amount]],0)</f>
        <v>84800</v>
      </c>
      <c r="T59" s="21">
        <f>Deals[[#This Row],[ApprovedAmount]]*Deals[[#This Row],[ProfitRate]]</f>
        <v>6597.44</v>
      </c>
    </row>
    <row r="60" spans="1:20">
      <c r="A60" s="2" t="s">
        <v>167</v>
      </c>
      <c r="B60" s="3">
        <v>46036</v>
      </c>
      <c r="C60" s="2" t="s">
        <v>168</v>
      </c>
      <c r="D60" s="2" t="s">
        <v>25</v>
      </c>
      <c r="E60" s="2" t="s">
        <v>43</v>
      </c>
      <c r="F60" s="2" t="s">
        <v>3</v>
      </c>
      <c r="G60" s="4">
        <v>80000</v>
      </c>
      <c r="H60" s="5">
        <v>6.0199999999999997E-2</v>
      </c>
      <c r="I60" s="2">
        <v>36</v>
      </c>
      <c r="J60" s="2" t="s">
        <v>26</v>
      </c>
      <c r="K60" s="2" t="s">
        <v>45</v>
      </c>
      <c r="L60" s="3">
        <v>46046</v>
      </c>
      <c r="M60" s="2" t="str">
        <f>_xlfn.XLOOKUP(Deals[[#This Row],[CustomerID]],Customers!A:A,Customers!F:F)</f>
        <v>Mass</v>
      </c>
      <c r="N60" s="2" t="str">
        <f>_xlfn.XLOOKUP(Deals[[#This Row],[CustomerID]],Customers!A:A,Customers!E:E)</f>
        <v>Kuwaiti</v>
      </c>
      <c r="O60" s="2">
        <f>2026-_xlfn.XLOOKUP(Deals[[#This Row],[CustomerID]],Customers!A:A,Customers!D:D)</f>
        <v>44</v>
      </c>
      <c r="P60" s="2" t="str" cm="1">
        <f t="array" ref="P60">_xlfn.IFS(Deals[[#This Row],[Age]]&lt;30,"Under 30",Deals[[#This Row],[Age]]&lt;45,"30-44",TRUE,"45+")</f>
        <v>30-44</v>
      </c>
      <c r="Q60" s="21">
        <f>IF(Deals[[#This Row],[Status]]="Pending","",Deals[[#This Row],[DecisionDate]]-Deals[[#This Row],[ApplicationDate]])</f>
        <v>10</v>
      </c>
      <c r="R60" s="21">
        <f>IF(Deals[[#This Row],[Status]]="Approved",1,0)</f>
        <v>0</v>
      </c>
      <c r="S60" s="21">
        <f>IF(Deals[[#This Row],[IsApproved]]=1,Deals[[#This Row],[Amount]],0)</f>
        <v>0</v>
      </c>
      <c r="T60" s="21">
        <f>Deals[[#This Row],[ApprovedAmount]]*Deals[[#This Row],[ProfitRate]]</f>
        <v>0</v>
      </c>
    </row>
    <row r="61" spans="1:20">
      <c r="A61" s="2" t="s">
        <v>169</v>
      </c>
      <c r="B61" s="3">
        <v>46036</v>
      </c>
      <c r="C61" s="2" t="s">
        <v>170</v>
      </c>
      <c r="D61" s="2" t="s">
        <v>20</v>
      </c>
      <c r="E61" s="2" t="s">
        <v>15</v>
      </c>
      <c r="F61" s="2" t="s">
        <v>3</v>
      </c>
      <c r="G61" s="4">
        <v>11900</v>
      </c>
      <c r="H61" s="5">
        <v>5.7799999999999997E-2</v>
      </c>
      <c r="I61" s="2">
        <v>36</v>
      </c>
      <c r="J61" s="2" t="s">
        <v>22</v>
      </c>
      <c r="K61" s="2" t="s">
        <v>17</v>
      </c>
      <c r="L61" s="3">
        <v>46039</v>
      </c>
      <c r="M61" s="2" t="str">
        <f>_xlfn.XLOOKUP(Deals[[#This Row],[CustomerID]],Customers!A:A,Customers!F:F)</f>
        <v>Affluent</v>
      </c>
      <c r="N61" s="2" t="str">
        <f>_xlfn.XLOOKUP(Deals[[#This Row],[CustomerID]],Customers!A:A,Customers!E:E)</f>
        <v>Non-Kuwaiti</v>
      </c>
      <c r="O61" s="2">
        <f>2026-_xlfn.XLOOKUP(Deals[[#This Row],[CustomerID]],Customers!A:A,Customers!D:D)</f>
        <v>22</v>
      </c>
      <c r="P61" s="2" t="str" cm="1">
        <f t="array" ref="P61">_xlfn.IFS(Deals[[#This Row],[Age]]&lt;30,"Under 30",Deals[[#This Row],[Age]]&lt;45,"30-44",TRUE,"45+")</f>
        <v>Under 30</v>
      </c>
      <c r="Q61" s="21">
        <f>IF(Deals[[#This Row],[Status]]="Pending","",Deals[[#This Row],[DecisionDate]]-Deals[[#This Row],[ApplicationDate]])</f>
        <v>3</v>
      </c>
      <c r="R61" s="21">
        <f>IF(Deals[[#This Row],[Status]]="Approved",1,0)</f>
        <v>1</v>
      </c>
      <c r="S61" s="21">
        <f>IF(Deals[[#This Row],[IsApproved]]=1,Deals[[#This Row],[Amount]],0)</f>
        <v>11900</v>
      </c>
      <c r="T61" s="21">
        <f>Deals[[#This Row],[ApprovedAmount]]*Deals[[#This Row],[ProfitRate]]</f>
        <v>687.81999999999994</v>
      </c>
    </row>
    <row r="62" spans="1:20">
      <c r="A62" s="2" t="s">
        <v>171</v>
      </c>
      <c r="B62" s="3">
        <v>46037</v>
      </c>
      <c r="C62" s="2" t="s">
        <v>172</v>
      </c>
      <c r="D62" s="2" t="s">
        <v>20</v>
      </c>
      <c r="E62" s="2" t="s">
        <v>15</v>
      </c>
      <c r="F62" s="2" t="s">
        <v>3</v>
      </c>
      <c r="G62" s="4">
        <v>10900</v>
      </c>
      <c r="H62" s="5">
        <v>6.9400000000000003E-2</v>
      </c>
      <c r="I62" s="2">
        <v>48</v>
      </c>
      <c r="J62" s="2" t="s">
        <v>44</v>
      </c>
      <c r="K62" s="2" t="s">
        <v>17</v>
      </c>
      <c r="L62" s="3">
        <v>46043</v>
      </c>
      <c r="M62" s="2" t="str">
        <f>_xlfn.XLOOKUP(Deals[[#This Row],[CustomerID]],Customers!A:A,Customers!F:F)</f>
        <v>Premium</v>
      </c>
      <c r="N62" s="2" t="str">
        <f>_xlfn.XLOOKUP(Deals[[#This Row],[CustomerID]],Customers!A:A,Customers!E:E)</f>
        <v>Kuwaiti</v>
      </c>
      <c r="O62" s="2">
        <f>2026-_xlfn.XLOOKUP(Deals[[#This Row],[CustomerID]],Customers!A:A,Customers!D:D)</f>
        <v>46</v>
      </c>
      <c r="P62" s="2" t="str" cm="1">
        <f t="array" ref="P62">_xlfn.IFS(Deals[[#This Row],[Age]]&lt;30,"Under 30",Deals[[#This Row],[Age]]&lt;45,"30-44",TRUE,"45+")</f>
        <v>45+</v>
      </c>
      <c r="Q62" s="21">
        <f>IF(Deals[[#This Row],[Status]]="Pending","",Deals[[#This Row],[DecisionDate]]-Deals[[#This Row],[ApplicationDate]])</f>
        <v>6</v>
      </c>
      <c r="R62" s="21">
        <f>IF(Deals[[#This Row],[Status]]="Approved",1,0)</f>
        <v>1</v>
      </c>
      <c r="S62" s="21">
        <f>IF(Deals[[#This Row],[IsApproved]]=1,Deals[[#This Row],[Amount]],0)</f>
        <v>10900</v>
      </c>
      <c r="T62" s="21">
        <f>Deals[[#This Row],[ApprovedAmount]]*Deals[[#This Row],[ProfitRate]]</f>
        <v>756.46</v>
      </c>
    </row>
    <row r="63" spans="1:20">
      <c r="A63" s="2" t="s">
        <v>173</v>
      </c>
      <c r="B63" s="3">
        <v>46037</v>
      </c>
      <c r="C63" s="2" t="s">
        <v>174</v>
      </c>
      <c r="D63" s="2" t="s">
        <v>20</v>
      </c>
      <c r="E63" s="2" t="s">
        <v>30</v>
      </c>
      <c r="F63" s="2" t="s">
        <v>55</v>
      </c>
      <c r="G63" s="4">
        <v>15800</v>
      </c>
      <c r="H63" s="5">
        <v>3.6900000000000002E-2</v>
      </c>
      <c r="I63" s="2">
        <v>60</v>
      </c>
      <c r="J63" s="2" t="s">
        <v>22</v>
      </c>
      <c r="K63" s="2" t="s">
        <v>17</v>
      </c>
      <c r="L63" s="3">
        <v>46038</v>
      </c>
      <c r="M63" s="2" t="str">
        <f>_xlfn.XLOOKUP(Deals[[#This Row],[CustomerID]],Customers!A:A,Customers!F:F)</f>
        <v>Affluent</v>
      </c>
      <c r="N63" s="2" t="str">
        <f>_xlfn.XLOOKUP(Deals[[#This Row],[CustomerID]],Customers!A:A,Customers!E:E)</f>
        <v>Kuwaiti</v>
      </c>
      <c r="O63" s="2">
        <f>2026-_xlfn.XLOOKUP(Deals[[#This Row],[CustomerID]],Customers!A:A,Customers!D:D)</f>
        <v>46</v>
      </c>
      <c r="P63" s="2" t="str" cm="1">
        <f t="array" ref="P63">_xlfn.IFS(Deals[[#This Row],[Age]]&lt;30,"Under 30",Deals[[#This Row],[Age]]&lt;45,"30-44",TRUE,"45+")</f>
        <v>45+</v>
      </c>
      <c r="Q63" s="21">
        <f>IF(Deals[[#This Row],[Status]]="Pending","",Deals[[#This Row],[DecisionDate]]-Deals[[#This Row],[ApplicationDate]])</f>
        <v>1</v>
      </c>
      <c r="R63" s="21">
        <f>IF(Deals[[#This Row],[Status]]="Approved",1,0)</f>
        <v>1</v>
      </c>
      <c r="S63" s="21">
        <f>IF(Deals[[#This Row],[IsApproved]]=1,Deals[[#This Row],[Amount]],0)</f>
        <v>15800</v>
      </c>
      <c r="T63" s="21">
        <f>Deals[[#This Row],[ApprovedAmount]]*Deals[[#This Row],[ProfitRate]]</f>
        <v>583.02</v>
      </c>
    </row>
    <row r="64" spans="1:20">
      <c r="A64" s="2" t="s">
        <v>175</v>
      </c>
      <c r="B64" s="3">
        <v>46037</v>
      </c>
      <c r="C64" s="2" t="s">
        <v>176</v>
      </c>
      <c r="D64" s="2" t="s">
        <v>25</v>
      </c>
      <c r="E64" s="2" t="s">
        <v>30</v>
      </c>
      <c r="F64" s="2" t="s">
        <v>3</v>
      </c>
      <c r="G64" s="4">
        <v>4600</v>
      </c>
      <c r="H64" s="5">
        <v>3.7400000000000003E-2</v>
      </c>
      <c r="I64" s="2">
        <v>36</v>
      </c>
      <c r="J64" s="2" t="s">
        <v>26</v>
      </c>
      <c r="K64" s="2" t="s">
        <v>17</v>
      </c>
      <c r="L64" s="3">
        <v>46038</v>
      </c>
      <c r="M64" s="2" t="str">
        <f>_xlfn.XLOOKUP(Deals[[#This Row],[CustomerID]],Customers!A:A,Customers!F:F)</f>
        <v>Mass</v>
      </c>
      <c r="N64" s="2" t="str">
        <f>_xlfn.XLOOKUP(Deals[[#This Row],[CustomerID]],Customers!A:A,Customers!E:E)</f>
        <v>Kuwaiti</v>
      </c>
      <c r="O64" s="2">
        <f>2026-_xlfn.XLOOKUP(Deals[[#This Row],[CustomerID]],Customers!A:A,Customers!D:D)</f>
        <v>34</v>
      </c>
      <c r="P64" s="2" t="str" cm="1">
        <f t="array" ref="P64">_xlfn.IFS(Deals[[#This Row],[Age]]&lt;30,"Under 30",Deals[[#This Row],[Age]]&lt;45,"30-44",TRUE,"45+")</f>
        <v>30-44</v>
      </c>
      <c r="Q64" s="21">
        <f>IF(Deals[[#This Row],[Status]]="Pending","",Deals[[#This Row],[DecisionDate]]-Deals[[#This Row],[ApplicationDate]])</f>
        <v>1</v>
      </c>
      <c r="R64" s="21">
        <f>IF(Deals[[#This Row],[Status]]="Approved",1,0)</f>
        <v>1</v>
      </c>
      <c r="S64" s="21">
        <f>IF(Deals[[#This Row],[IsApproved]]=1,Deals[[#This Row],[Amount]],0)</f>
        <v>4600</v>
      </c>
      <c r="T64" s="21">
        <f>Deals[[#This Row],[ApprovedAmount]]*Deals[[#This Row],[ProfitRate]]</f>
        <v>172.04000000000002</v>
      </c>
    </row>
    <row r="65" spans="1:20">
      <c r="A65" s="2" t="s">
        <v>177</v>
      </c>
      <c r="B65" s="3">
        <v>46038</v>
      </c>
      <c r="C65" s="2" t="s">
        <v>178</v>
      </c>
      <c r="D65" s="2" t="s">
        <v>14</v>
      </c>
      <c r="E65" s="2" t="s">
        <v>15</v>
      </c>
      <c r="F65" s="2" t="s">
        <v>3</v>
      </c>
      <c r="G65" s="4">
        <v>13600</v>
      </c>
      <c r="H65" s="5">
        <v>6.4399999999999999E-2</v>
      </c>
      <c r="I65" s="2">
        <v>60</v>
      </c>
      <c r="J65" s="2" t="s">
        <v>40</v>
      </c>
      <c r="K65" s="2" t="s">
        <v>17</v>
      </c>
      <c r="L65" s="3">
        <v>46042</v>
      </c>
      <c r="M65" s="2" t="str">
        <f>_xlfn.XLOOKUP(Deals[[#This Row],[CustomerID]],Customers!A:A,Customers!F:F)</f>
        <v>Mass</v>
      </c>
      <c r="N65" s="2" t="str">
        <f>_xlfn.XLOOKUP(Deals[[#This Row],[CustomerID]],Customers!A:A,Customers!E:E)</f>
        <v>Non-Kuwaiti</v>
      </c>
      <c r="O65" s="2">
        <f>2026-_xlfn.XLOOKUP(Deals[[#This Row],[CustomerID]],Customers!A:A,Customers!D:D)</f>
        <v>71</v>
      </c>
      <c r="P65" s="2" t="str" cm="1">
        <f t="array" ref="P65">_xlfn.IFS(Deals[[#This Row],[Age]]&lt;30,"Under 30",Deals[[#This Row],[Age]]&lt;45,"30-44",TRUE,"45+")</f>
        <v>45+</v>
      </c>
      <c r="Q65" s="21">
        <f>IF(Deals[[#This Row],[Status]]="Pending","",Deals[[#This Row],[DecisionDate]]-Deals[[#This Row],[ApplicationDate]])</f>
        <v>4</v>
      </c>
      <c r="R65" s="21">
        <f>IF(Deals[[#This Row],[Status]]="Approved",1,0)</f>
        <v>1</v>
      </c>
      <c r="S65" s="21">
        <f>IF(Deals[[#This Row],[IsApproved]]=1,Deals[[#This Row],[Amount]],0)</f>
        <v>13600</v>
      </c>
      <c r="T65" s="21">
        <f>Deals[[#This Row],[ApprovedAmount]]*Deals[[#This Row],[ProfitRate]]</f>
        <v>875.84</v>
      </c>
    </row>
    <row r="66" spans="1:20">
      <c r="A66" s="2" t="s">
        <v>179</v>
      </c>
      <c r="B66" s="3">
        <v>46038</v>
      </c>
      <c r="C66" s="2" t="s">
        <v>180</v>
      </c>
      <c r="D66" s="2" t="s">
        <v>25</v>
      </c>
      <c r="E66" s="2" t="s">
        <v>15</v>
      </c>
      <c r="F66" s="2" t="s">
        <v>3</v>
      </c>
      <c r="G66" s="4">
        <v>14700</v>
      </c>
      <c r="H66" s="5">
        <v>6.9599999999999995E-2</v>
      </c>
      <c r="I66" s="2">
        <v>36</v>
      </c>
      <c r="J66" s="2" t="s">
        <v>181</v>
      </c>
      <c r="K66" s="2" t="s">
        <v>45</v>
      </c>
      <c r="L66" s="3">
        <v>46045</v>
      </c>
      <c r="M66" s="2" t="str">
        <f>_xlfn.XLOOKUP(Deals[[#This Row],[CustomerID]],Customers!A:A,Customers!F:F)</f>
        <v>Mass</v>
      </c>
      <c r="N66" s="2" t="str">
        <f>_xlfn.XLOOKUP(Deals[[#This Row],[CustomerID]],Customers!A:A,Customers!E:E)</f>
        <v>Kuwaiti</v>
      </c>
      <c r="O66" s="2">
        <f>2026-_xlfn.XLOOKUP(Deals[[#This Row],[CustomerID]],Customers!A:A,Customers!D:D)</f>
        <v>42</v>
      </c>
      <c r="P66" s="2" t="str" cm="1">
        <f t="array" ref="P66">_xlfn.IFS(Deals[[#This Row],[Age]]&lt;30,"Under 30",Deals[[#This Row],[Age]]&lt;45,"30-44",TRUE,"45+")</f>
        <v>30-44</v>
      </c>
      <c r="Q66" s="21">
        <f>IF(Deals[[#This Row],[Status]]="Pending","",Deals[[#This Row],[DecisionDate]]-Deals[[#This Row],[ApplicationDate]])</f>
        <v>7</v>
      </c>
      <c r="R66" s="21">
        <f>IF(Deals[[#This Row],[Status]]="Approved",1,0)</f>
        <v>0</v>
      </c>
      <c r="S66" s="21">
        <f>IF(Deals[[#This Row],[IsApproved]]=1,Deals[[#This Row],[Amount]],0)</f>
        <v>0</v>
      </c>
      <c r="T66" s="21">
        <f>Deals[[#This Row],[ApprovedAmount]]*Deals[[#This Row],[ProfitRate]]</f>
        <v>0</v>
      </c>
    </row>
    <row r="67" spans="1:20">
      <c r="A67" s="2" t="s">
        <v>182</v>
      </c>
      <c r="B67" s="3">
        <v>46038</v>
      </c>
      <c r="C67" s="2" t="s">
        <v>183</v>
      </c>
      <c r="D67" s="2" t="s">
        <v>14</v>
      </c>
      <c r="E67" s="2" t="s">
        <v>15</v>
      </c>
      <c r="F67" s="2" t="s">
        <v>55</v>
      </c>
      <c r="G67" s="4">
        <v>16700</v>
      </c>
      <c r="H67" s="5">
        <v>6.7400000000000002E-2</v>
      </c>
      <c r="I67" s="2">
        <v>12</v>
      </c>
      <c r="J67" s="2" t="s">
        <v>40</v>
      </c>
      <c r="K67" s="2" t="s">
        <v>17</v>
      </c>
      <c r="L67" s="3">
        <v>46045</v>
      </c>
      <c r="M67" s="2" t="str">
        <f>_xlfn.XLOOKUP(Deals[[#This Row],[CustomerID]],Customers!A:A,Customers!F:F)</f>
        <v>Mass</v>
      </c>
      <c r="N67" s="2" t="str">
        <f>_xlfn.XLOOKUP(Deals[[#This Row],[CustomerID]],Customers!A:A,Customers!E:E)</f>
        <v>Non-Kuwaiti</v>
      </c>
      <c r="O67" s="2">
        <f>2026-_xlfn.XLOOKUP(Deals[[#This Row],[CustomerID]],Customers!A:A,Customers!D:D)</f>
        <v>54</v>
      </c>
      <c r="P67" s="2" t="str" cm="1">
        <f t="array" ref="P67">_xlfn.IFS(Deals[[#This Row],[Age]]&lt;30,"Under 30",Deals[[#This Row],[Age]]&lt;45,"30-44",TRUE,"45+")</f>
        <v>45+</v>
      </c>
      <c r="Q67" s="21">
        <f>IF(Deals[[#This Row],[Status]]="Pending","",Deals[[#This Row],[DecisionDate]]-Deals[[#This Row],[ApplicationDate]])</f>
        <v>7</v>
      </c>
      <c r="R67" s="21">
        <f>IF(Deals[[#This Row],[Status]]="Approved",1,0)</f>
        <v>1</v>
      </c>
      <c r="S67" s="21">
        <f>IF(Deals[[#This Row],[IsApproved]]=1,Deals[[#This Row],[Amount]],0)</f>
        <v>16700</v>
      </c>
      <c r="T67" s="21">
        <f>Deals[[#This Row],[ApprovedAmount]]*Deals[[#This Row],[ProfitRate]]</f>
        <v>1125.58</v>
      </c>
    </row>
    <row r="68" spans="1:20">
      <c r="A68" s="2" t="s">
        <v>184</v>
      </c>
      <c r="B68" s="3">
        <v>46038</v>
      </c>
      <c r="C68" s="2" t="s">
        <v>185</v>
      </c>
      <c r="D68" s="2" t="s">
        <v>54</v>
      </c>
      <c r="E68" s="2" t="s">
        <v>21</v>
      </c>
      <c r="F68" s="2" t="s">
        <v>3</v>
      </c>
      <c r="G68" s="4">
        <v>64500</v>
      </c>
      <c r="H68" s="5">
        <v>4.1000000000000002E-2</v>
      </c>
      <c r="I68" s="2">
        <v>120</v>
      </c>
      <c r="J68" s="2" t="s">
        <v>186</v>
      </c>
      <c r="K68" s="2" t="s">
        <v>17</v>
      </c>
      <c r="L68" s="3">
        <v>46054</v>
      </c>
      <c r="M68" s="2" t="str">
        <f>_xlfn.XLOOKUP(Deals[[#This Row],[CustomerID]],Customers!A:A,Customers!F:F)</f>
        <v>Affluent</v>
      </c>
      <c r="N68" s="2" t="str">
        <f>_xlfn.XLOOKUP(Deals[[#This Row],[CustomerID]],Customers!A:A,Customers!E:E)</f>
        <v>Non-Kuwaiti</v>
      </c>
      <c r="O68" s="2">
        <f>2026-_xlfn.XLOOKUP(Deals[[#This Row],[CustomerID]],Customers!A:A,Customers!D:D)</f>
        <v>53</v>
      </c>
      <c r="P68" s="2" t="str" cm="1">
        <f t="array" ref="P68">_xlfn.IFS(Deals[[#This Row],[Age]]&lt;30,"Under 30",Deals[[#This Row],[Age]]&lt;45,"30-44",TRUE,"45+")</f>
        <v>45+</v>
      </c>
      <c r="Q68" s="21">
        <f>IF(Deals[[#This Row],[Status]]="Pending","",Deals[[#This Row],[DecisionDate]]-Deals[[#This Row],[ApplicationDate]])</f>
        <v>16</v>
      </c>
      <c r="R68" s="21">
        <f>IF(Deals[[#This Row],[Status]]="Approved",1,0)</f>
        <v>1</v>
      </c>
      <c r="S68" s="21">
        <f>IF(Deals[[#This Row],[IsApproved]]=1,Deals[[#This Row],[Amount]],0)</f>
        <v>64500</v>
      </c>
      <c r="T68" s="21">
        <f>Deals[[#This Row],[ApprovedAmount]]*Deals[[#This Row],[ProfitRate]]</f>
        <v>2644.5</v>
      </c>
    </row>
    <row r="69" spans="1:20">
      <c r="A69" s="2" t="s">
        <v>187</v>
      </c>
      <c r="B69" s="3">
        <v>46038</v>
      </c>
      <c r="C69" s="2" t="s">
        <v>188</v>
      </c>
      <c r="D69" s="2" t="s">
        <v>29</v>
      </c>
      <c r="E69" s="2" t="s">
        <v>15</v>
      </c>
      <c r="F69" s="2" t="s">
        <v>3</v>
      </c>
      <c r="G69" s="4">
        <v>8400</v>
      </c>
      <c r="H69" s="5">
        <v>5.8900000000000001E-2</v>
      </c>
      <c r="I69" s="2">
        <v>48</v>
      </c>
      <c r="J69" s="2" t="s">
        <v>61</v>
      </c>
      <c r="K69" s="2" t="s">
        <v>17</v>
      </c>
      <c r="L69" s="3">
        <v>46040</v>
      </c>
      <c r="M69" s="2" t="str">
        <f>_xlfn.XLOOKUP(Deals[[#This Row],[CustomerID]],Customers!A:A,Customers!F:F)</f>
        <v>Mass</v>
      </c>
      <c r="N69" s="2" t="str">
        <f>_xlfn.XLOOKUP(Deals[[#This Row],[CustomerID]],Customers!A:A,Customers!E:E)</f>
        <v>Kuwaiti</v>
      </c>
      <c r="O69" s="2">
        <f>2026-_xlfn.XLOOKUP(Deals[[#This Row],[CustomerID]],Customers!A:A,Customers!D:D)</f>
        <v>55</v>
      </c>
      <c r="P69" s="2" t="str" cm="1">
        <f t="array" ref="P69">_xlfn.IFS(Deals[[#This Row],[Age]]&lt;30,"Under 30",Deals[[#This Row],[Age]]&lt;45,"30-44",TRUE,"45+")</f>
        <v>45+</v>
      </c>
      <c r="Q69" s="21">
        <f>IF(Deals[[#This Row],[Status]]="Pending","",Deals[[#This Row],[DecisionDate]]-Deals[[#This Row],[ApplicationDate]])</f>
        <v>2</v>
      </c>
      <c r="R69" s="21">
        <f>IF(Deals[[#This Row],[Status]]="Approved",1,0)</f>
        <v>1</v>
      </c>
      <c r="S69" s="21">
        <f>IF(Deals[[#This Row],[IsApproved]]=1,Deals[[#This Row],[Amount]],0)</f>
        <v>8400</v>
      </c>
      <c r="T69" s="21">
        <f>Deals[[#This Row],[ApprovedAmount]]*Deals[[#This Row],[ProfitRate]]</f>
        <v>494.76</v>
      </c>
    </row>
    <row r="70" spans="1:20">
      <c r="A70" s="2" t="s">
        <v>189</v>
      </c>
      <c r="B70" s="3">
        <v>46038</v>
      </c>
      <c r="C70" s="2" t="s">
        <v>190</v>
      </c>
      <c r="D70" s="2" t="s">
        <v>71</v>
      </c>
      <c r="E70" s="2" t="s">
        <v>30</v>
      </c>
      <c r="F70" s="2" t="s">
        <v>3</v>
      </c>
      <c r="G70" s="4">
        <v>10000</v>
      </c>
      <c r="H70" s="5">
        <v>4.9599999999999998E-2</v>
      </c>
      <c r="I70" s="2">
        <v>60</v>
      </c>
      <c r="J70" s="2" t="s">
        <v>94</v>
      </c>
      <c r="K70" s="2" t="s">
        <v>45</v>
      </c>
      <c r="L70" s="3">
        <v>46039</v>
      </c>
      <c r="M70" s="2" t="str">
        <f>_xlfn.XLOOKUP(Deals[[#This Row],[CustomerID]],Customers!A:A,Customers!F:F)</f>
        <v>Affluent</v>
      </c>
      <c r="N70" s="2" t="str">
        <f>_xlfn.XLOOKUP(Deals[[#This Row],[CustomerID]],Customers!A:A,Customers!E:E)</f>
        <v>Kuwaiti</v>
      </c>
      <c r="O70" s="2">
        <f>2026-_xlfn.XLOOKUP(Deals[[#This Row],[CustomerID]],Customers!A:A,Customers!D:D)</f>
        <v>42</v>
      </c>
      <c r="P70" s="2" t="str" cm="1">
        <f t="array" ref="P70">_xlfn.IFS(Deals[[#This Row],[Age]]&lt;30,"Under 30",Deals[[#This Row],[Age]]&lt;45,"30-44",TRUE,"45+")</f>
        <v>30-44</v>
      </c>
      <c r="Q70" s="21">
        <f>IF(Deals[[#This Row],[Status]]="Pending","",Deals[[#This Row],[DecisionDate]]-Deals[[#This Row],[ApplicationDate]])</f>
        <v>1</v>
      </c>
      <c r="R70" s="21">
        <f>IF(Deals[[#This Row],[Status]]="Approved",1,0)</f>
        <v>0</v>
      </c>
      <c r="S70" s="21">
        <f>IF(Deals[[#This Row],[IsApproved]]=1,Deals[[#This Row],[Amount]],0)</f>
        <v>0</v>
      </c>
      <c r="T70" s="21">
        <f>Deals[[#This Row],[ApprovedAmount]]*Deals[[#This Row],[ProfitRate]]</f>
        <v>0</v>
      </c>
    </row>
    <row r="71" spans="1:20">
      <c r="A71" s="2" t="s">
        <v>191</v>
      </c>
      <c r="B71" s="3">
        <v>46039</v>
      </c>
      <c r="C71" s="2" t="s">
        <v>192</v>
      </c>
      <c r="D71" s="2" t="s">
        <v>71</v>
      </c>
      <c r="E71" s="2" t="s">
        <v>21</v>
      </c>
      <c r="F71" s="2" t="s">
        <v>3</v>
      </c>
      <c r="G71" s="4">
        <v>176900</v>
      </c>
      <c r="H71" s="5">
        <v>3.39E-2</v>
      </c>
      <c r="I71" s="2">
        <v>300</v>
      </c>
      <c r="J71" s="2" t="s">
        <v>101</v>
      </c>
      <c r="K71" s="2" t="s">
        <v>45</v>
      </c>
      <c r="L71" s="3">
        <v>46053</v>
      </c>
      <c r="M71" s="2" t="str">
        <f>_xlfn.XLOOKUP(Deals[[#This Row],[CustomerID]],Customers!A:A,Customers!F:F)</f>
        <v>Mass</v>
      </c>
      <c r="N71" s="2" t="str">
        <f>_xlfn.XLOOKUP(Deals[[#This Row],[CustomerID]],Customers!A:A,Customers!E:E)</f>
        <v>Kuwaiti</v>
      </c>
      <c r="O71" s="2">
        <f>2026-_xlfn.XLOOKUP(Deals[[#This Row],[CustomerID]],Customers!A:A,Customers!D:D)</f>
        <v>38</v>
      </c>
      <c r="P71" s="2" t="str" cm="1">
        <f t="array" ref="P71">_xlfn.IFS(Deals[[#This Row],[Age]]&lt;30,"Under 30",Deals[[#This Row],[Age]]&lt;45,"30-44",TRUE,"45+")</f>
        <v>30-44</v>
      </c>
      <c r="Q71" s="21">
        <f>IF(Deals[[#This Row],[Status]]="Pending","",Deals[[#This Row],[DecisionDate]]-Deals[[#This Row],[ApplicationDate]])</f>
        <v>14</v>
      </c>
      <c r="R71" s="21">
        <f>IF(Deals[[#This Row],[Status]]="Approved",1,0)</f>
        <v>0</v>
      </c>
      <c r="S71" s="21">
        <f>IF(Deals[[#This Row],[IsApproved]]=1,Deals[[#This Row],[Amount]],0)</f>
        <v>0</v>
      </c>
      <c r="T71" s="21">
        <f>Deals[[#This Row],[ApprovedAmount]]*Deals[[#This Row],[ProfitRate]]</f>
        <v>0</v>
      </c>
    </row>
    <row r="72" spans="1:20">
      <c r="A72" s="2" t="s">
        <v>193</v>
      </c>
      <c r="B72" s="3">
        <v>46039</v>
      </c>
      <c r="C72" s="2" t="s">
        <v>24</v>
      </c>
      <c r="D72" s="2" t="s">
        <v>25</v>
      </c>
      <c r="E72" s="2" t="s">
        <v>15</v>
      </c>
      <c r="F72" s="2" t="s">
        <v>3</v>
      </c>
      <c r="G72" s="4">
        <v>7700</v>
      </c>
      <c r="H72" s="5">
        <v>6.7299999999999999E-2</v>
      </c>
      <c r="I72" s="2">
        <v>60</v>
      </c>
      <c r="J72" s="2" t="s">
        <v>181</v>
      </c>
      <c r="K72" s="2" t="s">
        <v>17</v>
      </c>
      <c r="L72" s="3">
        <v>46041</v>
      </c>
      <c r="M72" s="2" t="str">
        <f>_xlfn.XLOOKUP(Deals[[#This Row],[CustomerID]],Customers!A:A,Customers!F:F)</f>
        <v>Affluent</v>
      </c>
      <c r="N72" s="2" t="str">
        <f>_xlfn.XLOOKUP(Deals[[#This Row],[CustomerID]],Customers!A:A,Customers!E:E)</f>
        <v>Kuwaiti</v>
      </c>
      <c r="O72" s="2">
        <f>2026-_xlfn.XLOOKUP(Deals[[#This Row],[CustomerID]],Customers!A:A,Customers!D:D)</f>
        <v>25</v>
      </c>
      <c r="P72" s="2" t="str" cm="1">
        <f t="array" ref="P72">_xlfn.IFS(Deals[[#This Row],[Age]]&lt;30,"Under 30",Deals[[#This Row],[Age]]&lt;45,"30-44",TRUE,"45+")</f>
        <v>Under 30</v>
      </c>
      <c r="Q72" s="21">
        <f>IF(Deals[[#This Row],[Status]]="Pending","",Deals[[#This Row],[DecisionDate]]-Deals[[#This Row],[ApplicationDate]])</f>
        <v>2</v>
      </c>
      <c r="R72" s="21">
        <f>IF(Deals[[#This Row],[Status]]="Approved",1,0)</f>
        <v>1</v>
      </c>
      <c r="S72" s="21">
        <f>IF(Deals[[#This Row],[IsApproved]]=1,Deals[[#This Row],[Amount]],0)</f>
        <v>7700</v>
      </c>
      <c r="T72" s="21">
        <f>Deals[[#This Row],[ApprovedAmount]]*Deals[[#This Row],[ProfitRate]]</f>
        <v>518.21</v>
      </c>
    </row>
    <row r="73" spans="1:20">
      <c r="A73" s="2" t="s">
        <v>194</v>
      </c>
      <c r="B73" s="3">
        <v>46040</v>
      </c>
      <c r="C73" s="2" t="s">
        <v>195</v>
      </c>
      <c r="D73" s="2" t="s">
        <v>71</v>
      </c>
      <c r="E73" s="2" t="s">
        <v>15</v>
      </c>
      <c r="F73" s="2" t="s">
        <v>3</v>
      </c>
      <c r="G73" s="4">
        <v>9100</v>
      </c>
      <c r="H73" s="5">
        <v>6.4100000000000004E-2</v>
      </c>
      <c r="I73" s="2">
        <v>60</v>
      </c>
      <c r="J73" s="2" t="s">
        <v>72</v>
      </c>
      <c r="K73" s="2" t="s">
        <v>17</v>
      </c>
      <c r="L73" s="3">
        <v>46046</v>
      </c>
      <c r="M73" s="2" t="str">
        <f>_xlfn.XLOOKUP(Deals[[#This Row],[CustomerID]],Customers!A:A,Customers!F:F)</f>
        <v>Affluent</v>
      </c>
      <c r="N73" s="2" t="str">
        <f>_xlfn.XLOOKUP(Deals[[#This Row],[CustomerID]],Customers!A:A,Customers!E:E)</f>
        <v>Kuwaiti</v>
      </c>
      <c r="O73" s="2">
        <f>2026-_xlfn.XLOOKUP(Deals[[#This Row],[CustomerID]],Customers!A:A,Customers!D:D)</f>
        <v>32</v>
      </c>
      <c r="P73" s="2" t="str" cm="1">
        <f t="array" ref="P73">_xlfn.IFS(Deals[[#This Row],[Age]]&lt;30,"Under 30",Deals[[#This Row],[Age]]&lt;45,"30-44",TRUE,"45+")</f>
        <v>30-44</v>
      </c>
      <c r="Q73" s="21">
        <f>IF(Deals[[#This Row],[Status]]="Pending","",Deals[[#This Row],[DecisionDate]]-Deals[[#This Row],[ApplicationDate]])</f>
        <v>6</v>
      </c>
      <c r="R73" s="21">
        <f>IF(Deals[[#This Row],[Status]]="Approved",1,0)</f>
        <v>1</v>
      </c>
      <c r="S73" s="21">
        <f>IF(Deals[[#This Row],[IsApproved]]=1,Deals[[#This Row],[Amount]],0)</f>
        <v>9100</v>
      </c>
      <c r="T73" s="21">
        <f>Deals[[#This Row],[ApprovedAmount]]*Deals[[#This Row],[ProfitRate]]</f>
        <v>583.31000000000006</v>
      </c>
    </row>
    <row r="74" spans="1:20">
      <c r="A74" s="2" t="s">
        <v>197</v>
      </c>
      <c r="B74" s="3">
        <v>46041</v>
      </c>
      <c r="C74" s="2" t="s">
        <v>198</v>
      </c>
      <c r="D74" s="2" t="s">
        <v>29</v>
      </c>
      <c r="E74" s="2" t="s">
        <v>15</v>
      </c>
      <c r="F74" s="2" t="s">
        <v>3</v>
      </c>
      <c r="G74" s="4">
        <v>6400</v>
      </c>
      <c r="H74" s="5">
        <v>6.9599999999999995E-2</v>
      </c>
      <c r="I74" s="2">
        <v>12</v>
      </c>
      <c r="J74" s="2" t="s">
        <v>123</v>
      </c>
      <c r="K74" s="2" t="s">
        <v>45</v>
      </c>
      <c r="L74" s="3">
        <v>46045</v>
      </c>
      <c r="M74" s="2" t="str">
        <f>_xlfn.XLOOKUP(Deals[[#This Row],[CustomerID]],Customers!A:A,Customers!F:F)</f>
        <v>Premium</v>
      </c>
      <c r="N74" s="2" t="str">
        <f>_xlfn.XLOOKUP(Deals[[#This Row],[CustomerID]],Customers!A:A,Customers!E:E)</f>
        <v>Kuwaiti</v>
      </c>
      <c r="O74" s="2">
        <f>2026-_xlfn.XLOOKUP(Deals[[#This Row],[CustomerID]],Customers!A:A,Customers!D:D)</f>
        <v>36</v>
      </c>
      <c r="P74" s="2" t="str" cm="1">
        <f t="array" ref="P74">_xlfn.IFS(Deals[[#This Row],[Age]]&lt;30,"Under 30",Deals[[#This Row],[Age]]&lt;45,"30-44",TRUE,"45+")</f>
        <v>30-44</v>
      </c>
      <c r="Q74" s="21">
        <f>IF(Deals[[#This Row],[Status]]="Pending","",Deals[[#This Row],[DecisionDate]]-Deals[[#This Row],[ApplicationDate]])</f>
        <v>4</v>
      </c>
      <c r="R74" s="21">
        <f>IF(Deals[[#This Row],[Status]]="Approved",1,0)</f>
        <v>0</v>
      </c>
      <c r="S74" s="21">
        <f>IF(Deals[[#This Row],[IsApproved]]=1,Deals[[#This Row],[Amount]],0)</f>
        <v>0</v>
      </c>
      <c r="T74" s="21">
        <f>Deals[[#This Row],[ApprovedAmount]]*Deals[[#This Row],[ProfitRate]]</f>
        <v>0</v>
      </c>
    </row>
    <row r="75" spans="1:20">
      <c r="A75" s="2" t="s">
        <v>199</v>
      </c>
      <c r="B75" s="3">
        <v>46041</v>
      </c>
      <c r="C75" s="2" t="s">
        <v>200</v>
      </c>
      <c r="D75" s="2" t="s">
        <v>14</v>
      </c>
      <c r="E75" s="2" t="s">
        <v>30</v>
      </c>
      <c r="F75" s="2" t="s">
        <v>31</v>
      </c>
      <c r="G75" s="4">
        <v>7400</v>
      </c>
      <c r="H75" s="5">
        <v>4.5900000000000003E-2</v>
      </c>
      <c r="I75" s="2">
        <v>36</v>
      </c>
      <c r="J75" s="2" t="s">
        <v>48</v>
      </c>
      <c r="K75" s="2" t="s">
        <v>17</v>
      </c>
      <c r="L75" s="3">
        <v>46045</v>
      </c>
      <c r="M75" s="2" t="str">
        <f>_xlfn.XLOOKUP(Deals[[#This Row],[CustomerID]],Customers!A:A,Customers!F:F)</f>
        <v>Mass</v>
      </c>
      <c r="N75" s="2" t="str">
        <f>_xlfn.XLOOKUP(Deals[[#This Row],[CustomerID]],Customers!A:A,Customers!E:E)</f>
        <v>Kuwaiti</v>
      </c>
      <c r="O75" s="2">
        <f>2026-_xlfn.XLOOKUP(Deals[[#This Row],[CustomerID]],Customers!A:A,Customers!D:D)</f>
        <v>50</v>
      </c>
      <c r="P75" s="2" t="str" cm="1">
        <f t="array" ref="P75">_xlfn.IFS(Deals[[#This Row],[Age]]&lt;30,"Under 30",Deals[[#This Row],[Age]]&lt;45,"30-44",TRUE,"45+")</f>
        <v>45+</v>
      </c>
      <c r="Q75" s="21">
        <f>IF(Deals[[#This Row],[Status]]="Pending","",Deals[[#This Row],[DecisionDate]]-Deals[[#This Row],[ApplicationDate]])</f>
        <v>4</v>
      </c>
      <c r="R75" s="21">
        <f>IF(Deals[[#This Row],[Status]]="Approved",1,0)</f>
        <v>1</v>
      </c>
      <c r="S75" s="21">
        <f>IF(Deals[[#This Row],[IsApproved]]=1,Deals[[#This Row],[Amount]],0)</f>
        <v>7400</v>
      </c>
      <c r="T75" s="21">
        <f>Deals[[#This Row],[ApprovedAmount]]*Deals[[#This Row],[ProfitRate]]</f>
        <v>339.66</v>
      </c>
    </row>
    <row r="76" spans="1:20">
      <c r="A76" s="2" t="s">
        <v>201</v>
      </c>
      <c r="B76" s="3">
        <v>46041</v>
      </c>
      <c r="C76" s="2" t="s">
        <v>202</v>
      </c>
      <c r="D76" s="2" t="s">
        <v>14</v>
      </c>
      <c r="E76" s="2" t="s">
        <v>15</v>
      </c>
      <c r="F76" s="2" t="s">
        <v>55</v>
      </c>
      <c r="G76" s="4">
        <v>24200</v>
      </c>
      <c r="H76" s="5">
        <v>6.5500000000000003E-2</v>
      </c>
      <c r="I76" s="2">
        <v>12</v>
      </c>
      <c r="J76" s="2" t="s">
        <v>16</v>
      </c>
      <c r="K76" s="2" t="s">
        <v>45</v>
      </c>
      <c r="L76" s="3">
        <v>46045</v>
      </c>
      <c r="M76" s="2" t="str">
        <f>_xlfn.XLOOKUP(Deals[[#This Row],[CustomerID]],Customers!A:A,Customers!F:F)</f>
        <v>Mass</v>
      </c>
      <c r="N76" s="2" t="str">
        <f>_xlfn.XLOOKUP(Deals[[#This Row],[CustomerID]],Customers!A:A,Customers!E:E)</f>
        <v>Non-Kuwaiti</v>
      </c>
      <c r="O76" s="2">
        <f>2026-_xlfn.XLOOKUP(Deals[[#This Row],[CustomerID]],Customers!A:A,Customers!D:D)</f>
        <v>64</v>
      </c>
      <c r="P76" s="2" t="str" cm="1">
        <f t="array" ref="P76">_xlfn.IFS(Deals[[#This Row],[Age]]&lt;30,"Under 30",Deals[[#This Row],[Age]]&lt;45,"30-44",TRUE,"45+")</f>
        <v>45+</v>
      </c>
      <c r="Q76" s="21">
        <f>IF(Deals[[#This Row],[Status]]="Pending","",Deals[[#This Row],[DecisionDate]]-Deals[[#This Row],[ApplicationDate]])</f>
        <v>4</v>
      </c>
      <c r="R76" s="21">
        <f>IF(Deals[[#This Row],[Status]]="Approved",1,0)</f>
        <v>0</v>
      </c>
      <c r="S76" s="21">
        <f>IF(Deals[[#This Row],[IsApproved]]=1,Deals[[#This Row],[Amount]],0)</f>
        <v>0</v>
      </c>
      <c r="T76" s="21">
        <f>Deals[[#This Row],[ApprovedAmount]]*Deals[[#This Row],[ProfitRate]]</f>
        <v>0</v>
      </c>
    </row>
    <row r="77" spans="1:20">
      <c r="A77" s="2" t="s">
        <v>203</v>
      </c>
      <c r="B77" s="3">
        <v>46041</v>
      </c>
      <c r="C77" s="2" t="s">
        <v>204</v>
      </c>
      <c r="D77" s="2" t="s">
        <v>25</v>
      </c>
      <c r="E77" s="2" t="s">
        <v>21</v>
      </c>
      <c r="F77" s="2" t="s">
        <v>3</v>
      </c>
      <c r="G77" s="4">
        <v>142300</v>
      </c>
      <c r="H77" s="5">
        <v>4.3400000000000001E-2</v>
      </c>
      <c r="I77" s="2">
        <v>300</v>
      </c>
      <c r="J77" s="2" t="s">
        <v>26</v>
      </c>
      <c r="K77" s="2" t="s">
        <v>17</v>
      </c>
      <c r="L77" s="3">
        <v>46062</v>
      </c>
      <c r="M77" s="2" t="str">
        <f>_xlfn.XLOOKUP(Deals[[#This Row],[CustomerID]],Customers!A:A,Customers!F:F)</f>
        <v>Affluent</v>
      </c>
      <c r="N77" s="2" t="str">
        <f>_xlfn.XLOOKUP(Deals[[#This Row],[CustomerID]],Customers!A:A,Customers!E:E)</f>
        <v>Kuwaiti</v>
      </c>
      <c r="O77" s="2">
        <f>2026-_xlfn.XLOOKUP(Deals[[#This Row],[CustomerID]],Customers!A:A,Customers!D:D)</f>
        <v>44</v>
      </c>
      <c r="P77" s="2" t="str" cm="1">
        <f t="array" ref="P77">_xlfn.IFS(Deals[[#This Row],[Age]]&lt;30,"Under 30",Deals[[#This Row],[Age]]&lt;45,"30-44",TRUE,"45+")</f>
        <v>30-44</v>
      </c>
      <c r="Q77" s="21">
        <f>IF(Deals[[#This Row],[Status]]="Pending","",Deals[[#This Row],[DecisionDate]]-Deals[[#This Row],[ApplicationDate]])</f>
        <v>21</v>
      </c>
      <c r="R77" s="21">
        <f>IF(Deals[[#This Row],[Status]]="Approved",1,0)</f>
        <v>1</v>
      </c>
      <c r="S77" s="21">
        <f>IF(Deals[[#This Row],[IsApproved]]=1,Deals[[#This Row],[Amount]],0)</f>
        <v>142300</v>
      </c>
      <c r="T77" s="21">
        <f>Deals[[#This Row],[ApprovedAmount]]*Deals[[#This Row],[ProfitRate]]</f>
        <v>6175.82</v>
      </c>
    </row>
    <row r="78" spans="1:20">
      <c r="A78" s="2" t="s">
        <v>205</v>
      </c>
      <c r="B78" s="3">
        <v>46041</v>
      </c>
      <c r="C78" s="2" t="s">
        <v>206</v>
      </c>
      <c r="D78" s="2" t="s">
        <v>54</v>
      </c>
      <c r="E78" s="2" t="s">
        <v>15</v>
      </c>
      <c r="F78" s="2" t="s">
        <v>31</v>
      </c>
      <c r="G78" s="4">
        <v>5700</v>
      </c>
      <c r="H78" s="5">
        <v>6.3899999999999998E-2</v>
      </c>
      <c r="I78" s="2">
        <v>24</v>
      </c>
      <c r="J78" s="2" t="s">
        <v>148</v>
      </c>
      <c r="K78" s="2" t="s">
        <v>17</v>
      </c>
      <c r="L78" s="3">
        <v>46045</v>
      </c>
      <c r="M78" s="2" t="str">
        <f>_xlfn.XLOOKUP(Deals[[#This Row],[CustomerID]],Customers!A:A,Customers!F:F)</f>
        <v>Affluent</v>
      </c>
      <c r="N78" s="2" t="str">
        <f>_xlfn.XLOOKUP(Deals[[#This Row],[CustomerID]],Customers!A:A,Customers!E:E)</f>
        <v>Kuwaiti</v>
      </c>
      <c r="O78" s="2">
        <f>2026-_xlfn.XLOOKUP(Deals[[#This Row],[CustomerID]],Customers!A:A,Customers!D:D)</f>
        <v>51</v>
      </c>
      <c r="P78" s="2" t="str" cm="1">
        <f t="array" ref="P78">_xlfn.IFS(Deals[[#This Row],[Age]]&lt;30,"Under 30",Deals[[#This Row],[Age]]&lt;45,"30-44",TRUE,"45+")</f>
        <v>45+</v>
      </c>
      <c r="Q78" s="21">
        <f>IF(Deals[[#This Row],[Status]]="Pending","",Deals[[#This Row],[DecisionDate]]-Deals[[#This Row],[ApplicationDate]])</f>
        <v>4</v>
      </c>
      <c r="R78" s="21">
        <f>IF(Deals[[#This Row],[Status]]="Approved",1,0)</f>
        <v>1</v>
      </c>
      <c r="S78" s="21">
        <f>IF(Deals[[#This Row],[IsApproved]]=1,Deals[[#This Row],[Amount]],0)</f>
        <v>5700</v>
      </c>
      <c r="T78" s="21">
        <f>Deals[[#This Row],[ApprovedAmount]]*Deals[[#This Row],[ProfitRate]]</f>
        <v>364.23</v>
      </c>
    </row>
    <row r="79" spans="1:20">
      <c r="A79" s="2" t="s">
        <v>207</v>
      </c>
      <c r="B79" s="3">
        <v>46042</v>
      </c>
      <c r="C79" s="2" t="s">
        <v>208</v>
      </c>
      <c r="D79" s="2" t="s">
        <v>20</v>
      </c>
      <c r="E79" s="2" t="s">
        <v>43</v>
      </c>
      <c r="F79" s="2" t="s">
        <v>3</v>
      </c>
      <c r="G79" s="4">
        <v>80500</v>
      </c>
      <c r="H79" s="5">
        <v>7.8700000000000006E-2</v>
      </c>
      <c r="I79" s="2">
        <v>36</v>
      </c>
      <c r="J79" s="2" t="s">
        <v>37</v>
      </c>
      <c r="K79" s="2" t="s">
        <v>45</v>
      </c>
      <c r="L79" s="3">
        <v>46061</v>
      </c>
      <c r="M79" s="2" t="str">
        <f>_xlfn.XLOOKUP(Deals[[#This Row],[CustomerID]],Customers!A:A,Customers!F:F)</f>
        <v>Mass</v>
      </c>
      <c r="N79" s="2" t="str">
        <f>_xlfn.XLOOKUP(Deals[[#This Row],[CustomerID]],Customers!A:A,Customers!E:E)</f>
        <v>Kuwaiti</v>
      </c>
      <c r="O79" s="2">
        <f>2026-_xlfn.XLOOKUP(Deals[[#This Row],[CustomerID]],Customers!A:A,Customers!D:D)</f>
        <v>29</v>
      </c>
      <c r="P79" s="2" t="str" cm="1">
        <f t="array" ref="P79">_xlfn.IFS(Deals[[#This Row],[Age]]&lt;30,"Under 30",Deals[[#This Row],[Age]]&lt;45,"30-44",TRUE,"45+")</f>
        <v>Under 30</v>
      </c>
      <c r="Q79" s="21">
        <f>IF(Deals[[#This Row],[Status]]="Pending","",Deals[[#This Row],[DecisionDate]]-Deals[[#This Row],[ApplicationDate]])</f>
        <v>19</v>
      </c>
      <c r="R79" s="21">
        <f>IF(Deals[[#This Row],[Status]]="Approved",1,0)</f>
        <v>0</v>
      </c>
      <c r="S79" s="21">
        <f>IF(Deals[[#This Row],[IsApproved]]=1,Deals[[#This Row],[Amount]],0)</f>
        <v>0</v>
      </c>
      <c r="T79" s="21">
        <f>Deals[[#This Row],[ApprovedAmount]]*Deals[[#This Row],[ProfitRate]]</f>
        <v>0</v>
      </c>
    </row>
    <row r="80" spans="1:20">
      <c r="A80" s="2" t="s">
        <v>209</v>
      </c>
      <c r="B80" s="3">
        <v>46042</v>
      </c>
      <c r="C80" s="2" t="s">
        <v>210</v>
      </c>
      <c r="D80" s="2" t="s">
        <v>25</v>
      </c>
      <c r="E80" s="2" t="s">
        <v>43</v>
      </c>
      <c r="F80" s="2" t="s">
        <v>3</v>
      </c>
      <c r="G80" s="4">
        <v>20400</v>
      </c>
      <c r="H80" s="5">
        <v>6.6900000000000001E-2</v>
      </c>
      <c r="I80" s="2">
        <v>84</v>
      </c>
      <c r="J80" s="2" t="s">
        <v>181</v>
      </c>
      <c r="K80" s="2" t="s">
        <v>45</v>
      </c>
      <c r="L80" s="3">
        <v>46054</v>
      </c>
      <c r="M80" s="2" t="str">
        <f>_xlfn.XLOOKUP(Deals[[#This Row],[CustomerID]],Customers!A:A,Customers!F:F)</f>
        <v>Mass</v>
      </c>
      <c r="N80" s="2" t="str">
        <f>_xlfn.XLOOKUP(Deals[[#This Row],[CustomerID]],Customers!A:A,Customers!E:E)</f>
        <v>Kuwaiti</v>
      </c>
      <c r="O80" s="2">
        <f>2026-_xlfn.XLOOKUP(Deals[[#This Row],[CustomerID]],Customers!A:A,Customers!D:D)</f>
        <v>23</v>
      </c>
      <c r="P80" s="2" t="str" cm="1">
        <f t="array" ref="P80">_xlfn.IFS(Deals[[#This Row],[Age]]&lt;30,"Under 30",Deals[[#This Row],[Age]]&lt;45,"30-44",TRUE,"45+")</f>
        <v>Under 30</v>
      </c>
      <c r="Q80" s="21">
        <f>IF(Deals[[#This Row],[Status]]="Pending","",Deals[[#This Row],[DecisionDate]]-Deals[[#This Row],[ApplicationDate]])</f>
        <v>12</v>
      </c>
      <c r="R80" s="21">
        <f>IF(Deals[[#This Row],[Status]]="Approved",1,0)</f>
        <v>0</v>
      </c>
      <c r="S80" s="21">
        <f>IF(Deals[[#This Row],[IsApproved]]=1,Deals[[#This Row],[Amount]],0)</f>
        <v>0</v>
      </c>
      <c r="T80" s="21">
        <f>Deals[[#This Row],[ApprovedAmount]]*Deals[[#This Row],[ProfitRate]]</f>
        <v>0</v>
      </c>
    </row>
    <row r="81" spans="1:20">
      <c r="A81" s="2" t="s">
        <v>212</v>
      </c>
      <c r="B81" s="3">
        <v>46043</v>
      </c>
      <c r="C81" s="2" t="s">
        <v>213</v>
      </c>
      <c r="D81" s="2" t="s">
        <v>29</v>
      </c>
      <c r="E81" s="2" t="s">
        <v>15</v>
      </c>
      <c r="F81" s="2" t="s">
        <v>3</v>
      </c>
      <c r="G81" s="4">
        <v>12200</v>
      </c>
      <c r="H81" s="5">
        <v>5.6500000000000002E-2</v>
      </c>
      <c r="I81" s="2">
        <v>12</v>
      </c>
      <c r="J81" s="2" t="s">
        <v>61</v>
      </c>
      <c r="K81" s="2" t="s">
        <v>17</v>
      </c>
      <c r="L81" s="3">
        <v>46046</v>
      </c>
      <c r="M81" s="2" t="str">
        <f>_xlfn.XLOOKUP(Deals[[#This Row],[CustomerID]],Customers!A:A,Customers!F:F)</f>
        <v>Mass</v>
      </c>
      <c r="N81" s="2" t="str">
        <f>_xlfn.XLOOKUP(Deals[[#This Row],[CustomerID]],Customers!A:A,Customers!E:E)</f>
        <v>Kuwaiti</v>
      </c>
      <c r="O81" s="2">
        <f>2026-_xlfn.XLOOKUP(Deals[[#This Row],[CustomerID]],Customers!A:A,Customers!D:D)</f>
        <v>28</v>
      </c>
      <c r="P81" s="2" t="str" cm="1">
        <f t="array" ref="P81">_xlfn.IFS(Deals[[#This Row],[Age]]&lt;30,"Under 30",Deals[[#This Row],[Age]]&lt;45,"30-44",TRUE,"45+")</f>
        <v>Under 30</v>
      </c>
      <c r="Q81" s="21">
        <f>IF(Deals[[#This Row],[Status]]="Pending","",Deals[[#This Row],[DecisionDate]]-Deals[[#This Row],[ApplicationDate]])</f>
        <v>3</v>
      </c>
      <c r="R81" s="21">
        <f>IF(Deals[[#This Row],[Status]]="Approved",1,0)</f>
        <v>1</v>
      </c>
      <c r="S81" s="21">
        <f>IF(Deals[[#This Row],[IsApproved]]=1,Deals[[#This Row],[Amount]],0)</f>
        <v>12200</v>
      </c>
      <c r="T81" s="21">
        <f>Deals[[#This Row],[ApprovedAmount]]*Deals[[#This Row],[ProfitRate]]</f>
        <v>689.30000000000007</v>
      </c>
    </row>
    <row r="82" spans="1:20">
      <c r="A82" s="2" t="s">
        <v>214</v>
      </c>
      <c r="B82" s="3">
        <v>46043</v>
      </c>
      <c r="C82" s="2" t="s">
        <v>146</v>
      </c>
      <c r="D82" s="2" t="s">
        <v>29</v>
      </c>
      <c r="E82" s="2" t="s">
        <v>15</v>
      </c>
      <c r="F82" s="2" t="s">
        <v>3</v>
      </c>
      <c r="G82" s="4">
        <v>17500</v>
      </c>
      <c r="H82" s="5">
        <v>6.5000000000000002E-2</v>
      </c>
      <c r="I82" s="2">
        <v>12</v>
      </c>
      <c r="J82" s="2" t="s">
        <v>61</v>
      </c>
      <c r="K82" s="2" t="s">
        <v>17</v>
      </c>
      <c r="L82" s="3">
        <v>46046</v>
      </c>
      <c r="M82" s="2" t="str">
        <f>_xlfn.XLOOKUP(Deals[[#This Row],[CustomerID]],Customers!A:A,Customers!F:F)</f>
        <v>Mass</v>
      </c>
      <c r="N82" s="2" t="str">
        <f>_xlfn.XLOOKUP(Deals[[#This Row],[CustomerID]],Customers!A:A,Customers!E:E)</f>
        <v>Kuwaiti</v>
      </c>
      <c r="O82" s="2">
        <f>2026-_xlfn.XLOOKUP(Deals[[#This Row],[CustomerID]],Customers!A:A,Customers!D:D)</f>
        <v>24</v>
      </c>
      <c r="P82" s="2" t="str" cm="1">
        <f t="array" ref="P82">_xlfn.IFS(Deals[[#This Row],[Age]]&lt;30,"Under 30",Deals[[#This Row],[Age]]&lt;45,"30-44",TRUE,"45+")</f>
        <v>Under 30</v>
      </c>
      <c r="Q82" s="21">
        <f>IF(Deals[[#This Row],[Status]]="Pending","",Deals[[#This Row],[DecisionDate]]-Deals[[#This Row],[ApplicationDate]])</f>
        <v>3</v>
      </c>
      <c r="R82" s="21">
        <f>IF(Deals[[#This Row],[Status]]="Approved",1,0)</f>
        <v>1</v>
      </c>
      <c r="S82" s="21">
        <f>IF(Deals[[#This Row],[IsApproved]]=1,Deals[[#This Row],[Amount]],0)</f>
        <v>17500</v>
      </c>
      <c r="T82" s="21">
        <f>Deals[[#This Row],[ApprovedAmount]]*Deals[[#This Row],[ProfitRate]]</f>
        <v>1137.5</v>
      </c>
    </row>
    <row r="83" spans="1:20">
      <c r="A83" s="2" t="s">
        <v>215</v>
      </c>
      <c r="B83" s="3">
        <v>46044</v>
      </c>
      <c r="C83" s="2" t="s">
        <v>216</v>
      </c>
      <c r="D83" s="2" t="s">
        <v>29</v>
      </c>
      <c r="E83" s="2" t="s">
        <v>30</v>
      </c>
      <c r="F83" s="2" t="s">
        <v>3</v>
      </c>
      <c r="G83" s="4">
        <v>8400</v>
      </c>
      <c r="H83" s="5">
        <v>3.7999999999999999E-2</v>
      </c>
      <c r="I83" s="2">
        <v>60</v>
      </c>
      <c r="J83" s="2" t="s">
        <v>32</v>
      </c>
      <c r="K83" s="2" t="s">
        <v>17</v>
      </c>
      <c r="L83" s="3">
        <v>46048</v>
      </c>
      <c r="M83" s="2" t="str">
        <f>_xlfn.XLOOKUP(Deals[[#This Row],[CustomerID]],Customers!A:A,Customers!F:F)</f>
        <v>Mass</v>
      </c>
      <c r="N83" s="2" t="str">
        <f>_xlfn.XLOOKUP(Deals[[#This Row],[CustomerID]],Customers!A:A,Customers!E:E)</f>
        <v>Kuwaiti</v>
      </c>
      <c r="O83" s="2">
        <f>2026-_xlfn.XLOOKUP(Deals[[#This Row],[CustomerID]],Customers!A:A,Customers!D:D)</f>
        <v>30</v>
      </c>
      <c r="P83" s="2" t="str" cm="1">
        <f t="array" ref="P83">_xlfn.IFS(Deals[[#This Row],[Age]]&lt;30,"Under 30",Deals[[#This Row],[Age]]&lt;45,"30-44",TRUE,"45+")</f>
        <v>30-44</v>
      </c>
      <c r="Q83" s="21">
        <f>IF(Deals[[#This Row],[Status]]="Pending","",Deals[[#This Row],[DecisionDate]]-Deals[[#This Row],[ApplicationDate]])</f>
        <v>4</v>
      </c>
      <c r="R83" s="21">
        <f>IF(Deals[[#This Row],[Status]]="Approved",1,0)</f>
        <v>1</v>
      </c>
      <c r="S83" s="21">
        <f>IF(Deals[[#This Row],[IsApproved]]=1,Deals[[#This Row],[Amount]],0)</f>
        <v>8400</v>
      </c>
      <c r="T83" s="21">
        <f>Deals[[#This Row],[ApprovedAmount]]*Deals[[#This Row],[ProfitRate]]</f>
        <v>319.2</v>
      </c>
    </row>
    <row r="84" spans="1:20">
      <c r="A84" s="2" t="s">
        <v>217</v>
      </c>
      <c r="B84" s="3">
        <v>46044</v>
      </c>
      <c r="C84" s="2" t="s">
        <v>218</v>
      </c>
      <c r="D84" s="2" t="s">
        <v>14</v>
      </c>
      <c r="E84" s="2" t="s">
        <v>43</v>
      </c>
      <c r="F84" s="2" t="s">
        <v>3</v>
      </c>
      <c r="G84" s="4">
        <v>71000</v>
      </c>
      <c r="H84" s="5">
        <v>0.06</v>
      </c>
      <c r="I84" s="2">
        <v>60</v>
      </c>
      <c r="J84" s="2" t="s">
        <v>16</v>
      </c>
      <c r="K84" s="2" t="s">
        <v>17</v>
      </c>
      <c r="L84" s="3">
        <v>46065</v>
      </c>
      <c r="M84" s="2" t="str">
        <f>_xlfn.XLOOKUP(Deals[[#This Row],[CustomerID]],Customers!A:A,Customers!F:F)</f>
        <v>Affluent</v>
      </c>
      <c r="N84" s="2" t="str">
        <f>_xlfn.XLOOKUP(Deals[[#This Row],[CustomerID]],Customers!A:A,Customers!E:E)</f>
        <v>Kuwaiti</v>
      </c>
      <c r="O84" s="2">
        <f>2026-_xlfn.XLOOKUP(Deals[[#This Row],[CustomerID]],Customers!A:A,Customers!D:D)</f>
        <v>39</v>
      </c>
      <c r="P84" s="2" t="str" cm="1">
        <f t="array" ref="P84">_xlfn.IFS(Deals[[#This Row],[Age]]&lt;30,"Under 30",Deals[[#This Row],[Age]]&lt;45,"30-44",TRUE,"45+")</f>
        <v>30-44</v>
      </c>
      <c r="Q84" s="21">
        <f>IF(Deals[[#This Row],[Status]]="Pending","",Deals[[#This Row],[DecisionDate]]-Deals[[#This Row],[ApplicationDate]])</f>
        <v>21</v>
      </c>
      <c r="R84" s="21">
        <f>IF(Deals[[#This Row],[Status]]="Approved",1,0)</f>
        <v>1</v>
      </c>
      <c r="S84" s="21">
        <f>IF(Deals[[#This Row],[IsApproved]]=1,Deals[[#This Row],[Amount]],0)</f>
        <v>71000</v>
      </c>
      <c r="T84" s="21">
        <f>Deals[[#This Row],[ApprovedAmount]]*Deals[[#This Row],[ProfitRate]]</f>
        <v>4260</v>
      </c>
    </row>
    <row r="85" spans="1:20">
      <c r="A85" s="2" t="s">
        <v>219</v>
      </c>
      <c r="B85" s="3">
        <v>46044</v>
      </c>
      <c r="C85" s="2" t="s">
        <v>220</v>
      </c>
      <c r="D85" s="2" t="s">
        <v>29</v>
      </c>
      <c r="E85" s="2" t="s">
        <v>30</v>
      </c>
      <c r="F85" s="2" t="s">
        <v>3</v>
      </c>
      <c r="G85" s="4">
        <v>17000</v>
      </c>
      <c r="H85" s="5">
        <v>3.78E-2</v>
      </c>
      <c r="I85" s="2">
        <v>36</v>
      </c>
      <c r="J85" s="2" t="s">
        <v>32</v>
      </c>
      <c r="K85" s="2" t="s">
        <v>17</v>
      </c>
      <c r="L85" s="3">
        <v>46045</v>
      </c>
      <c r="M85" s="2" t="str">
        <f>_xlfn.XLOOKUP(Deals[[#This Row],[CustomerID]],Customers!A:A,Customers!F:F)</f>
        <v>Affluent</v>
      </c>
      <c r="N85" s="2" t="str">
        <f>_xlfn.XLOOKUP(Deals[[#This Row],[CustomerID]],Customers!A:A,Customers!E:E)</f>
        <v>Kuwaiti</v>
      </c>
      <c r="O85" s="2">
        <f>2026-_xlfn.XLOOKUP(Deals[[#This Row],[CustomerID]],Customers!A:A,Customers!D:D)</f>
        <v>43</v>
      </c>
      <c r="P85" s="2" t="str" cm="1">
        <f t="array" ref="P85">_xlfn.IFS(Deals[[#This Row],[Age]]&lt;30,"Under 30",Deals[[#This Row],[Age]]&lt;45,"30-44",TRUE,"45+")</f>
        <v>30-44</v>
      </c>
      <c r="Q85" s="21">
        <f>IF(Deals[[#This Row],[Status]]="Pending","",Deals[[#This Row],[DecisionDate]]-Deals[[#This Row],[ApplicationDate]])</f>
        <v>1</v>
      </c>
      <c r="R85" s="21">
        <f>IF(Deals[[#This Row],[Status]]="Approved",1,0)</f>
        <v>1</v>
      </c>
      <c r="S85" s="21">
        <f>IF(Deals[[#This Row],[IsApproved]]=1,Deals[[#This Row],[Amount]],0)</f>
        <v>17000</v>
      </c>
      <c r="T85" s="21">
        <f>Deals[[#This Row],[ApprovedAmount]]*Deals[[#This Row],[ProfitRate]]</f>
        <v>642.6</v>
      </c>
    </row>
    <row r="86" spans="1:20">
      <c r="A86" s="2" t="s">
        <v>221</v>
      </c>
      <c r="B86" s="3">
        <v>46045</v>
      </c>
      <c r="C86" s="2" t="s">
        <v>222</v>
      </c>
      <c r="D86" s="2" t="s">
        <v>14</v>
      </c>
      <c r="E86" s="2" t="s">
        <v>30</v>
      </c>
      <c r="F86" s="2" t="s">
        <v>3</v>
      </c>
      <c r="G86" s="4">
        <v>15700</v>
      </c>
      <c r="H86" s="5">
        <v>3.5900000000000001E-2</v>
      </c>
      <c r="I86" s="2">
        <v>60</v>
      </c>
      <c r="J86" s="2" t="s">
        <v>16</v>
      </c>
      <c r="K86" s="2" t="s">
        <v>17</v>
      </c>
      <c r="L86" s="3">
        <v>46046</v>
      </c>
      <c r="M86" s="2" t="str">
        <f>_xlfn.XLOOKUP(Deals[[#This Row],[CustomerID]],Customers!A:A,Customers!F:F)</f>
        <v>Affluent</v>
      </c>
      <c r="N86" s="2" t="str">
        <f>_xlfn.XLOOKUP(Deals[[#This Row],[CustomerID]],Customers!A:A,Customers!E:E)</f>
        <v>Kuwaiti</v>
      </c>
      <c r="O86" s="2">
        <f>2026-_xlfn.XLOOKUP(Deals[[#This Row],[CustomerID]],Customers!A:A,Customers!D:D)</f>
        <v>61</v>
      </c>
      <c r="P86" s="2" t="str" cm="1">
        <f t="array" ref="P86">_xlfn.IFS(Deals[[#This Row],[Age]]&lt;30,"Under 30",Deals[[#This Row],[Age]]&lt;45,"30-44",TRUE,"45+")</f>
        <v>45+</v>
      </c>
      <c r="Q86" s="21">
        <f>IF(Deals[[#This Row],[Status]]="Pending","",Deals[[#This Row],[DecisionDate]]-Deals[[#This Row],[ApplicationDate]])</f>
        <v>1</v>
      </c>
      <c r="R86" s="21">
        <f>IF(Deals[[#This Row],[Status]]="Approved",1,0)</f>
        <v>1</v>
      </c>
      <c r="S86" s="21">
        <f>IF(Deals[[#This Row],[IsApproved]]=1,Deals[[#This Row],[Amount]],0)</f>
        <v>15700</v>
      </c>
      <c r="T86" s="21">
        <f>Deals[[#This Row],[ApprovedAmount]]*Deals[[#This Row],[ProfitRate]]</f>
        <v>563.63</v>
      </c>
    </row>
    <row r="87" spans="1:20">
      <c r="A87" s="2" t="s">
        <v>223</v>
      </c>
      <c r="B87" s="3">
        <v>46046</v>
      </c>
      <c r="C87" s="2" t="s">
        <v>224</v>
      </c>
      <c r="D87" s="2" t="s">
        <v>20</v>
      </c>
      <c r="E87" s="2" t="s">
        <v>21</v>
      </c>
      <c r="F87" s="2" t="s">
        <v>3</v>
      </c>
      <c r="G87" s="4">
        <v>145100</v>
      </c>
      <c r="H87" s="5">
        <v>3.1899999999999998E-2</v>
      </c>
      <c r="I87" s="2">
        <v>240</v>
      </c>
      <c r="J87" s="2" t="s">
        <v>22</v>
      </c>
      <c r="K87" s="2" t="s">
        <v>17</v>
      </c>
      <c r="L87" s="3">
        <v>46070</v>
      </c>
      <c r="M87" s="2" t="str">
        <f>_xlfn.XLOOKUP(Deals[[#This Row],[CustomerID]],Customers!A:A,Customers!F:F)</f>
        <v>Affluent</v>
      </c>
      <c r="N87" s="2" t="str">
        <f>_xlfn.XLOOKUP(Deals[[#This Row],[CustomerID]],Customers!A:A,Customers!E:E)</f>
        <v>Kuwaiti</v>
      </c>
      <c r="O87" s="2">
        <f>2026-_xlfn.XLOOKUP(Deals[[#This Row],[CustomerID]],Customers!A:A,Customers!D:D)</f>
        <v>29</v>
      </c>
      <c r="P87" s="2" t="str" cm="1">
        <f t="array" ref="P87">_xlfn.IFS(Deals[[#This Row],[Age]]&lt;30,"Under 30",Deals[[#This Row],[Age]]&lt;45,"30-44",TRUE,"45+")</f>
        <v>Under 30</v>
      </c>
      <c r="Q87" s="21">
        <f>IF(Deals[[#This Row],[Status]]="Pending","",Deals[[#This Row],[DecisionDate]]-Deals[[#This Row],[ApplicationDate]])</f>
        <v>24</v>
      </c>
      <c r="R87" s="21">
        <f>IF(Deals[[#This Row],[Status]]="Approved",1,0)</f>
        <v>1</v>
      </c>
      <c r="S87" s="21">
        <f>IF(Deals[[#This Row],[IsApproved]]=1,Deals[[#This Row],[Amount]],0)</f>
        <v>145100</v>
      </c>
      <c r="T87" s="21">
        <f>Deals[[#This Row],[ApprovedAmount]]*Deals[[#This Row],[ProfitRate]]</f>
        <v>4628.6899999999996</v>
      </c>
    </row>
    <row r="88" spans="1:20">
      <c r="A88" s="2" t="s">
        <v>225</v>
      </c>
      <c r="B88" s="3">
        <v>46046</v>
      </c>
      <c r="C88" s="2" t="s">
        <v>226</v>
      </c>
      <c r="D88" s="2" t="s">
        <v>29</v>
      </c>
      <c r="E88" s="2" t="s">
        <v>15</v>
      </c>
      <c r="F88" s="2" t="s">
        <v>3</v>
      </c>
      <c r="G88" s="4">
        <v>20800</v>
      </c>
      <c r="H88" s="5">
        <v>6.9699999999999998E-2</v>
      </c>
      <c r="I88" s="2">
        <v>12</v>
      </c>
      <c r="J88" s="2" t="s">
        <v>123</v>
      </c>
      <c r="K88" s="2" t="s">
        <v>17</v>
      </c>
      <c r="L88" s="3">
        <v>46053</v>
      </c>
      <c r="M88" s="2" t="str">
        <f>_xlfn.XLOOKUP(Deals[[#This Row],[CustomerID]],Customers!A:A,Customers!F:F)</f>
        <v>Mass</v>
      </c>
      <c r="N88" s="2" t="str">
        <f>_xlfn.XLOOKUP(Deals[[#This Row],[CustomerID]],Customers!A:A,Customers!E:E)</f>
        <v>Non-Kuwaiti</v>
      </c>
      <c r="O88" s="2">
        <f>2026-_xlfn.XLOOKUP(Deals[[#This Row],[CustomerID]],Customers!A:A,Customers!D:D)</f>
        <v>36</v>
      </c>
      <c r="P88" s="2" t="str" cm="1">
        <f t="array" ref="P88">_xlfn.IFS(Deals[[#This Row],[Age]]&lt;30,"Under 30",Deals[[#This Row],[Age]]&lt;45,"30-44",TRUE,"45+")</f>
        <v>30-44</v>
      </c>
      <c r="Q88" s="21">
        <f>IF(Deals[[#This Row],[Status]]="Pending","",Deals[[#This Row],[DecisionDate]]-Deals[[#This Row],[ApplicationDate]])</f>
        <v>7</v>
      </c>
      <c r="R88" s="21">
        <f>IF(Deals[[#This Row],[Status]]="Approved",1,0)</f>
        <v>1</v>
      </c>
      <c r="S88" s="21">
        <f>IF(Deals[[#This Row],[IsApproved]]=1,Deals[[#This Row],[Amount]],0)</f>
        <v>20800</v>
      </c>
      <c r="T88" s="21">
        <f>Deals[[#This Row],[ApprovedAmount]]*Deals[[#This Row],[ProfitRate]]</f>
        <v>1449.76</v>
      </c>
    </row>
    <row r="89" spans="1:20">
      <c r="A89" s="2" t="s">
        <v>227</v>
      </c>
      <c r="B89" s="3">
        <v>46046</v>
      </c>
      <c r="C89" s="2" t="s">
        <v>228</v>
      </c>
      <c r="D89" s="2" t="s">
        <v>20</v>
      </c>
      <c r="E89" s="2" t="s">
        <v>43</v>
      </c>
      <c r="F89" s="2" t="s">
        <v>3</v>
      </c>
      <c r="G89" s="4">
        <v>165600</v>
      </c>
      <c r="H89" s="5">
        <v>5.8400000000000001E-2</v>
      </c>
      <c r="I89" s="2">
        <v>60</v>
      </c>
      <c r="J89" s="2" t="s">
        <v>44</v>
      </c>
      <c r="K89" s="2" t="s">
        <v>17</v>
      </c>
      <c r="L89" s="3">
        <v>46063</v>
      </c>
      <c r="M89" s="2" t="str">
        <f>_xlfn.XLOOKUP(Deals[[#This Row],[CustomerID]],Customers!A:A,Customers!F:F)</f>
        <v>Affluent</v>
      </c>
      <c r="N89" s="2" t="str">
        <f>_xlfn.XLOOKUP(Deals[[#This Row],[CustomerID]],Customers!A:A,Customers!E:E)</f>
        <v>Non-Kuwaiti</v>
      </c>
      <c r="O89" s="2">
        <f>2026-_xlfn.XLOOKUP(Deals[[#This Row],[CustomerID]],Customers!A:A,Customers!D:D)</f>
        <v>53</v>
      </c>
      <c r="P89" s="2" t="str" cm="1">
        <f t="array" ref="P89">_xlfn.IFS(Deals[[#This Row],[Age]]&lt;30,"Under 30",Deals[[#This Row],[Age]]&lt;45,"30-44",TRUE,"45+")</f>
        <v>45+</v>
      </c>
      <c r="Q89" s="21">
        <f>IF(Deals[[#This Row],[Status]]="Pending","",Deals[[#This Row],[DecisionDate]]-Deals[[#This Row],[ApplicationDate]])</f>
        <v>17</v>
      </c>
      <c r="R89" s="21">
        <f>IF(Deals[[#This Row],[Status]]="Approved",1,0)</f>
        <v>1</v>
      </c>
      <c r="S89" s="21">
        <f>IF(Deals[[#This Row],[IsApproved]]=1,Deals[[#This Row],[Amount]],0)</f>
        <v>165600</v>
      </c>
      <c r="T89" s="21">
        <f>Deals[[#This Row],[ApprovedAmount]]*Deals[[#This Row],[ProfitRate]]</f>
        <v>9671.0400000000009</v>
      </c>
    </row>
    <row r="90" spans="1:20">
      <c r="A90" s="2" t="s">
        <v>229</v>
      </c>
      <c r="B90" s="3">
        <v>46046</v>
      </c>
      <c r="C90" s="2" t="s">
        <v>230</v>
      </c>
      <c r="D90" s="2" t="s">
        <v>54</v>
      </c>
      <c r="E90" s="2" t="s">
        <v>15</v>
      </c>
      <c r="F90" s="2" t="s">
        <v>3</v>
      </c>
      <c r="G90" s="4">
        <v>18300</v>
      </c>
      <c r="H90" s="5">
        <v>5.2200000000000003E-2</v>
      </c>
      <c r="I90" s="2">
        <v>24</v>
      </c>
      <c r="J90" s="2" t="s">
        <v>148</v>
      </c>
      <c r="K90" s="2" t="s">
        <v>17</v>
      </c>
      <c r="L90" s="3">
        <v>46051</v>
      </c>
      <c r="M90" s="2" t="str">
        <f>_xlfn.XLOOKUP(Deals[[#This Row],[CustomerID]],Customers!A:A,Customers!F:F)</f>
        <v>Affluent</v>
      </c>
      <c r="N90" s="2" t="str">
        <f>_xlfn.XLOOKUP(Deals[[#This Row],[CustomerID]],Customers!A:A,Customers!E:E)</f>
        <v>Kuwaiti</v>
      </c>
      <c r="O90" s="2">
        <f>2026-_xlfn.XLOOKUP(Deals[[#This Row],[CustomerID]],Customers!A:A,Customers!D:D)</f>
        <v>24</v>
      </c>
      <c r="P90" s="2" t="str" cm="1">
        <f t="array" ref="P90">_xlfn.IFS(Deals[[#This Row],[Age]]&lt;30,"Under 30",Deals[[#This Row],[Age]]&lt;45,"30-44",TRUE,"45+")</f>
        <v>Under 30</v>
      </c>
      <c r="Q90" s="21">
        <f>IF(Deals[[#This Row],[Status]]="Pending","",Deals[[#This Row],[DecisionDate]]-Deals[[#This Row],[ApplicationDate]])</f>
        <v>5</v>
      </c>
      <c r="R90" s="21">
        <f>IF(Deals[[#This Row],[Status]]="Approved",1,0)</f>
        <v>1</v>
      </c>
      <c r="S90" s="21">
        <f>IF(Deals[[#This Row],[IsApproved]]=1,Deals[[#This Row],[Amount]],0)</f>
        <v>18300</v>
      </c>
      <c r="T90" s="21">
        <f>Deals[[#This Row],[ApprovedAmount]]*Deals[[#This Row],[ProfitRate]]</f>
        <v>955.2600000000001</v>
      </c>
    </row>
    <row r="91" spans="1:20">
      <c r="A91" s="2" t="s">
        <v>231</v>
      </c>
      <c r="B91" s="3">
        <v>46047</v>
      </c>
      <c r="C91" s="2" t="s">
        <v>232</v>
      </c>
      <c r="D91" s="2" t="s">
        <v>14</v>
      </c>
      <c r="E91" s="2" t="s">
        <v>15</v>
      </c>
      <c r="F91" s="2" t="s">
        <v>3</v>
      </c>
      <c r="G91" s="4">
        <v>13600</v>
      </c>
      <c r="H91" s="5">
        <v>6.88E-2</v>
      </c>
      <c r="I91" s="2">
        <v>12</v>
      </c>
      <c r="J91" s="2" t="s">
        <v>48</v>
      </c>
      <c r="K91" s="2" t="s">
        <v>45</v>
      </c>
      <c r="L91" s="3">
        <v>46049</v>
      </c>
      <c r="M91" s="2" t="str">
        <f>_xlfn.XLOOKUP(Deals[[#This Row],[CustomerID]],Customers!A:A,Customers!F:F)</f>
        <v>Affluent</v>
      </c>
      <c r="N91" s="2" t="str">
        <f>_xlfn.XLOOKUP(Deals[[#This Row],[CustomerID]],Customers!A:A,Customers!E:E)</f>
        <v>Kuwaiti</v>
      </c>
      <c r="O91" s="2">
        <f>2026-_xlfn.XLOOKUP(Deals[[#This Row],[CustomerID]],Customers!A:A,Customers!D:D)</f>
        <v>30</v>
      </c>
      <c r="P91" s="2" t="str" cm="1">
        <f t="array" ref="P91">_xlfn.IFS(Deals[[#This Row],[Age]]&lt;30,"Under 30",Deals[[#This Row],[Age]]&lt;45,"30-44",TRUE,"45+")</f>
        <v>30-44</v>
      </c>
      <c r="Q91" s="21">
        <f>IF(Deals[[#This Row],[Status]]="Pending","",Deals[[#This Row],[DecisionDate]]-Deals[[#This Row],[ApplicationDate]])</f>
        <v>2</v>
      </c>
      <c r="R91" s="21">
        <f>IF(Deals[[#This Row],[Status]]="Approved",1,0)</f>
        <v>0</v>
      </c>
      <c r="S91" s="21">
        <f>IF(Deals[[#This Row],[IsApproved]]=1,Deals[[#This Row],[Amount]],0)</f>
        <v>0</v>
      </c>
      <c r="T91" s="21">
        <f>Deals[[#This Row],[ApprovedAmount]]*Deals[[#This Row],[ProfitRate]]</f>
        <v>0</v>
      </c>
    </row>
    <row r="92" spans="1:20">
      <c r="A92" s="2" t="s">
        <v>233</v>
      </c>
      <c r="B92" s="3">
        <v>46047</v>
      </c>
      <c r="C92" s="2" t="s">
        <v>234</v>
      </c>
      <c r="D92" s="2" t="s">
        <v>29</v>
      </c>
      <c r="E92" s="2" t="s">
        <v>15</v>
      </c>
      <c r="F92" s="2" t="s">
        <v>31</v>
      </c>
      <c r="G92" s="4">
        <v>8600</v>
      </c>
      <c r="H92" s="5">
        <v>5.9799999999999999E-2</v>
      </c>
      <c r="I92" s="2">
        <v>36</v>
      </c>
      <c r="J92" s="2" t="s">
        <v>32</v>
      </c>
      <c r="K92" s="2" t="s">
        <v>17</v>
      </c>
      <c r="L92" s="3">
        <v>46048</v>
      </c>
      <c r="M92" s="2" t="str">
        <f>_xlfn.XLOOKUP(Deals[[#This Row],[CustomerID]],Customers!A:A,Customers!F:F)</f>
        <v>Mass</v>
      </c>
      <c r="N92" s="2" t="str">
        <f>_xlfn.XLOOKUP(Deals[[#This Row],[CustomerID]],Customers!A:A,Customers!E:E)</f>
        <v>Kuwaiti</v>
      </c>
      <c r="O92" s="2">
        <f>2026-_xlfn.XLOOKUP(Deals[[#This Row],[CustomerID]],Customers!A:A,Customers!D:D)</f>
        <v>65</v>
      </c>
      <c r="P92" s="2" t="str" cm="1">
        <f t="array" ref="P92">_xlfn.IFS(Deals[[#This Row],[Age]]&lt;30,"Under 30",Deals[[#This Row],[Age]]&lt;45,"30-44",TRUE,"45+")</f>
        <v>45+</v>
      </c>
      <c r="Q92" s="21">
        <f>IF(Deals[[#This Row],[Status]]="Pending","",Deals[[#This Row],[DecisionDate]]-Deals[[#This Row],[ApplicationDate]])</f>
        <v>1</v>
      </c>
      <c r="R92" s="21">
        <f>IF(Deals[[#This Row],[Status]]="Approved",1,0)</f>
        <v>1</v>
      </c>
      <c r="S92" s="21">
        <f>IF(Deals[[#This Row],[IsApproved]]=1,Deals[[#This Row],[Amount]],0)</f>
        <v>8600</v>
      </c>
      <c r="T92" s="21">
        <f>Deals[[#This Row],[ApprovedAmount]]*Deals[[#This Row],[ProfitRate]]</f>
        <v>514.28</v>
      </c>
    </row>
    <row r="93" spans="1:20">
      <c r="A93" s="2" t="s">
        <v>235</v>
      </c>
      <c r="B93" s="3">
        <v>46047</v>
      </c>
      <c r="C93" s="2" t="s">
        <v>236</v>
      </c>
      <c r="D93" s="2" t="s">
        <v>14</v>
      </c>
      <c r="E93" s="2" t="s">
        <v>30</v>
      </c>
      <c r="F93" s="2" t="s">
        <v>31</v>
      </c>
      <c r="G93" s="4">
        <v>12000</v>
      </c>
      <c r="H93" s="5">
        <v>3.9800000000000002E-2</v>
      </c>
      <c r="I93" s="2">
        <v>36</v>
      </c>
      <c r="J93" s="2" t="s">
        <v>48</v>
      </c>
      <c r="K93" s="2" t="s">
        <v>17</v>
      </c>
      <c r="L93" s="3">
        <v>46050</v>
      </c>
      <c r="M93" s="2" t="str">
        <f>_xlfn.XLOOKUP(Deals[[#This Row],[CustomerID]],Customers!A:A,Customers!F:F)</f>
        <v>Mass</v>
      </c>
      <c r="N93" s="2" t="str">
        <f>_xlfn.XLOOKUP(Deals[[#This Row],[CustomerID]],Customers!A:A,Customers!E:E)</f>
        <v>Kuwaiti</v>
      </c>
      <c r="O93" s="2">
        <f>2026-_xlfn.XLOOKUP(Deals[[#This Row],[CustomerID]],Customers!A:A,Customers!D:D)</f>
        <v>37</v>
      </c>
      <c r="P93" s="2" t="str" cm="1">
        <f t="array" ref="P93">_xlfn.IFS(Deals[[#This Row],[Age]]&lt;30,"Under 30",Deals[[#This Row],[Age]]&lt;45,"30-44",TRUE,"45+")</f>
        <v>30-44</v>
      </c>
      <c r="Q93" s="21">
        <f>IF(Deals[[#This Row],[Status]]="Pending","",Deals[[#This Row],[DecisionDate]]-Deals[[#This Row],[ApplicationDate]])</f>
        <v>3</v>
      </c>
      <c r="R93" s="21">
        <f>IF(Deals[[#This Row],[Status]]="Approved",1,0)</f>
        <v>1</v>
      </c>
      <c r="S93" s="21">
        <f>IF(Deals[[#This Row],[IsApproved]]=1,Deals[[#This Row],[Amount]],0)</f>
        <v>12000</v>
      </c>
      <c r="T93" s="21">
        <f>Deals[[#This Row],[ApprovedAmount]]*Deals[[#This Row],[ProfitRate]]</f>
        <v>477.6</v>
      </c>
    </row>
    <row r="94" spans="1:20">
      <c r="A94" s="2" t="s">
        <v>237</v>
      </c>
      <c r="B94" s="3">
        <v>46047</v>
      </c>
      <c r="C94" s="2" t="s">
        <v>238</v>
      </c>
      <c r="D94" s="2" t="s">
        <v>71</v>
      </c>
      <c r="E94" s="2" t="s">
        <v>15</v>
      </c>
      <c r="F94" s="2" t="s">
        <v>3</v>
      </c>
      <c r="G94" s="4">
        <v>25000</v>
      </c>
      <c r="H94" s="5">
        <v>5.5599999999999997E-2</v>
      </c>
      <c r="I94" s="2">
        <v>48</v>
      </c>
      <c r="J94" s="2" t="s">
        <v>94</v>
      </c>
      <c r="K94" s="2" t="s">
        <v>17</v>
      </c>
      <c r="L94" s="3">
        <v>46048</v>
      </c>
      <c r="M94" s="2" t="str">
        <f>_xlfn.XLOOKUP(Deals[[#This Row],[CustomerID]],Customers!A:A,Customers!F:F)</f>
        <v>Affluent</v>
      </c>
      <c r="N94" s="2" t="str">
        <f>_xlfn.XLOOKUP(Deals[[#This Row],[CustomerID]],Customers!A:A,Customers!E:E)</f>
        <v>Kuwaiti</v>
      </c>
      <c r="O94" s="2">
        <f>2026-_xlfn.XLOOKUP(Deals[[#This Row],[CustomerID]],Customers!A:A,Customers!D:D)</f>
        <v>29</v>
      </c>
      <c r="P94" s="2" t="str" cm="1">
        <f t="array" ref="P94">_xlfn.IFS(Deals[[#This Row],[Age]]&lt;30,"Under 30",Deals[[#This Row],[Age]]&lt;45,"30-44",TRUE,"45+")</f>
        <v>Under 30</v>
      </c>
      <c r="Q94" s="21">
        <f>IF(Deals[[#This Row],[Status]]="Pending","",Deals[[#This Row],[DecisionDate]]-Deals[[#This Row],[ApplicationDate]])</f>
        <v>1</v>
      </c>
      <c r="R94" s="21">
        <f>IF(Deals[[#This Row],[Status]]="Approved",1,0)</f>
        <v>1</v>
      </c>
      <c r="S94" s="21">
        <f>IF(Deals[[#This Row],[IsApproved]]=1,Deals[[#This Row],[Amount]],0)</f>
        <v>25000</v>
      </c>
      <c r="T94" s="21">
        <f>Deals[[#This Row],[ApprovedAmount]]*Deals[[#This Row],[ProfitRate]]</f>
        <v>1390</v>
      </c>
    </row>
    <row r="95" spans="1:20">
      <c r="A95" s="2" t="s">
        <v>239</v>
      </c>
      <c r="B95" s="3">
        <v>46047</v>
      </c>
      <c r="C95" s="2" t="s">
        <v>240</v>
      </c>
      <c r="D95" s="2" t="s">
        <v>14</v>
      </c>
      <c r="E95" s="2" t="s">
        <v>21</v>
      </c>
      <c r="F95" s="2" t="s">
        <v>3</v>
      </c>
      <c r="G95" s="4">
        <v>137400</v>
      </c>
      <c r="H95" s="5">
        <v>3.7100000000000001E-2</v>
      </c>
      <c r="I95" s="2">
        <v>180</v>
      </c>
      <c r="J95" s="2" t="s">
        <v>40</v>
      </c>
      <c r="K95" s="2" t="s">
        <v>17</v>
      </c>
      <c r="L95" s="3">
        <v>46074</v>
      </c>
      <c r="M95" s="2" t="str">
        <f>_xlfn.XLOOKUP(Deals[[#This Row],[CustomerID]],Customers!A:A,Customers!F:F)</f>
        <v>Mass</v>
      </c>
      <c r="N95" s="2" t="str">
        <f>_xlfn.XLOOKUP(Deals[[#This Row],[CustomerID]],Customers!A:A,Customers!E:E)</f>
        <v>Kuwaiti</v>
      </c>
      <c r="O95" s="2">
        <f>2026-_xlfn.XLOOKUP(Deals[[#This Row],[CustomerID]],Customers!A:A,Customers!D:D)</f>
        <v>41</v>
      </c>
      <c r="P95" s="2" t="str" cm="1">
        <f t="array" ref="P95">_xlfn.IFS(Deals[[#This Row],[Age]]&lt;30,"Under 30",Deals[[#This Row],[Age]]&lt;45,"30-44",TRUE,"45+")</f>
        <v>30-44</v>
      </c>
      <c r="Q95" s="21">
        <f>IF(Deals[[#This Row],[Status]]="Pending","",Deals[[#This Row],[DecisionDate]]-Deals[[#This Row],[ApplicationDate]])</f>
        <v>27</v>
      </c>
      <c r="R95" s="21">
        <f>IF(Deals[[#This Row],[Status]]="Approved",1,0)</f>
        <v>1</v>
      </c>
      <c r="S95" s="21">
        <f>IF(Deals[[#This Row],[IsApproved]]=1,Deals[[#This Row],[Amount]],0)</f>
        <v>137400</v>
      </c>
      <c r="T95" s="21">
        <f>Deals[[#This Row],[ApprovedAmount]]*Deals[[#This Row],[ProfitRate]]</f>
        <v>5097.54</v>
      </c>
    </row>
    <row r="96" spans="1:20">
      <c r="A96" s="2" t="s">
        <v>241</v>
      </c>
      <c r="B96" s="3">
        <v>46047</v>
      </c>
      <c r="C96" s="2" t="s">
        <v>242</v>
      </c>
      <c r="D96" s="2" t="s">
        <v>20</v>
      </c>
      <c r="E96" s="2" t="s">
        <v>15</v>
      </c>
      <c r="F96" s="2" t="s">
        <v>55</v>
      </c>
      <c r="G96" s="4">
        <v>7800</v>
      </c>
      <c r="H96" s="5">
        <v>6.9599999999999995E-2</v>
      </c>
      <c r="I96" s="2">
        <v>24</v>
      </c>
      <c r="J96" s="2" t="s">
        <v>44</v>
      </c>
      <c r="K96" s="2" t="s">
        <v>17</v>
      </c>
      <c r="L96" s="3">
        <v>46053</v>
      </c>
      <c r="M96" s="2" t="str">
        <f>_xlfn.XLOOKUP(Deals[[#This Row],[CustomerID]],Customers!A:A,Customers!F:F)</f>
        <v>Mass</v>
      </c>
      <c r="N96" s="2" t="str">
        <f>_xlfn.XLOOKUP(Deals[[#This Row],[CustomerID]],Customers!A:A,Customers!E:E)</f>
        <v>Kuwaiti</v>
      </c>
      <c r="O96" s="2">
        <f>2026-_xlfn.XLOOKUP(Deals[[#This Row],[CustomerID]],Customers!A:A,Customers!D:D)</f>
        <v>25</v>
      </c>
      <c r="P96" s="2" t="str" cm="1">
        <f t="array" ref="P96">_xlfn.IFS(Deals[[#This Row],[Age]]&lt;30,"Under 30",Deals[[#This Row],[Age]]&lt;45,"30-44",TRUE,"45+")</f>
        <v>Under 30</v>
      </c>
      <c r="Q96" s="21">
        <f>IF(Deals[[#This Row],[Status]]="Pending","",Deals[[#This Row],[DecisionDate]]-Deals[[#This Row],[ApplicationDate]])</f>
        <v>6</v>
      </c>
      <c r="R96" s="21">
        <f>IF(Deals[[#This Row],[Status]]="Approved",1,0)</f>
        <v>1</v>
      </c>
      <c r="S96" s="21">
        <f>IF(Deals[[#This Row],[IsApproved]]=1,Deals[[#This Row],[Amount]],0)</f>
        <v>7800</v>
      </c>
      <c r="T96" s="21">
        <f>Deals[[#This Row],[ApprovedAmount]]*Deals[[#This Row],[ProfitRate]]</f>
        <v>542.88</v>
      </c>
    </row>
    <row r="97" spans="1:20">
      <c r="A97" s="2" t="s">
        <v>243</v>
      </c>
      <c r="B97" s="3">
        <v>46048</v>
      </c>
      <c r="C97" s="2" t="s">
        <v>244</v>
      </c>
      <c r="D97" s="2" t="s">
        <v>14</v>
      </c>
      <c r="E97" s="2" t="s">
        <v>30</v>
      </c>
      <c r="F97" s="2" t="s">
        <v>55</v>
      </c>
      <c r="G97" s="4">
        <v>8900</v>
      </c>
      <c r="H97" s="5">
        <v>3.61E-2</v>
      </c>
      <c r="I97" s="2">
        <v>48</v>
      </c>
      <c r="J97" s="2" t="s">
        <v>48</v>
      </c>
      <c r="K97" s="2" t="s">
        <v>17</v>
      </c>
      <c r="L97" s="3">
        <v>46049</v>
      </c>
      <c r="M97" s="2" t="str">
        <f>_xlfn.XLOOKUP(Deals[[#This Row],[CustomerID]],Customers!A:A,Customers!F:F)</f>
        <v>Premium</v>
      </c>
      <c r="N97" s="2" t="str">
        <f>_xlfn.XLOOKUP(Deals[[#This Row],[CustomerID]],Customers!A:A,Customers!E:E)</f>
        <v>Kuwaiti</v>
      </c>
      <c r="O97" s="2">
        <f>2026-_xlfn.XLOOKUP(Deals[[#This Row],[CustomerID]],Customers!A:A,Customers!D:D)</f>
        <v>65</v>
      </c>
      <c r="P97" s="2" t="str" cm="1">
        <f t="array" ref="P97">_xlfn.IFS(Deals[[#This Row],[Age]]&lt;30,"Under 30",Deals[[#This Row],[Age]]&lt;45,"30-44",TRUE,"45+")</f>
        <v>45+</v>
      </c>
      <c r="Q97" s="21">
        <f>IF(Deals[[#This Row],[Status]]="Pending","",Deals[[#This Row],[DecisionDate]]-Deals[[#This Row],[ApplicationDate]])</f>
        <v>1</v>
      </c>
      <c r="R97" s="21">
        <f>IF(Deals[[#This Row],[Status]]="Approved",1,0)</f>
        <v>1</v>
      </c>
      <c r="S97" s="21">
        <f>IF(Deals[[#This Row],[IsApproved]]=1,Deals[[#This Row],[Amount]],0)</f>
        <v>8900</v>
      </c>
      <c r="T97" s="21">
        <f>Deals[[#This Row],[ApprovedAmount]]*Deals[[#This Row],[ProfitRate]]</f>
        <v>321.29000000000002</v>
      </c>
    </row>
    <row r="98" spans="1:20">
      <c r="A98" s="2" t="s">
        <v>245</v>
      </c>
      <c r="B98" s="3">
        <v>46048</v>
      </c>
      <c r="C98" s="2" t="s">
        <v>234</v>
      </c>
      <c r="D98" s="2" t="s">
        <v>20</v>
      </c>
      <c r="E98" s="2" t="s">
        <v>30</v>
      </c>
      <c r="F98" s="2" t="s">
        <v>3</v>
      </c>
      <c r="G98" s="4">
        <v>11800</v>
      </c>
      <c r="H98" s="5">
        <v>4.2900000000000001E-2</v>
      </c>
      <c r="I98" s="2">
        <v>60</v>
      </c>
      <c r="J98" s="2" t="s">
        <v>22</v>
      </c>
      <c r="K98" s="2" t="s">
        <v>17</v>
      </c>
      <c r="L98" s="3">
        <v>46051</v>
      </c>
      <c r="M98" s="2" t="str">
        <f>_xlfn.XLOOKUP(Deals[[#This Row],[CustomerID]],Customers!A:A,Customers!F:F)</f>
        <v>Mass</v>
      </c>
      <c r="N98" s="2" t="str">
        <f>_xlfn.XLOOKUP(Deals[[#This Row],[CustomerID]],Customers!A:A,Customers!E:E)</f>
        <v>Kuwaiti</v>
      </c>
      <c r="O98" s="2">
        <f>2026-_xlfn.XLOOKUP(Deals[[#This Row],[CustomerID]],Customers!A:A,Customers!D:D)</f>
        <v>65</v>
      </c>
      <c r="P98" s="2" t="str" cm="1">
        <f t="array" ref="P98">_xlfn.IFS(Deals[[#This Row],[Age]]&lt;30,"Under 30",Deals[[#This Row],[Age]]&lt;45,"30-44",TRUE,"45+")</f>
        <v>45+</v>
      </c>
      <c r="Q98" s="21">
        <f>IF(Deals[[#This Row],[Status]]="Pending","",Deals[[#This Row],[DecisionDate]]-Deals[[#This Row],[ApplicationDate]])</f>
        <v>3</v>
      </c>
      <c r="R98" s="21">
        <f>IF(Deals[[#This Row],[Status]]="Approved",1,0)</f>
        <v>1</v>
      </c>
      <c r="S98" s="21">
        <f>IF(Deals[[#This Row],[IsApproved]]=1,Deals[[#This Row],[Amount]],0)</f>
        <v>11800</v>
      </c>
      <c r="T98" s="21">
        <f>Deals[[#This Row],[ApprovedAmount]]*Deals[[#This Row],[ProfitRate]]</f>
        <v>506.22</v>
      </c>
    </row>
    <row r="99" spans="1:20">
      <c r="A99" s="2" t="s">
        <v>246</v>
      </c>
      <c r="B99" s="3">
        <v>46048</v>
      </c>
      <c r="C99" s="2" t="s">
        <v>232</v>
      </c>
      <c r="D99" s="2" t="s">
        <v>29</v>
      </c>
      <c r="E99" s="2" t="s">
        <v>15</v>
      </c>
      <c r="F99" s="2" t="s">
        <v>3</v>
      </c>
      <c r="G99" s="4">
        <v>12500</v>
      </c>
      <c r="H99" s="5">
        <v>5.5899999999999998E-2</v>
      </c>
      <c r="I99" s="2">
        <v>12</v>
      </c>
      <c r="J99" s="2" t="s">
        <v>61</v>
      </c>
      <c r="K99" s="2" t="s">
        <v>17</v>
      </c>
      <c r="L99" s="3">
        <v>46054</v>
      </c>
      <c r="M99" s="2" t="str">
        <f>_xlfn.XLOOKUP(Deals[[#This Row],[CustomerID]],Customers!A:A,Customers!F:F)</f>
        <v>Affluent</v>
      </c>
      <c r="N99" s="2" t="str">
        <f>_xlfn.XLOOKUP(Deals[[#This Row],[CustomerID]],Customers!A:A,Customers!E:E)</f>
        <v>Kuwaiti</v>
      </c>
      <c r="O99" s="2">
        <f>2026-_xlfn.XLOOKUP(Deals[[#This Row],[CustomerID]],Customers!A:A,Customers!D:D)</f>
        <v>30</v>
      </c>
      <c r="P99" s="2" t="str" cm="1">
        <f t="array" ref="P99">_xlfn.IFS(Deals[[#This Row],[Age]]&lt;30,"Under 30",Deals[[#This Row],[Age]]&lt;45,"30-44",TRUE,"45+")</f>
        <v>30-44</v>
      </c>
      <c r="Q99" s="21">
        <f>IF(Deals[[#This Row],[Status]]="Pending","",Deals[[#This Row],[DecisionDate]]-Deals[[#This Row],[ApplicationDate]])</f>
        <v>6</v>
      </c>
      <c r="R99" s="21">
        <f>IF(Deals[[#This Row],[Status]]="Approved",1,0)</f>
        <v>1</v>
      </c>
      <c r="S99" s="21">
        <f>IF(Deals[[#This Row],[IsApproved]]=1,Deals[[#This Row],[Amount]],0)</f>
        <v>12500</v>
      </c>
      <c r="T99" s="21">
        <f>Deals[[#This Row],[ApprovedAmount]]*Deals[[#This Row],[ProfitRate]]</f>
        <v>698.75</v>
      </c>
    </row>
    <row r="100" spans="1:20">
      <c r="A100" s="2" t="s">
        <v>247</v>
      </c>
      <c r="B100" s="3">
        <v>46048</v>
      </c>
      <c r="C100" s="2" t="s">
        <v>248</v>
      </c>
      <c r="D100" s="2" t="s">
        <v>14</v>
      </c>
      <c r="E100" s="2" t="s">
        <v>21</v>
      </c>
      <c r="F100" s="2" t="s">
        <v>55</v>
      </c>
      <c r="G100" s="4">
        <v>99400</v>
      </c>
      <c r="H100" s="5">
        <v>3.56E-2</v>
      </c>
      <c r="I100" s="2">
        <v>300</v>
      </c>
      <c r="J100" s="2" t="s">
        <v>48</v>
      </c>
      <c r="K100" s="2" t="s">
        <v>17</v>
      </c>
      <c r="L100" s="3">
        <v>46076</v>
      </c>
      <c r="M100" s="2" t="str">
        <f>_xlfn.XLOOKUP(Deals[[#This Row],[CustomerID]],Customers!A:A,Customers!F:F)</f>
        <v>Affluent</v>
      </c>
      <c r="N100" s="2" t="str">
        <f>_xlfn.XLOOKUP(Deals[[#This Row],[CustomerID]],Customers!A:A,Customers!E:E)</f>
        <v>Kuwaiti</v>
      </c>
      <c r="O100" s="2">
        <f>2026-_xlfn.XLOOKUP(Deals[[#This Row],[CustomerID]],Customers!A:A,Customers!D:D)</f>
        <v>45</v>
      </c>
      <c r="P100" s="2" t="str" cm="1">
        <f t="array" ref="P100">_xlfn.IFS(Deals[[#This Row],[Age]]&lt;30,"Under 30",Deals[[#This Row],[Age]]&lt;45,"30-44",TRUE,"45+")</f>
        <v>45+</v>
      </c>
      <c r="Q100" s="21">
        <f>IF(Deals[[#This Row],[Status]]="Pending","",Deals[[#This Row],[DecisionDate]]-Deals[[#This Row],[ApplicationDate]])</f>
        <v>28</v>
      </c>
      <c r="R100" s="21">
        <f>IF(Deals[[#This Row],[Status]]="Approved",1,0)</f>
        <v>1</v>
      </c>
      <c r="S100" s="21">
        <f>IF(Deals[[#This Row],[IsApproved]]=1,Deals[[#This Row],[Amount]],0)</f>
        <v>99400</v>
      </c>
      <c r="T100" s="21">
        <f>Deals[[#This Row],[ApprovedAmount]]*Deals[[#This Row],[ProfitRate]]</f>
        <v>3538.64</v>
      </c>
    </row>
    <row r="101" spans="1:20">
      <c r="A101" s="2" t="s">
        <v>249</v>
      </c>
      <c r="B101" s="3">
        <v>46049</v>
      </c>
      <c r="C101" s="2" t="s">
        <v>250</v>
      </c>
      <c r="D101" s="2" t="s">
        <v>14</v>
      </c>
      <c r="E101" s="2" t="s">
        <v>15</v>
      </c>
      <c r="F101" s="2" t="s">
        <v>3</v>
      </c>
      <c r="G101" s="4">
        <v>3900</v>
      </c>
      <c r="H101" s="5">
        <v>5.5100000000000003E-2</v>
      </c>
      <c r="I101" s="2">
        <v>24</v>
      </c>
      <c r="J101" s="2" t="s">
        <v>40</v>
      </c>
      <c r="K101" s="2" t="s">
        <v>17</v>
      </c>
      <c r="L101" s="3">
        <v>46053</v>
      </c>
      <c r="M101" s="2" t="str">
        <f>_xlfn.XLOOKUP(Deals[[#This Row],[CustomerID]],Customers!A:A,Customers!F:F)</f>
        <v>Mass</v>
      </c>
      <c r="N101" s="2" t="str">
        <f>_xlfn.XLOOKUP(Deals[[#This Row],[CustomerID]],Customers!A:A,Customers!E:E)</f>
        <v>Non-Kuwaiti</v>
      </c>
      <c r="O101" s="2">
        <f>2026-_xlfn.XLOOKUP(Deals[[#This Row],[CustomerID]],Customers!A:A,Customers!D:D)</f>
        <v>46</v>
      </c>
      <c r="P101" s="2" t="str" cm="1">
        <f t="array" ref="P101">_xlfn.IFS(Deals[[#This Row],[Age]]&lt;30,"Under 30",Deals[[#This Row],[Age]]&lt;45,"30-44",TRUE,"45+")</f>
        <v>45+</v>
      </c>
      <c r="Q101" s="21">
        <f>IF(Deals[[#This Row],[Status]]="Pending","",Deals[[#This Row],[DecisionDate]]-Deals[[#This Row],[ApplicationDate]])</f>
        <v>4</v>
      </c>
      <c r="R101" s="21">
        <f>IF(Deals[[#This Row],[Status]]="Approved",1,0)</f>
        <v>1</v>
      </c>
      <c r="S101" s="21">
        <f>IF(Deals[[#This Row],[IsApproved]]=1,Deals[[#This Row],[Amount]],0)</f>
        <v>3900</v>
      </c>
      <c r="T101" s="21">
        <f>Deals[[#This Row],[ApprovedAmount]]*Deals[[#This Row],[ProfitRate]]</f>
        <v>214.89000000000001</v>
      </c>
    </row>
    <row r="102" spans="1:20">
      <c r="A102" s="2" t="s">
        <v>251</v>
      </c>
      <c r="B102" s="3">
        <v>46049</v>
      </c>
      <c r="C102" s="2" t="s">
        <v>252</v>
      </c>
      <c r="D102" s="2" t="s">
        <v>14</v>
      </c>
      <c r="E102" s="2" t="s">
        <v>21</v>
      </c>
      <c r="F102" s="2" t="s">
        <v>3</v>
      </c>
      <c r="G102" s="4">
        <v>227200</v>
      </c>
      <c r="H102" s="5">
        <v>3.61E-2</v>
      </c>
      <c r="I102" s="2">
        <v>180</v>
      </c>
      <c r="J102" s="2" t="s">
        <v>40</v>
      </c>
      <c r="K102" s="2" t="s">
        <v>17</v>
      </c>
      <c r="L102" s="3">
        <v>46076</v>
      </c>
      <c r="M102" s="2" t="str">
        <f>_xlfn.XLOOKUP(Deals[[#This Row],[CustomerID]],Customers!A:A,Customers!F:F)</f>
        <v>Mass</v>
      </c>
      <c r="N102" s="2" t="str">
        <f>_xlfn.XLOOKUP(Deals[[#This Row],[CustomerID]],Customers!A:A,Customers!E:E)</f>
        <v>Non-Kuwaiti</v>
      </c>
      <c r="O102" s="2">
        <f>2026-_xlfn.XLOOKUP(Deals[[#This Row],[CustomerID]],Customers!A:A,Customers!D:D)</f>
        <v>54</v>
      </c>
      <c r="P102" s="2" t="str" cm="1">
        <f t="array" ref="P102">_xlfn.IFS(Deals[[#This Row],[Age]]&lt;30,"Under 30",Deals[[#This Row],[Age]]&lt;45,"30-44",TRUE,"45+")</f>
        <v>45+</v>
      </c>
      <c r="Q102" s="21">
        <f>IF(Deals[[#This Row],[Status]]="Pending","",Deals[[#This Row],[DecisionDate]]-Deals[[#This Row],[ApplicationDate]])</f>
        <v>27</v>
      </c>
      <c r="R102" s="21">
        <f>IF(Deals[[#This Row],[Status]]="Approved",1,0)</f>
        <v>1</v>
      </c>
      <c r="S102" s="21">
        <f>IF(Deals[[#This Row],[IsApproved]]=1,Deals[[#This Row],[Amount]],0)</f>
        <v>227200</v>
      </c>
      <c r="T102" s="21">
        <f>Deals[[#This Row],[ApprovedAmount]]*Deals[[#This Row],[ProfitRate]]</f>
        <v>8201.92</v>
      </c>
    </row>
    <row r="103" spans="1:20">
      <c r="A103" s="2" t="s">
        <v>253</v>
      </c>
      <c r="B103" s="3">
        <v>46050</v>
      </c>
      <c r="C103" s="2" t="s">
        <v>254</v>
      </c>
      <c r="D103" s="2" t="s">
        <v>20</v>
      </c>
      <c r="E103" s="2" t="s">
        <v>15</v>
      </c>
      <c r="F103" s="2" t="s">
        <v>3</v>
      </c>
      <c r="G103" s="4">
        <v>14100</v>
      </c>
      <c r="H103" s="5">
        <v>6.59E-2</v>
      </c>
      <c r="I103" s="2">
        <v>24</v>
      </c>
      <c r="J103" s="2" t="s">
        <v>37</v>
      </c>
      <c r="K103" s="2" t="s">
        <v>17</v>
      </c>
      <c r="L103" s="3">
        <v>46051</v>
      </c>
      <c r="M103" s="2" t="str">
        <f>_xlfn.XLOOKUP(Deals[[#This Row],[CustomerID]],Customers!A:A,Customers!F:F)</f>
        <v>Mass</v>
      </c>
      <c r="N103" s="2" t="str">
        <f>_xlfn.XLOOKUP(Deals[[#This Row],[CustomerID]],Customers!A:A,Customers!E:E)</f>
        <v>Kuwaiti</v>
      </c>
      <c r="O103" s="2">
        <f>2026-_xlfn.XLOOKUP(Deals[[#This Row],[CustomerID]],Customers!A:A,Customers!D:D)</f>
        <v>59</v>
      </c>
      <c r="P103" s="2" t="str" cm="1">
        <f t="array" ref="P103">_xlfn.IFS(Deals[[#This Row],[Age]]&lt;30,"Under 30",Deals[[#This Row],[Age]]&lt;45,"30-44",TRUE,"45+")</f>
        <v>45+</v>
      </c>
      <c r="Q103" s="21">
        <f>IF(Deals[[#This Row],[Status]]="Pending","",Deals[[#This Row],[DecisionDate]]-Deals[[#This Row],[ApplicationDate]])</f>
        <v>1</v>
      </c>
      <c r="R103" s="21">
        <f>IF(Deals[[#This Row],[Status]]="Approved",1,0)</f>
        <v>1</v>
      </c>
      <c r="S103" s="21">
        <f>IF(Deals[[#This Row],[IsApproved]]=1,Deals[[#This Row],[Amount]],0)</f>
        <v>14100</v>
      </c>
      <c r="T103" s="21">
        <f>Deals[[#This Row],[ApprovedAmount]]*Deals[[#This Row],[ProfitRate]]</f>
        <v>929.19</v>
      </c>
    </row>
    <row r="104" spans="1:20">
      <c r="A104" s="2" t="s">
        <v>255</v>
      </c>
      <c r="B104" s="3">
        <v>46050</v>
      </c>
      <c r="C104" s="2" t="s">
        <v>256</v>
      </c>
      <c r="D104" s="2" t="s">
        <v>20</v>
      </c>
      <c r="E104" s="2" t="s">
        <v>15</v>
      </c>
      <c r="F104" s="2" t="s">
        <v>31</v>
      </c>
      <c r="G104" s="4">
        <v>8000</v>
      </c>
      <c r="H104" s="5">
        <v>6.5100000000000005E-2</v>
      </c>
      <c r="I104" s="2">
        <v>24</v>
      </c>
      <c r="J104" s="2" t="s">
        <v>22</v>
      </c>
      <c r="K104" s="2" t="s">
        <v>17</v>
      </c>
      <c r="L104" s="3">
        <v>46053</v>
      </c>
      <c r="M104" s="2" t="str">
        <f>_xlfn.XLOOKUP(Deals[[#This Row],[CustomerID]],Customers!A:A,Customers!F:F)</f>
        <v>Affluent</v>
      </c>
      <c r="N104" s="2" t="str">
        <f>_xlfn.XLOOKUP(Deals[[#This Row],[CustomerID]],Customers!A:A,Customers!E:E)</f>
        <v>Non-Kuwaiti</v>
      </c>
      <c r="O104" s="2">
        <f>2026-_xlfn.XLOOKUP(Deals[[#This Row],[CustomerID]],Customers!A:A,Customers!D:D)</f>
        <v>39</v>
      </c>
      <c r="P104" s="2" t="str" cm="1">
        <f t="array" ref="P104">_xlfn.IFS(Deals[[#This Row],[Age]]&lt;30,"Under 30",Deals[[#This Row],[Age]]&lt;45,"30-44",TRUE,"45+")</f>
        <v>30-44</v>
      </c>
      <c r="Q104" s="21">
        <f>IF(Deals[[#This Row],[Status]]="Pending","",Deals[[#This Row],[DecisionDate]]-Deals[[#This Row],[ApplicationDate]])</f>
        <v>3</v>
      </c>
      <c r="R104" s="21">
        <f>IF(Deals[[#This Row],[Status]]="Approved",1,0)</f>
        <v>1</v>
      </c>
      <c r="S104" s="21">
        <f>IF(Deals[[#This Row],[IsApproved]]=1,Deals[[#This Row],[Amount]],0)</f>
        <v>8000</v>
      </c>
      <c r="T104" s="21">
        <f>Deals[[#This Row],[ApprovedAmount]]*Deals[[#This Row],[ProfitRate]]</f>
        <v>520.80000000000007</v>
      </c>
    </row>
    <row r="105" spans="1:20">
      <c r="A105" s="2" t="s">
        <v>257</v>
      </c>
      <c r="B105" s="3">
        <v>46050</v>
      </c>
      <c r="C105" s="2" t="s">
        <v>258</v>
      </c>
      <c r="D105" s="2" t="s">
        <v>14</v>
      </c>
      <c r="E105" s="2" t="s">
        <v>21</v>
      </c>
      <c r="F105" s="2" t="s">
        <v>3</v>
      </c>
      <c r="G105" s="4">
        <v>142500</v>
      </c>
      <c r="H105" s="5">
        <v>4.41E-2</v>
      </c>
      <c r="I105" s="2">
        <v>240</v>
      </c>
      <c r="J105" s="2" t="s">
        <v>16</v>
      </c>
      <c r="K105" s="2" t="s">
        <v>17</v>
      </c>
      <c r="L105" s="3">
        <v>46068</v>
      </c>
      <c r="M105" s="2" t="str">
        <f>_xlfn.XLOOKUP(Deals[[#This Row],[CustomerID]],Customers!A:A,Customers!F:F)</f>
        <v>Mass</v>
      </c>
      <c r="N105" s="2" t="str">
        <f>_xlfn.XLOOKUP(Deals[[#This Row],[CustomerID]],Customers!A:A,Customers!E:E)</f>
        <v>Kuwaiti</v>
      </c>
      <c r="O105" s="2">
        <f>2026-_xlfn.XLOOKUP(Deals[[#This Row],[CustomerID]],Customers!A:A,Customers!D:D)</f>
        <v>24</v>
      </c>
      <c r="P105" s="2" t="str" cm="1">
        <f t="array" ref="P105">_xlfn.IFS(Deals[[#This Row],[Age]]&lt;30,"Under 30",Deals[[#This Row],[Age]]&lt;45,"30-44",TRUE,"45+")</f>
        <v>Under 30</v>
      </c>
      <c r="Q105" s="21">
        <f>IF(Deals[[#This Row],[Status]]="Pending","",Deals[[#This Row],[DecisionDate]]-Deals[[#This Row],[ApplicationDate]])</f>
        <v>18</v>
      </c>
      <c r="R105" s="21">
        <f>IF(Deals[[#This Row],[Status]]="Approved",1,0)</f>
        <v>1</v>
      </c>
      <c r="S105" s="21">
        <f>IF(Deals[[#This Row],[IsApproved]]=1,Deals[[#This Row],[Amount]],0)</f>
        <v>142500</v>
      </c>
      <c r="T105" s="21">
        <f>Deals[[#This Row],[ApprovedAmount]]*Deals[[#This Row],[ProfitRate]]</f>
        <v>6284.25</v>
      </c>
    </row>
    <row r="106" spans="1:20">
      <c r="A106" s="2" t="s">
        <v>259</v>
      </c>
      <c r="B106" s="3">
        <v>46051</v>
      </c>
      <c r="C106" s="2" t="s">
        <v>260</v>
      </c>
      <c r="D106" s="2" t="s">
        <v>20</v>
      </c>
      <c r="E106" s="2" t="s">
        <v>30</v>
      </c>
      <c r="F106" s="2" t="s">
        <v>3</v>
      </c>
      <c r="G106" s="4">
        <v>8100</v>
      </c>
      <c r="H106" s="5">
        <v>4.5400000000000003E-2</v>
      </c>
      <c r="I106" s="2">
        <v>48</v>
      </c>
      <c r="J106" s="2" t="s">
        <v>22</v>
      </c>
      <c r="K106" s="2" t="s">
        <v>17</v>
      </c>
      <c r="L106" s="3">
        <v>46054</v>
      </c>
      <c r="M106" s="2" t="str">
        <f>_xlfn.XLOOKUP(Deals[[#This Row],[CustomerID]],Customers!A:A,Customers!F:F)</f>
        <v>Mass</v>
      </c>
      <c r="N106" s="2" t="str">
        <f>_xlfn.XLOOKUP(Deals[[#This Row],[CustomerID]],Customers!A:A,Customers!E:E)</f>
        <v>Non-Kuwaiti</v>
      </c>
      <c r="O106" s="2">
        <f>2026-_xlfn.XLOOKUP(Deals[[#This Row],[CustomerID]],Customers!A:A,Customers!D:D)</f>
        <v>27</v>
      </c>
      <c r="P106" s="2" t="str" cm="1">
        <f t="array" ref="P106">_xlfn.IFS(Deals[[#This Row],[Age]]&lt;30,"Under 30",Deals[[#This Row],[Age]]&lt;45,"30-44",TRUE,"45+")</f>
        <v>Under 30</v>
      </c>
      <c r="Q106" s="21">
        <f>IF(Deals[[#This Row],[Status]]="Pending","",Deals[[#This Row],[DecisionDate]]-Deals[[#This Row],[ApplicationDate]])</f>
        <v>3</v>
      </c>
      <c r="R106" s="21">
        <f>IF(Deals[[#This Row],[Status]]="Approved",1,0)</f>
        <v>1</v>
      </c>
      <c r="S106" s="21">
        <f>IF(Deals[[#This Row],[IsApproved]]=1,Deals[[#This Row],[Amount]],0)</f>
        <v>8100</v>
      </c>
      <c r="T106" s="21">
        <f>Deals[[#This Row],[ApprovedAmount]]*Deals[[#This Row],[ProfitRate]]</f>
        <v>367.74</v>
      </c>
    </row>
    <row r="107" spans="1:20">
      <c r="A107" s="2" t="s">
        <v>261</v>
      </c>
      <c r="B107" s="3">
        <v>46051</v>
      </c>
      <c r="C107" s="2" t="s">
        <v>262</v>
      </c>
      <c r="D107" s="2" t="s">
        <v>25</v>
      </c>
      <c r="E107" s="2" t="s">
        <v>30</v>
      </c>
      <c r="F107" s="2" t="s">
        <v>31</v>
      </c>
      <c r="G107" s="4">
        <v>10800</v>
      </c>
      <c r="H107" s="5">
        <v>4.7600000000000003E-2</v>
      </c>
      <c r="I107" s="2">
        <v>48</v>
      </c>
      <c r="J107" s="2" t="s">
        <v>26</v>
      </c>
      <c r="K107" s="2" t="s">
        <v>17</v>
      </c>
      <c r="L107" s="3">
        <v>46052</v>
      </c>
      <c r="M107" s="2" t="str">
        <f>_xlfn.XLOOKUP(Deals[[#This Row],[CustomerID]],Customers!A:A,Customers!F:F)</f>
        <v>Affluent</v>
      </c>
      <c r="N107" s="2" t="str">
        <f>_xlfn.XLOOKUP(Deals[[#This Row],[CustomerID]],Customers!A:A,Customers!E:E)</f>
        <v>Kuwaiti</v>
      </c>
      <c r="O107" s="2">
        <f>2026-_xlfn.XLOOKUP(Deals[[#This Row],[CustomerID]],Customers!A:A,Customers!D:D)</f>
        <v>40</v>
      </c>
      <c r="P107" s="2" t="str" cm="1">
        <f t="array" ref="P107">_xlfn.IFS(Deals[[#This Row],[Age]]&lt;30,"Under 30",Deals[[#This Row],[Age]]&lt;45,"30-44",TRUE,"45+")</f>
        <v>30-44</v>
      </c>
      <c r="Q107" s="21">
        <f>IF(Deals[[#This Row],[Status]]="Pending","",Deals[[#This Row],[DecisionDate]]-Deals[[#This Row],[ApplicationDate]])</f>
        <v>1</v>
      </c>
      <c r="R107" s="21">
        <f>IF(Deals[[#This Row],[Status]]="Approved",1,0)</f>
        <v>1</v>
      </c>
      <c r="S107" s="21">
        <f>IF(Deals[[#This Row],[IsApproved]]=1,Deals[[#This Row],[Amount]],0)</f>
        <v>10800</v>
      </c>
      <c r="T107" s="21">
        <f>Deals[[#This Row],[ApprovedAmount]]*Deals[[#This Row],[ProfitRate]]</f>
        <v>514.08000000000004</v>
      </c>
    </row>
    <row r="108" spans="1:20">
      <c r="A108" s="2" t="s">
        <v>263</v>
      </c>
      <c r="B108" s="3">
        <v>46051</v>
      </c>
      <c r="C108" s="2" t="s">
        <v>264</v>
      </c>
      <c r="D108" s="2" t="s">
        <v>54</v>
      </c>
      <c r="E108" s="2" t="s">
        <v>30</v>
      </c>
      <c r="F108" s="2" t="s">
        <v>3</v>
      </c>
      <c r="G108" s="4">
        <v>13900</v>
      </c>
      <c r="H108" s="5">
        <v>3.7699999999999997E-2</v>
      </c>
      <c r="I108" s="2">
        <v>48</v>
      </c>
      <c r="J108" s="2" t="s">
        <v>56</v>
      </c>
      <c r="K108" s="2" t="s">
        <v>17</v>
      </c>
      <c r="L108" s="3">
        <v>46056</v>
      </c>
      <c r="M108" s="2" t="str">
        <f>_xlfn.XLOOKUP(Deals[[#This Row],[CustomerID]],Customers!A:A,Customers!F:F)</f>
        <v>Mass</v>
      </c>
      <c r="N108" s="2" t="str">
        <f>_xlfn.XLOOKUP(Deals[[#This Row],[CustomerID]],Customers!A:A,Customers!E:E)</f>
        <v>Non-Kuwaiti</v>
      </c>
      <c r="O108" s="2">
        <f>2026-_xlfn.XLOOKUP(Deals[[#This Row],[CustomerID]],Customers!A:A,Customers!D:D)</f>
        <v>29</v>
      </c>
      <c r="P108" s="2" t="str" cm="1">
        <f t="array" ref="P108">_xlfn.IFS(Deals[[#This Row],[Age]]&lt;30,"Under 30",Deals[[#This Row],[Age]]&lt;45,"30-44",TRUE,"45+")</f>
        <v>Under 30</v>
      </c>
      <c r="Q108" s="21">
        <f>IF(Deals[[#This Row],[Status]]="Pending","",Deals[[#This Row],[DecisionDate]]-Deals[[#This Row],[ApplicationDate]])</f>
        <v>5</v>
      </c>
      <c r="R108" s="21">
        <f>IF(Deals[[#This Row],[Status]]="Approved",1,0)</f>
        <v>1</v>
      </c>
      <c r="S108" s="21">
        <f>IF(Deals[[#This Row],[IsApproved]]=1,Deals[[#This Row],[Amount]],0)</f>
        <v>13900</v>
      </c>
      <c r="T108" s="21">
        <f>Deals[[#This Row],[ApprovedAmount]]*Deals[[#This Row],[ProfitRate]]</f>
        <v>524.03</v>
      </c>
    </row>
    <row r="109" spans="1:20">
      <c r="A109" s="2" t="s">
        <v>265</v>
      </c>
      <c r="B109" s="3">
        <v>46051</v>
      </c>
      <c r="C109" s="2" t="s">
        <v>266</v>
      </c>
      <c r="D109" s="2" t="s">
        <v>25</v>
      </c>
      <c r="E109" s="2" t="s">
        <v>21</v>
      </c>
      <c r="F109" s="2" t="s">
        <v>3</v>
      </c>
      <c r="G109" s="4">
        <v>302500</v>
      </c>
      <c r="H109" s="5">
        <v>3.4700000000000002E-2</v>
      </c>
      <c r="I109" s="2">
        <v>180</v>
      </c>
      <c r="J109" s="2" t="s">
        <v>181</v>
      </c>
      <c r="K109" s="2" t="s">
        <v>17</v>
      </c>
      <c r="L109" s="3">
        <v>46081</v>
      </c>
      <c r="M109" s="2" t="str">
        <f>_xlfn.XLOOKUP(Deals[[#This Row],[CustomerID]],Customers!A:A,Customers!F:F)</f>
        <v>Premium</v>
      </c>
      <c r="N109" s="2" t="str">
        <f>_xlfn.XLOOKUP(Deals[[#This Row],[CustomerID]],Customers!A:A,Customers!E:E)</f>
        <v>Kuwaiti</v>
      </c>
      <c r="O109" s="2">
        <f>2026-_xlfn.XLOOKUP(Deals[[#This Row],[CustomerID]],Customers!A:A,Customers!D:D)</f>
        <v>53</v>
      </c>
      <c r="P109" s="2" t="str" cm="1">
        <f t="array" ref="P109">_xlfn.IFS(Deals[[#This Row],[Age]]&lt;30,"Under 30",Deals[[#This Row],[Age]]&lt;45,"30-44",TRUE,"45+")</f>
        <v>45+</v>
      </c>
      <c r="Q109" s="21">
        <f>IF(Deals[[#This Row],[Status]]="Pending","",Deals[[#This Row],[DecisionDate]]-Deals[[#This Row],[ApplicationDate]])</f>
        <v>30</v>
      </c>
      <c r="R109" s="21">
        <f>IF(Deals[[#This Row],[Status]]="Approved",1,0)</f>
        <v>1</v>
      </c>
      <c r="S109" s="21">
        <f>IF(Deals[[#This Row],[IsApproved]]=1,Deals[[#This Row],[Amount]],0)</f>
        <v>302500</v>
      </c>
      <c r="T109" s="21">
        <f>Deals[[#This Row],[ApprovedAmount]]*Deals[[#This Row],[ProfitRate]]</f>
        <v>10496.75</v>
      </c>
    </row>
    <row r="110" spans="1:20">
      <c r="A110" s="2" t="s">
        <v>267</v>
      </c>
      <c r="B110" s="3">
        <v>46051</v>
      </c>
      <c r="C110" s="2" t="s">
        <v>268</v>
      </c>
      <c r="D110" s="2" t="s">
        <v>25</v>
      </c>
      <c r="E110" s="2" t="s">
        <v>15</v>
      </c>
      <c r="F110" s="2" t="s">
        <v>55</v>
      </c>
      <c r="G110" s="4">
        <v>5400</v>
      </c>
      <c r="H110" s="5">
        <v>6.7000000000000004E-2</v>
      </c>
      <c r="I110" s="2">
        <v>24</v>
      </c>
      <c r="J110" s="2" t="s">
        <v>66</v>
      </c>
      <c r="K110" s="2" t="s">
        <v>17</v>
      </c>
      <c r="L110" s="3">
        <v>46057</v>
      </c>
      <c r="M110" s="2" t="str">
        <f>_xlfn.XLOOKUP(Deals[[#This Row],[CustomerID]],Customers!A:A,Customers!F:F)</f>
        <v>Affluent</v>
      </c>
      <c r="N110" s="2" t="str">
        <f>_xlfn.XLOOKUP(Deals[[#This Row],[CustomerID]],Customers!A:A,Customers!E:E)</f>
        <v>Non-Kuwaiti</v>
      </c>
      <c r="O110" s="2">
        <f>2026-_xlfn.XLOOKUP(Deals[[#This Row],[CustomerID]],Customers!A:A,Customers!D:D)</f>
        <v>65</v>
      </c>
      <c r="P110" s="2" t="str" cm="1">
        <f t="array" ref="P110">_xlfn.IFS(Deals[[#This Row],[Age]]&lt;30,"Under 30",Deals[[#This Row],[Age]]&lt;45,"30-44",TRUE,"45+")</f>
        <v>45+</v>
      </c>
      <c r="Q110" s="21">
        <f>IF(Deals[[#This Row],[Status]]="Pending","",Deals[[#This Row],[DecisionDate]]-Deals[[#This Row],[ApplicationDate]])</f>
        <v>6</v>
      </c>
      <c r="R110" s="21">
        <f>IF(Deals[[#This Row],[Status]]="Approved",1,0)</f>
        <v>1</v>
      </c>
      <c r="S110" s="21">
        <f>IF(Deals[[#This Row],[IsApproved]]=1,Deals[[#This Row],[Amount]],0)</f>
        <v>5400</v>
      </c>
      <c r="T110" s="21">
        <f>Deals[[#This Row],[ApprovedAmount]]*Deals[[#This Row],[ProfitRate]]</f>
        <v>361.8</v>
      </c>
    </row>
    <row r="111" spans="1:20">
      <c r="A111" s="2" t="s">
        <v>269</v>
      </c>
      <c r="B111" s="3">
        <v>46051</v>
      </c>
      <c r="C111" s="2" t="s">
        <v>270</v>
      </c>
      <c r="D111" s="2" t="s">
        <v>25</v>
      </c>
      <c r="E111" s="2" t="s">
        <v>15</v>
      </c>
      <c r="F111" s="2" t="s">
        <v>3</v>
      </c>
      <c r="G111" s="4">
        <v>13200</v>
      </c>
      <c r="H111" s="5">
        <v>6.8900000000000003E-2</v>
      </c>
      <c r="I111" s="2">
        <v>12</v>
      </c>
      <c r="J111" s="2" t="s">
        <v>66</v>
      </c>
      <c r="K111" s="2" t="s">
        <v>17</v>
      </c>
      <c r="L111" s="3">
        <v>46055</v>
      </c>
      <c r="M111" s="2" t="str">
        <f>_xlfn.XLOOKUP(Deals[[#This Row],[CustomerID]],Customers!A:A,Customers!F:F)</f>
        <v>Affluent</v>
      </c>
      <c r="N111" s="2" t="str">
        <f>_xlfn.XLOOKUP(Deals[[#This Row],[CustomerID]],Customers!A:A,Customers!E:E)</f>
        <v>Kuwaiti</v>
      </c>
      <c r="O111" s="2">
        <f>2026-_xlfn.XLOOKUP(Deals[[#This Row],[CustomerID]],Customers!A:A,Customers!D:D)</f>
        <v>31</v>
      </c>
      <c r="P111" s="2" t="str" cm="1">
        <f t="array" ref="P111">_xlfn.IFS(Deals[[#This Row],[Age]]&lt;30,"Under 30",Deals[[#This Row],[Age]]&lt;45,"30-44",TRUE,"45+")</f>
        <v>30-44</v>
      </c>
      <c r="Q111" s="21">
        <f>IF(Deals[[#This Row],[Status]]="Pending","",Deals[[#This Row],[DecisionDate]]-Deals[[#This Row],[ApplicationDate]])</f>
        <v>4</v>
      </c>
      <c r="R111" s="21">
        <f>IF(Deals[[#This Row],[Status]]="Approved",1,0)</f>
        <v>1</v>
      </c>
      <c r="S111" s="21">
        <f>IF(Deals[[#This Row],[IsApproved]]=1,Deals[[#This Row],[Amount]],0)</f>
        <v>13200</v>
      </c>
      <c r="T111" s="21">
        <f>Deals[[#This Row],[ApprovedAmount]]*Deals[[#This Row],[ProfitRate]]</f>
        <v>909.48</v>
      </c>
    </row>
    <row r="112" spans="1:20">
      <c r="A112" s="2" t="s">
        <v>271</v>
      </c>
      <c r="B112" s="3">
        <v>46051</v>
      </c>
      <c r="C112" s="2" t="s">
        <v>272</v>
      </c>
      <c r="D112" s="2" t="s">
        <v>25</v>
      </c>
      <c r="E112" s="2" t="s">
        <v>30</v>
      </c>
      <c r="F112" s="2" t="s">
        <v>3</v>
      </c>
      <c r="G112" s="4">
        <v>18300</v>
      </c>
      <c r="H112" s="5">
        <v>0.04</v>
      </c>
      <c r="I112" s="2">
        <v>60</v>
      </c>
      <c r="J112" s="2" t="s">
        <v>66</v>
      </c>
      <c r="K112" s="2" t="s">
        <v>17</v>
      </c>
      <c r="L112" s="3">
        <v>46056</v>
      </c>
      <c r="M112" s="2" t="str">
        <f>_xlfn.XLOOKUP(Deals[[#This Row],[CustomerID]],Customers!A:A,Customers!F:F)</f>
        <v>Premium</v>
      </c>
      <c r="N112" s="2" t="str">
        <f>_xlfn.XLOOKUP(Deals[[#This Row],[CustomerID]],Customers!A:A,Customers!E:E)</f>
        <v>Kuwaiti</v>
      </c>
      <c r="O112" s="2">
        <f>2026-_xlfn.XLOOKUP(Deals[[#This Row],[CustomerID]],Customers!A:A,Customers!D:D)</f>
        <v>46</v>
      </c>
      <c r="P112" s="2" t="str" cm="1">
        <f t="array" ref="P112">_xlfn.IFS(Deals[[#This Row],[Age]]&lt;30,"Under 30",Deals[[#This Row],[Age]]&lt;45,"30-44",TRUE,"45+")</f>
        <v>45+</v>
      </c>
      <c r="Q112" s="21">
        <f>IF(Deals[[#This Row],[Status]]="Pending","",Deals[[#This Row],[DecisionDate]]-Deals[[#This Row],[ApplicationDate]])</f>
        <v>5</v>
      </c>
      <c r="R112" s="21">
        <f>IF(Deals[[#This Row],[Status]]="Approved",1,0)</f>
        <v>1</v>
      </c>
      <c r="S112" s="21">
        <f>IF(Deals[[#This Row],[IsApproved]]=1,Deals[[#This Row],[Amount]],0)</f>
        <v>18300</v>
      </c>
      <c r="T112" s="21">
        <f>Deals[[#This Row],[ApprovedAmount]]*Deals[[#This Row],[ProfitRate]]</f>
        <v>732</v>
      </c>
    </row>
    <row r="113" spans="1:20">
      <c r="A113" s="2" t="s">
        <v>273</v>
      </c>
      <c r="B113" s="3">
        <v>46052</v>
      </c>
      <c r="C113" s="2" t="s">
        <v>274</v>
      </c>
      <c r="D113" s="2" t="s">
        <v>20</v>
      </c>
      <c r="E113" s="2" t="s">
        <v>15</v>
      </c>
      <c r="F113" s="2" t="s">
        <v>3</v>
      </c>
      <c r="G113" s="4">
        <v>23800</v>
      </c>
      <c r="H113" s="5">
        <v>6.0199999999999997E-2</v>
      </c>
      <c r="I113" s="2">
        <v>60</v>
      </c>
      <c r="J113" s="2" t="s">
        <v>22</v>
      </c>
      <c r="K113" s="2" t="s">
        <v>17</v>
      </c>
      <c r="L113" s="3">
        <v>46056</v>
      </c>
      <c r="M113" s="2" t="str">
        <f>_xlfn.XLOOKUP(Deals[[#This Row],[CustomerID]],Customers!A:A,Customers!F:F)</f>
        <v>Mass</v>
      </c>
      <c r="N113" s="2" t="str">
        <f>_xlfn.XLOOKUP(Deals[[#This Row],[CustomerID]],Customers!A:A,Customers!E:E)</f>
        <v>Kuwaiti</v>
      </c>
      <c r="O113" s="2">
        <f>2026-_xlfn.XLOOKUP(Deals[[#This Row],[CustomerID]],Customers!A:A,Customers!D:D)</f>
        <v>53</v>
      </c>
      <c r="P113" s="2" t="str" cm="1">
        <f t="array" ref="P113">_xlfn.IFS(Deals[[#This Row],[Age]]&lt;30,"Under 30",Deals[[#This Row],[Age]]&lt;45,"30-44",TRUE,"45+")</f>
        <v>45+</v>
      </c>
      <c r="Q113" s="21">
        <f>IF(Deals[[#This Row],[Status]]="Pending","",Deals[[#This Row],[DecisionDate]]-Deals[[#This Row],[ApplicationDate]])</f>
        <v>4</v>
      </c>
      <c r="R113" s="21">
        <f>IF(Deals[[#This Row],[Status]]="Approved",1,0)</f>
        <v>1</v>
      </c>
      <c r="S113" s="21">
        <f>IF(Deals[[#This Row],[IsApproved]]=1,Deals[[#This Row],[Amount]],0)</f>
        <v>23800</v>
      </c>
      <c r="T113" s="21">
        <f>Deals[[#This Row],[ApprovedAmount]]*Deals[[#This Row],[ProfitRate]]</f>
        <v>1432.76</v>
      </c>
    </row>
    <row r="114" spans="1:20">
      <c r="A114" s="2" t="s">
        <v>275</v>
      </c>
      <c r="B114" s="3">
        <v>46052</v>
      </c>
      <c r="C114" s="2" t="s">
        <v>276</v>
      </c>
      <c r="D114" s="2" t="s">
        <v>20</v>
      </c>
      <c r="E114" s="2" t="s">
        <v>21</v>
      </c>
      <c r="F114" s="2" t="s">
        <v>31</v>
      </c>
      <c r="G114" s="4">
        <v>44100</v>
      </c>
      <c r="H114" s="5">
        <v>3.56E-2</v>
      </c>
      <c r="I114" s="2">
        <v>120</v>
      </c>
      <c r="J114" s="2" t="s">
        <v>37</v>
      </c>
      <c r="K114" s="2" t="s">
        <v>17</v>
      </c>
      <c r="L114" s="3">
        <v>46076</v>
      </c>
      <c r="M114" s="2" t="str">
        <f>_xlfn.XLOOKUP(Deals[[#This Row],[CustomerID]],Customers!A:A,Customers!F:F)</f>
        <v>Mass</v>
      </c>
      <c r="N114" s="2" t="str">
        <f>_xlfn.XLOOKUP(Deals[[#This Row],[CustomerID]],Customers!A:A,Customers!E:E)</f>
        <v>Kuwaiti</v>
      </c>
      <c r="O114" s="2">
        <f>2026-_xlfn.XLOOKUP(Deals[[#This Row],[CustomerID]],Customers!A:A,Customers!D:D)</f>
        <v>32</v>
      </c>
      <c r="P114" s="2" t="str" cm="1">
        <f t="array" ref="P114">_xlfn.IFS(Deals[[#This Row],[Age]]&lt;30,"Under 30",Deals[[#This Row],[Age]]&lt;45,"30-44",TRUE,"45+")</f>
        <v>30-44</v>
      </c>
      <c r="Q114" s="21">
        <f>IF(Deals[[#This Row],[Status]]="Pending","",Deals[[#This Row],[DecisionDate]]-Deals[[#This Row],[ApplicationDate]])</f>
        <v>24</v>
      </c>
      <c r="R114" s="21">
        <f>IF(Deals[[#This Row],[Status]]="Approved",1,0)</f>
        <v>1</v>
      </c>
      <c r="S114" s="21">
        <f>IF(Deals[[#This Row],[IsApproved]]=1,Deals[[#This Row],[Amount]],0)</f>
        <v>44100</v>
      </c>
      <c r="T114" s="21">
        <f>Deals[[#This Row],[ApprovedAmount]]*Deals[[#This Row],[ProfitRate]]</f>
        <v>1569.96</v>
      </c>
    </row>
    <row r="115" spans="1:20">
      <c r="A115" s="2" t="s">
        <v>277</v>
      </c>
      <c r="B115" s="3">
        <v>46052</v>
      </c>
      <c r="C115" s="2" t="s">
        <v>278</v>
      </c>
      <c r="D115" s="2" t="s">
        <v>25</v>
      </c>
      <c r="E115" s="2" t="s">
        <v>15</v>
      </c>
      <c r="F115" s="2" t="s">
        <v>3</v>
      </c>
      <c r="G115" s="4">
        <v>22400</v>
      </c>
      <c r="H115" s="5">
        <v>5.6399999999999999E-2</v>
      </c>
      <c r="I115" s="2">
        <v>24</v>
      </c>
      <c r="J115" s="2" t="s">
        <v>26</v>
      </c>
      <c r="K115" s="2" t="s">
        <v>17</v>
      </c>
      <c r="L115" s="3">
        <v>46057</v>
      </c>
      <c r="M115" s="2" t="str">
        <f>_xlfn.XLOOKUP(Deals[[#This Row],[CustomerID]],Customers!A:A,Customers!F:F)</f>
        <v>Affluent</v>
      </c>
      <c r="N115" s="2" t="str">
        <f>_xlfn.XLOOKUP(Deals[[#This Row],[CustomerID]],Customers!A:A,Customers!E:E)</f>
        <v>Kuwaiti</v>
      </c>
      <c r="O115" s="2">
        <f>2026-_xlfn.XLOOKUP(Deals[[#This Row],[CustomerID]],Customers!A:A,Customers!D:D)</f>
        <v>26</v>
      </c>
      <c r="P115" s="2" t="str" cm="1">
        <f t="array" ref="P115">_xlfn.IFS(Deals[[#This Row],[Age]]&lt;30,"Under 30",Deals[[#This Row],[Age]]&lt;45,"30-44",TRUE,"45+")</f>
        <v>Under 30</v>
      </c>
      <c r="Q115" s="21">
        <f>IF(Deals[[#This Row],[Status]]="Pending","",Deals[[#This Row],[DecisionDate]]-Deals[[#This Row],[ApplicationDate]])</f>
        <v>5</v>
      </c>
      <c r="R115" s="21">
        <f>IF(Deals[[#This Row],[Status]]="Approved",1,0)</f>
        <v>1</v>
      </c>
      <c r="S115" s="21">
        <f>IF(Deals[[#This Row],[IsApproved]]=1,Deals[[#This Row],[Amount]],0)</f>
        <v>22400</v>
      </c>
      <c r="T115" s="21">
        <f>Deals[[#This Row],[ApprovedAmount]]*Deals[[#This Row],[ProfitRate]]</f>
        <v>1263.3599999999999</v>
      </c>
    </row>
    <row r="116" spans="1:20">
      <c r="A116" s="2" t="s">
        <v>279</v>
      </c>
      <c r="B116" s="3">
        <v>46052</v>
      </c>
      <c r="C116" s="2" t="s">
        <v>280</v>
      </c>
      <c r="D116" s="2" t="s">
        <v>29</v>
      </c>
      <c r="E116" s="2" t="s">
        <v>30</v>
      </c>
      <c r="F116" s="2" t="s">
        <v>3</v>
      </c>
      <c r="G116" s="4">
        <v>13300</v>
      </c>
      <c r="H116" s="5">
        <v>4.3499999999999997E-2</v>
      </c>
      <c r="I116" s="2">
        <v>60</v>
      </c>
      <c r="J116" s="2" t="s">
        <v>123</v>
      </c>
      <c r="K116" s="2" t="s">
        <v>17</v>
      </c>
      <c r="L116" s="3">
        <v>46055</v>
      </c>
      <c r="M116" s="2" t="str">
        <f>_xlfn.XLOOKUP(Deals[[#This Row],[CustomerID]],Customers!A:A,Customers!F:F)</f>
        <v>Mass</v>
      </c>
      <c r="N116" s="2" t="str">
        <f>_xlfn.XLOOKUP(Deals[[#This Row],[CustomerID]],Customers!A:A,Customers!E:E)</f>
        <v>Kuwaiti</v>
      </c>
      <c r="O116" s="2">
        <f>2026-_xlfn.XLOOKUP(Deals[[#This Row],[CustomerID]],Customers!A:A,Customers!D:D)</f>
        <v>31</v>
      </c>
      <c r="P116" s="2" t="str" cm="1">
        <f t="array" ref="P116">_xlfn.IFS(Deals[[#This Row],[Age]]&lt;30,"Under 30",Deals[[#This Row],[Age]]&lt;45,"30-44",TRUE,"45+")</f>
        <v>30-44</v>
      </c>
      <c r="Q116" s="21">
        <f>IF(Deals[[#This Row],[Status]]="Pending","",Deals[[#This Row],[DecisionDate]]-Deals[[#This Row],[ApplicationDate]])</f>
        <v>3</v>
      </c>
      <c r="R116" s="21">
        <f>IF(Deals[[#This Row],[Status]]="Approved",1,0)</f>
        <v>1</v>
      </c>
      <c r="S116" s="21">
        <f>IF(Deals[[#This Row],[IsApproved]]=1,Deals[[#This Row],[Amount]],0)</f>
        <v>13300</v>
      </c>
      <c r="T116" s="21">
        <f>Deals[[#This Row],[ApprovedAmount]]*Deals[[#This Row],[ProfitRate]]</f>
        <v>578.54999999999995</v>
      </c>
    </row>
    <row r="117" spans="1:20">
      <c r="A117" s="2" t="s">
        <v>281</v>
      </c>
      <c r="B117" s="3">
        <v>46052</v>
      </c>
      <c r="C117" s="2" t="s">
        <v>282</v>
      </c>
      <c r="D117" s="2" t="s">
        <v>14</v>
      </c>
      <c r="E117" s="2" t="s">
        <v>30</v>
      </c>
      <c r="F117" s="2" t="s">
        <v>31</v>
      </c>
      <c r="G117" s="4">
        <v>6600</v>
      </c>
      <c r="H117" s="5">
        <v>4.2999999999999997E-2</v>
      </c>
      <c r="I117" s="2">
        <v>48</v>
      </c>
      <c r="J117" s="2" t="s">
        <v>40</v>
      </c>
      <c r="K117" s="2" t="s">
        <v>45</v>
      </c>
      <c r="L117" s="3">
        <v>46054</v>
      </c>
      <c r="M117" s="2" t="str">
        <f>_xlfn.XLOOKUP(Deals[[#This Row],[CustomerID]],Customers!A:A,Customers!F:F)</f>
        <v>Mass</v>
      </c>
      <c r="N117" s="2" t="str">
        <f>_xlfn.XLOOKUP(Deals[[#This Row],[CustomerID]],Customers!A:A,Customers!E:E)</f>
        <v>Non-Kuwaiti</v>
      </c>
      <c r="O117" s="2">
        <f>2026-_xlfn.XLOOKUP(Deals[[#This Row],[CustomerID]],Customers!A:A,Customers!D:D)</f>
        <v>25</v>
      </c>
      <c r="P117" s="2" t="str" cm="1">
        <f t="array" ref="P117">_xlfn.IFS(Deals[[#This Row],[Age]]&lt;30,"Under 30",Deals[[#This Row],[Age]]&lt;45,"30-44",TRUE,"45+")</f>
        <v>Under 30</v>
      </c>
      <c r="Q117" s="21">
        <f>IF(Deals[[#This Row],[Status]]="Pending","",Deals[[#This Row],[DecisionDate]]-Deals[[#This Row],[ApplicationDate]])</f>
        <v>2</v>
      </c>
      <c r="R117" s="21">
        <f>IF(Deals[[#This Row],[Status]]="Approved",1,0)</f>
        <v>0</v>
      </c>
      <c r="S117" s="21">
        <f>IF(Deals[[#This Row],[IsApproved]]=1,Deals[[#This Row],[Amount]],0)</f>
        <v>0</v>
      </c>
      <c r="T117" s="21">
        <f>Deals[[#This Row],[ApprovedAmount]]*Deals[[#This Row],[ProfitRate]]</f>
        <v>0</v>
      </c>
    </row>
    <row r="118" spans="1:20">
      <c r="A118" s="2" t="s">
        <v>283</v>
      </c>
      <c r="B118" s="3">
        <v>46052</v>
      </c>
      <c r="C118" s="2" t="s">
        <v>284</v>
      </c>
      <c r="D118" s="2" t="s">
        <v>25</v>
      </c>
      <c r="E118" s="2" t="s">
        <v>21</v>
      </c>
      <c r="F118" s="2" t="s">
        <v>3</v>
      </c>
      <c r="G118" s="4">
        <v>85600</v>
      </c>
      <c r="H118" s="5">
        <v>4.3400000000000001E-2</v>
      </c>
      <c r="I118" s="2">
        <v>180</v>
      </c>
      <c r="J118" s="2" t="s">
        <v>66</v>
      </c>
      <c r="K118" s="2" t="s">
        <v>17</v>
      </c>
      <c r="L118" s="3">
        <v>46081</v>
      </c>
      <c r="M118" s="2" t="str">
        <f>_xlfn.XLOOKUP(Deals[[#This Row],[CustomerID]],Customers!A:A,Customers!F:F)</f>
        <v>Mass</v>
      </c>
      <c r="N118" s="2" t="str">
        <f>_xlfn.XLOOKUP(Deals[[#This Row],[CustomerID]],Customers!A:A,Customers!E:E)</f>
        <v>Non-Kuwaiti</v>
      </c>
      <c r="O118" s="2">
        <f>2026-_xlfn.XLOOKUP(Deals[[#This Row],[CustomerID]],Customers!A:A,Customers!D:D)</f>
        <v>52</v>
      </c>
      <c r="P118" s="2" t="str" cm="1">
        <f t="array" ref="P118">_xlfn.IFS(Deals[[#This Row],[Age]]&lt;30,"Under 30",Deals[[#This Row],[Age]]&lt;45,"30-44",TRUE,"45+")</f>
        <v>45+</v>
      </c>
      <c r="Q118" s="21">
        <f>IF(Deals[[#This Row],[Status]]="Pending","",Deals[[#This Row],[DecisionDate]]-Deals[[#This Row],[ApplicationDate]])</f>
        <v>29</v>
      </c>
      <c r="R118" s="21">
        <f>IF(Deals[[#This Row],[Status]]="Approved",1,0)</f>
        <v>1</v>
      </c>
      <c r="S118" s="21">
        <f>IF(Deals[[#This Row],[IsApproved]]=1,Deals[[#This Row],[Amount]],0)</f>
        <v>85600</v>
      </c>
      <c r="T118" s="21">
        <f>Deals[[#This Row],[ApprovedAmount]]*Deals[[#This Row],[ProfitRate]]</f>
        <v>3715.04</v>
      </c>
    </row>
    <row r="119" spans="1:20">
      <c r="A119" s="2" t="s">
        <v>285</v>
      </c>
      <c r="B119" s="3">
        <v>46053</v>
      </c>
      <c r="C119" s="2" t="s">
        <v>286</v>
      </c>
      <c r="D119" s="2" t="s">
        <v>54</v>
      </c>
      <c r="E119" s="2" t="s">
        <v>15</v>
      </c>
      <c r="F119" s="2" t="s">
        <v>3</v>
      </c>
      <c r="G119" s="4">
        <v>5400</v>
      </c>
      <c r="H119" s="5">
        <v>6.3700000000000007E-2</v>
      </c>
      <c r="I119" s="2">
        <v>12</v>
      </c>
      <c r="J119" s="2" t="s">
        <v>56</v>
      </c>
      <c r="K119" s="2" t="s">
        <v>45</v>
      </c>
      <c r="L119" s="3">
        <v>46057</v>
      </c>
      <c r="M119" s="2" t="str">
        <f>_xlfn.XLOOKUP(Deals[[#This Row],[CustomerID]],Customers!A:A,Customers!F:F)</f>
        <v>Affluent</v>
      </c>
      <c r="N119" s="2" t="str">
        <f>_xlfn.XLOOKUP(Deals[[#This Row],[CustomerID]],Customers!A:A,Customers!E:E)</f>
        <v>Kuwaiti</v>
      </c>
      <c r="O119" s="2">
        <f>2026-_xlfn.XLOOKUP(Deals[[#This Row],[CustomerID]],Customers!A:A,Customers!D:D)</f>
        <v>52</v>
      </c>
      <c r="P119" s="2" t="str" cm="1">
        <f t="array" ref="P119">_xlfn.IFS(Deals[[#This Row],[Age]]&lt;30,"Under 30",Deals[[#This Row],[Age]]&lt;45,"30-44",TRUE,"45+")</f>
        <v>45+</v>
      </c>
      <c r="Q119" s="21">
        <f>IF(Deals[[#This Row],[Status]]="Pending","",Deals[[#This Row],[DecisionDate]]-Deals[[#This Row],[ApplicationDate]])</f>
        <v>4</v>
      </c>
      <c r="R119" s="21">
        <f>IF(Deals[[#This Row],[Status]]="Approved",1,0)</f>
        <v>0</v>
      </c>
      <c r="S119" s="21">
        <f>IF(Deals[[#This Row],[IsApproved]]=1,Deals[[#This Row],[Amount]],0)</f>
        <v>0</v>
      </c>
      <c r="T119" s="21">
        <f>Deals[[#This Row],[ApprovedAmount]]*Deals[[#This Row],[ProfitRate]]</f>
        <v>0</v>
      </c>
    </row>
    <row r="120" spans="1:20">
      <c r="A120" s="2" t="s">
        <v>287</v>
      </c>
      <c r="B120" s="3">
        <v>46053</v>
      </c>
      <c r="C120" s="2" t="s">
        <v>288</v>
      </c>
      <c r="D120" s="2" t="s">
        <v>20</v>
      </c>
      <c r="E120" s="2" t="s">
        <v>43</v>
      </c>
      <c r="F120" s="2" t="s">
        <v>3</v>
      </c>
      <c r="G120" s="4">
        <v>32900</v>
      </c>
      <c r="H120" s="5">
        <v>7.2700000000000001E-2</v>
      </c>
      <c r="I120" s="2">
        <v>24</v>
      </c>
      <c r="J120" s="2" t="s">
        <v>37</v>
      </c>
      <c r="K120" s="2" t="s">
        <v>45</v>
      </c>
      <c r="L120" s="3">
        <v>46068</v>
      </c>
      <c r="M120" s="2" t="str">
        <f>_xlfn.XLOOKUP(Deals[[#This Row],[CustomerID]],Customers!A:A,Customers!F:F)</f>
        <v>Mass</v>
      </c>
      <c r="N120" s="2" t="str">
        <f>_xlfn.XLOOKUP(Deals[[#This Row],[CustomerID]],Customers!A:A,Customers!E:E)</f>
        <v>Non-Kuwaiti</v>
      </c>
      <c r="O120" s="2">
        <f>2026-_xlfn.XLOOKUP(Deals[[#This Row],[CustomerID]],Customers!A:A,Customers!D:D)</f>
        <v>22</v>
      </c>
      <c r="P120" s="2" t="str" cm="1">
        <f t="array" ref="P120">_xlfn.IFS(Deals[[#This Row],[Age]]&lt;30,"Under 30",Deals[[#This Row],[Age]]&lt;45,"30-44",TRUE,"45+")</f>
        <v>Under 30</v>
      </c>
      <c r="Q120" s="21">
        <f>IF(Deals[[#This Row],[Status]]="Pending","",Deals[[#This Row],[DecisionDate]]-Deals[[#This Row],[ApplicationDate]])</f>
        <v>15</v>
      </c>
      <c r="R120" s="21">
        <f>IF(Deals[[#This Row],[Status]]="Approved",1,0)</f>
        <v>0</v>
      </c>
      <c r="S120" s="21">
        <f>IF(Deals[[#This Row],[IsApproved]]=1,Deals[[#This Row],[Amount]],0)</f>
        <v>0</v>
      </c>
      <c r="T120" s="21">
        <f>Deals[[#This Row],[ApprovedAmount]]*Deals[[#This Row],[ProfitRate]]</f>
        <v>0</v>
      </c>
    </row>
    <row r="121" spans="1:20">
      <c r="A121" s="2" t="s">
        <v>289</v>
      </c>
      <c r="B121" s="3">
        <v>46054</v>
      </c>
      <c r="C121" s="2" t="s">
        <v>290</v>
      </c>
      <c r="D121" s="2" t="s">
        <v>25</v>
      </c>
      <c r="E121" s="2" t="s">
        <v>30</v>
      </c>
      <c r="F121" s="2" t="s">
        <v>3</v>
      </c>
      <c r="G121" s="4">
        <v>16600</v>
      </c>
      <c r="H121" s="5">
        <v>4.1300000000000003E-2</v>
      </c>
      <c r="I121" s="2">
        <v>36</v>
      </c>
      <c r="J121" s="2" t="s">
        <v>181</v>
      </c>
      <c r="K121" s="2" t="s">
        <v>17</v>
      </c>
      <c r="L121" s="3">
        <v>46056</v>
      </c>
      <c r="M121" s="2" t="str">
        <f>_xlfn.XLOOKUP(Deals[[#This Row],[CustomerID]],Customers!A:A,Customers!F:F)</f>
        <v>Affluent</v>
      </c>
      <c r="N121" s="2" t="str">
        <f>_xlfn.XLOOKUP(Deals[[#This Row],[CustomerID]],Customers!A:A,Customers!E:E)</f>
        <v>Non-Kuwaiti</v>
      </c>
      <c r="O121" s="2">
        <f>2026-_xlfn.XLOOKUP(Deals[[#This Row],[CustomerID]],Customers!A:A,Customers!D:D)</f>
        <v>29</v>
      </c>
      <c r="P121" s="2" t="str" cm="1">
        <f t="array" ref="P121">_xlfn.IFS(Deals[[#This Row],[Age]]&lt;30,"Under 30",Deals[[#This Row],[Age]]&lt;45,"30-44",TRUE,"45+")</f>
        <v>Under 30</v>
      </c>
      <c r="Q121" s="21">
        <f>IF(Deals[[#This Row],[Status]]="Pending","",Deals[[#This Row],[DecisionDate]]-Deals[[#This Row],[ApplicationDate]])</f>
        <v>2</v>
      </c>
      <c r="R121" s="21">
        <f>IF(Deals[[#This Row],[Status]]="Approved",1,0)</f>
        <v>1</v>
      </c>
      <c r="S121" s="21">
        <f>IF(Deals[[#This Row],[IsApproved]]=1,Deals[[#This Row],[Amount]],0)</f>
        <v>16600</v>
      </c>
      <c r="T121" s="21">
        <f>Deals[[#This Row],[ApprovedAmount]]*Deals[[#This Row],[ProfitRate]]</f>
        <v>685.58</v>
      </c>
    </row>
    <row r="122" spans="1:20">
      <c r="A122" s="2" t="s">
        <v>291</v>
      </c>
      <c r="B122" s="3">
        <v>46054</v>
      </c>
      <c r="C122" s="2" t="s">
        <v>292</v>
      </c>
      <c r="D122" s="2" t="s">
        <v>20</v>
      </c>
      <c r="E122" s="2" t="s">
        <v>15</v>
      </c>
      <c r="F122" s="2" t="s">
        <v>3</v>
      </c>
      <c r="G122" s="4">
        <v>6500</v>
      </c>
      <c r="H122" s="5">
        <v>5.7799999999999997E-2</v>
      </c>
      <c r="I122" s="2">
        <v>60</v>
      </c>
      <c r="J122" s="2" t="s">
        <v>37</v>
      </c>
      <c r="K122" s="2" t="s">
        <v>17</v>
      </c>
      <c r="L122" s="3">
        <v>46058</v>
      </c>
      <c r="M122" s="2" t="str">
        <f>_xlfn.XLOOKUP(Deals[[#This Row],[CustomerID]],Customers!A:A,Customers!F:F)</f>
        <v>Affluent</v>
      </c>
      <c r="N122" s="2" t="str">
        <f>_xlfn.XLOOKUP(Deals[[#This Row],[CustomerID]],Customers!A:A,Customers!E:E)</f>
        <v>Non-Kuwaiti</v>
      </c>
      <c r="O122" s="2">
        <f>2026-_xlfn.XLOOKUP(Deals[[#This Row],[CustomerID]],Customers!A:A,Customers!D:D)</f>
        <v>28</v>
      </c>
      <c r="P122" s="2" t="str" cm="1">
        <f t="array" ref="P122">_xlfn.IFS(Deals[[#This Row],[Age]]&lt;30,"Under 30",Deals[[#This Row],[Age]]&lt;45,"30-44",TRUE,"45+")</f>
        <v>Under 30</v>
      </c>
      <c r="Q122" s="21">
        <f>IF(Deals[[#This Row],[Status]]="Pending","",Deals[[#This Row],[DecisionDate]]-Deals[[#This Row],[ApplicationDate]])</f>
        <v>4</v>
      </c>
      <c r="R122" s="21">
        <f>IF(Deals[[#This Row],[Status]]="Approved",1,0)</f>
        <v>1</v>
      </c>
      <c r="S122" s="21">
        <f>IF(Deals[[#This Row],[IsApproved]]=1,Deals[[#This Row],[Amount]],0)</f>
        <v>6500</v>
      </c>
      <c r="T122" s="21">
        <f>Deals[[#This Row],[ApprovedAmount]]*Deals[[#This Row],[ProfitRate]]</f>
        <v>375.7</v>
      </c>
    </row>
    <row r="123" spans="1:20">
      <c r="A123" s="2" t="s">
        <v>293</v>
      </c>
      <c r="B123" s="3">
        <v>46054</v>
      </c>
      <c r="C123" s="2" t="s">
        <v>232</v>
      </c>
      <c r="D123" s="2" t="s">
        <v>25</v>
      </c>
      <c r="E123" s="2" t="s">
        <v>15</v>
      </c>
      <c r="F123" s="2" t="s">
        <v>31</v>
      </c>
      <c r="G123" s="4">
        <v>17400</v>
      </c>
      <c r="H123" s="5">
        <v>5.5300000000000002E-2</v>
      </c>
      <c r="I123" s="2">
        <v>48</v>
      </c>
      <c r="J123" s="2" t="s">
        <v>26</v>
      </c>
      <c r="K123" s="2" t="s">
        <v>17</v>
      </c>
      <c r="L123" s="3">
        <v>46058</v>
      </c>
      <c r="M123" s="2" t="str">
        <f>_xlfn.XLOOKUP(Deals[[#This Row],[CustomerID]],Customers!A:A,Customers!F:F)</f>
        <v>Affluent</v>
      </c>
      <c r="N123" s="2" t="str">
        <f>_xlfn.XLOOKUP(Deals[[#This Row],[CustomerID]],Customers!A:A,Customers!E:E)</f>
        <v>Kuwaiti</v>
      </c>
      <c r="O123" s="2">
        <f>2026-_xlfn.XLOOKUP(Deals[[#This Row],[CustomerID]],Customers!A:A,Customers!D:D)</f>
        <v>30</v>
      </c>
      <c r="P123" s="2" t="str" cm="1">
        <f t="array" ref="P123">_xlfn.IFS(Deals[[#This Row],[Age]]&lt;30,"Under 30",Deals[[#This Row],[Age]]&lt;45,"30-44",TRUE,"45+")</f>
        <v>30-44</v>
      </c>
      <c r="Q123" s="21">
        <f>IF(Deals[[#This Row],[Status]]="Pending","",Deals[[#This Row],[DecisionDate]]-Deals[[#This Row],[ApplicationDate]])</f>
        <v>4</v>
      </c>
      <c r="R123" s="21">
        <f>IF(Deals[[#This Row],[Status]]="Approved",1,0)</f>
        <v>1</v>
      </c>
      <c r="S123" s="21">
        <f>IF(Deals[[#This Row],[IsApproved]]=1,Deals[[#This Row],[Amount]],0)</f>
        <v>17400</v>
      </c>
      <c r="T123" s="21">
        <f>Deals[[#This Row],[ApprovedAmount]]*Deals[[#This Row],[ProfitRate]]</f>
        <v>962.22</v>
      </c>
    </row>
    <row r="124" spans="1:20">
      <c r="A124" s="2" t="s">
        <v>294</v>
      </c>
      <c r="B124" s="3">
        <v>46055</v>
      </c>
      <c r="C124" s="2" t="s">
        <v>295</v>
      </c>
      <c r="D124" s="2" t="s">
        <v>25</v>
      </c>
      <c r="E124" s="2" t="s">
        <v>15</v>
      </c>
      <c r="F124" s="2" t="s">
        <v>31</v>
      </c>
      <c r="G124" s="4">
        <v>5200</v>
      </c>
      <c r="H124" s="5">
        <v>6.5600000000000006E-2</v>
      </c>
      <c r="I124" s="2">
        <v>48</v>
      </c>
      <c r="J124" s="2" t="s">
        <v>66</v>
      </c>
      <c r="K124" s="2" t="s">
        <v>17</v>
      </c>
      <c r="L124" s="3">
        <v>46059</v>
      </c>
      <c r="M124" s="2" t="str">
        <f>_xlfn.XLOOKUP(Deals[[#This Row],[CustomerID]],Customers!A:A,Customers!F:F)</f>
        <v>Affluent</v>
      </c>
      <c r="N124" s="2" t="str">
        <f>_xlfn.XLOOKUP(Deals[[#This Row],[CustomerID]],Customers!A:A,Customers!E:E)</f>
        <v>Kuwaiti</v>
      </c>
      <c r="O124" s="2">
        <f>2026-_xlfn.XLOOKUP(Deals[[#This Row],[CustomerID]],Customers!A:A,Customers!D:D)</f>
        <v>56</v>
      </c>
      <c r="P124" s="2" t="str" cm="1">
        <f t="array" ref="P124">_xlfn.IFS(Deals[[#This Row],[Age]]&lt;30,"Under 30",Deals[[#This Row],[Age]]&lt;45,"30-44",TRUE,"45+")</f>
        <v>45+</v>
      </c>
      <c r="Q124" s="21">
        <f>IF(Deals[[#This Row],[Status]]="Pending","",Deals[[#This Row],[DecisionDate]]-Deals[[#This Row],[ApplicationDate]])</f>
        <v>4</v>
      </c>
      <c r="R124" s="21">
        <f>IF(Deals[[#This Row],[Status]]="Approved",1,0)</f>
        <v>1</v>
      </c>
      <c r="S124" s="21">
        <f>IF(Deals[[#This Row],[IsApproved]]=1,Deals[[#This Row],[Amount]],0)</f>
        <v>5200</v>
      </c>
      <c r="T124" s="21">
        <f>Deals[[#This Row],[ApprovedAmount]]*Deals[[#This Row],[ProfitRate]]</f>
        <v>341.12</v>
      </c>
    </row>
    <row r="125" spans="1:20">
      <c r="A125" s="2" t="s">
        <v>296</v>
      </c>
      <c r="B125" s="3">
        <v>46055</v>
      </c>
      <c r="C125" s="2" t="s">
        <v>297</v>
      </c>
      <c r="D125" s="2" t="s">
        <v>14</v>
      </c>
      <c r="E125" s="2" t="s">
        <v>15</v>
      </c>
      <c r="F125" s="2" t="s">
        <v>3</v>
      </c>
      <c r="G125" s="4">
        <v>17400</v>
      </c>
      <c r="H125" s="5">
        <v>6.6799999999999998E-2</v>
      </c>
      <c r="I125" s="2">
        <v>36</v>
      </c>
      <c r="J125" s="2" t="s">
        <v>16</v>
      </c>
      <c r="K125" s="2" t="s">
        <v>45</v>
      </c>
      <c r="L125" s="3">
        <v>46056</v>
      </c>
      <c r="M125" s="2" t="str">
        <f>_xlfn.XLOOKUP(Deals[[#This Row],[CustomerID]],Customers!A:A,Customers!F:F)</f>
        <v>Mass</v>
      </c>
      <c r="N125" s="2" t="str">
        <f>_xlfn.XLOOKUP(Deals[[#This Row],[CustomerID]],Customers!A:A,Customers!E:E)</f>
        <v>Kuwaiti</v>
      </c>
      <c r="O125" s="2">
        <f>2026-_xlfn.XLOOKUP(Deals[[#This Row],[CustomerID]],Customers!A:A,Customers!D:D)</f>
        <v>22</v>
      </c>
      <c r="P125" s="2" t="str" cm="1">
        <f t="array" ref="P125">_xlfn.IFS(Deals[[#This Row],[Age]]&lt;30,"Under 30",Deals[[#This Row],[Age]]&lt;45,"30-44",TRUE,"45+")</f>
        <v>Under 30</v>
      </c>
      <c r="Q125" s="21">
        <f>IF(Deals[[#This Row],[Status]]="Pending","",Deals[[#This Row],[DecisionDate]]-Deals[[#This Row],[ApplicationDate]])</f>
        <v>1</v>
      </c>
      <c r="R125" s="21">
        <f>IF(Deals[[#This Row],[Status]]="Approved",1,0)</f>
        <v>0</v>
      </c>
      <c r="S125" s="21">
        <f>IF(Deals[[#This Row],[IsApproved]]=1,Deals[[#This Row],[Amount]],0)</f>
        <v>0</v>
      </c>
      <c r="T125" s="21">
        <f>Deals[[#This Row],[ApprovedAmount]]*Deals[[#This Row],[ProfitRate]]</f>
        <v>0</v>
      </c>
    </row>
    <row r="126" spans="1:20">
      <c r="A126" s="2" t="s">
        <v>298</v>
      </c>
      <c r="B126" s="3">
        <v>46056</v>
      </c>
      <c r="C126" s="2" t="s">
        <v>299</v>
      </c>
      <c r="D126" s="2" t="s">
        <v>14</v>
      </c>
      <c r="E126" s="2" t="s">
        <v>30</v>
      </c>
      <c r="F126" s="2" t="s">
        <v>3</v>
      </c>
      <c r="G126" s="4">
        <v>11400</v>
      </c>
      <c r="H126" s="5">
        <v>4.4600000000000001E-2</v>
      </c>
      <c r="I126" s="2">
        <v>36</v>
      </c>
      <c r="J126" s="2" t="s">
        <v>16</v>
      </c>
      <c r="K126" s="2" t="s">
        <v>17</v>
      </c>
      <c r="L126" s="3">
        <v>46057</v>
      </c>
      <c r="M126" s="2" t="str">
        <f>_xlfn.XLOOKUP(Deals[[#This Row],[CustomerID]],Customers!A:A,Customers!F:F)</f>
        <v>Mass</v>
      </c>
      <c r="N126" s="2" t="str">
        <f>_xlfn.XLOOKUP(Deals[[#This Row],[CustomerID]],Customers!A:A,Customers!E:E)</f>
        <v>Kuwaiti</v>
      </c>
      <c r="O126" s="2">
        <f>2026-_xlfn.XLOOKUP(Deals[[#This Row],[CustomerID]],Customers!A:A,Customers!D:D)</f>
        <v>34</v>
      </c>
      <c r="P126" s="2" t="str" cm="1">
        <f t="array" ref="P126">_xlfn.IFS(Deals[[#This Row],[Age]]&lt;30,"Under 30",Deals[[#This Row],[Age]]&lt;45,"30-44",TRUE,"45+")</f>
        <v>30-44</v>
      </c>
      <c r="Q126" s="21">
        <f>IF(Deals[[#This Row],[Status]]="Pending","",Deals[[#This Row],[DecisionDate]]-Deals[[#This Row],[ApplicationDate]])</f>
        <v>1</v>
      </c>
      <c r="R126" s="21">
        <f>IF(Deals[[#This Row],[Status]]="Approved",1,0)</f>
        <v>1</v>
      </c>
      <c r="S126" s="21">
        <f>IF(Deals[[#This Row],[IsApproved]]=1,Deals[[#This Row],[Amount]],0)</f>
        <v>11400</v>
      </c>
      <c r="T126" s="21">
        <f>Deals[[#This Row],[ApprovedAmount]]*Deals[[#This Row],[ProfitRate]]</f>
        <v>508.44</v>
      </c>
    </row>
    <row r="127" spans="1:20">
      <c r="A127" s="2" t="s">
        <v>300</v>
      </c>
      <c r="B127" s="3">
        <v>46056</v>
      </c>
      <c r="C127" s="2" t="s">
        <v>301</v>
      </c>
      <c r="D127" s="2" t="s">
        <v>20</v>
      </c>
      <c r="E127" s="2" t="s">
        <v>15</v>
      </c>
      <c r="F127" s="2" t="s">
        <v>3</v>
      </c>
      <c r="G127" s="4">
        <v>13500</v>
      </c>
      <c r="H127" s="5">
        <v>6.9699999999999998E-2</v>
      </c>
      <c r="I127" s="2">
        <v>24</v>
      </c>
      <c r="J127" s="2" t="s">
        <v>37</v>
      </c>
      <c r="K127" s="2" t="s">
        <v>45</v>
      </c>
      <c r="L127" s="3">
        <v>46058</v>
      </c>
      <c r="M127" s="2" t="str">
        <f>_xlfn.XLOOKUP(Deals[[#This Row],[CustomerID]],Customers!A:A,Customers!F:F)</f>
        <v>Affluent</v>
      </c>
      <c r="N127" s="2" t="str">
        <f>_xlfn.XLOOKUP(Deals[[#This Row],[CustomerID]],Customers!A:A,Customers!E:E)</f>
        <v>Non-Kuwaiti</v>
      </c>
      <c r="O127" s="2">
        <f>2026-_xlfn.XLOOKUP(Deals[[#This Row],[CustomerID]],Customers!A:A,Customers!D:D)</f>
        <v>40</v>
      </c>
      <c r="P127" s="2" t="str" cm="1">
        <f t="array" ref="P127">_xlfn.IFS(Deals[[#This Row],[Age]]&lt;30,"Under 30",Deals[[#This Row],[Age]]&lt;45,"30-44",TRUE,"45+")</f>
        <v>30-44</v>
      </c>
      <c r="Q127" s="21">
        <f>IF(Deals[[#This Row],[Status]]="Pending","",Deals[[#This Row],[DecisionDate]]-Deals[[#This Row],[ApplicationDate]])</f>
        <v>2</v>
      </c>
      <c r="R127" s="21">
        <f>IF(Deals[[#This Row],[Status]]="Approved",1,0)</f>
        <v>0</v>
      </c>
      <c r="S127" s="21">
        <f>IF(Deals[[#This Row],[IsApproved]]=1,Deals[[#This Row],[Amount]],0)</f>
        <v>0</v>
      </c>
      <c r="T127" s="21">
        <f>Deals[[#This Row],[ApprovedAmount]]*Deals[[#This Row],[ProfitRate]]</f>
        <v>0</v>
      </c>
    </row>
    <row r="128" spans="1:20">
      <c r="A128" s="2" t="s">
        <v>302</v>
      </c>
      <c r="B128" s="3">
        <v>46057</v>
      </c>
      <c r="C128" s="2" t="s">
        <v>303</v>
      </c>
      <c r="D128" s="2" t="s">
        <v>25</v>
      </c>
      <c r="E128" s="2" t="s">
        <v>15</v>
      </c>
      <c r="F128" s="2" t="s">
        <v>55</v>
      </c>
      <c r="G128" s="4">
        <v>4400</v>
      </c>
      <c r="H128" s="5">
        <v>6.4899999999999999E-2</v>
      </c>
      <c r="I128" s="2">
        <v>24</v>
      </c>
      <c r="J128" s="2" t="s">
        <v>26</v>
      </c>
      <c r="K128" s="2" t="s">
        <v>17</v>
      </c>
      <c r="L128" s="3">
        <v>46060</v>
      </c>
      <c r="M128" s="2" t="str">
        <f>_xlfn.XLOOKUP(Deals[[#This Row],[CustomerID]],Customers!A:A,Customers!F:F)</f>
        <v>Mass</v>
      </c>
      <c r="N128" s="2" t="str">
        <f>_xlfn.XLOOKUP(Deals[[#This Row],[CustomerID]],Customers!A:A,Customers!E:E)</f>
        <v>Non-Kuwaiti</v>
      </c>
      <c r="O128" s="2">
        <f>2026-_xlfn.XLOOKUP(Deals[[#This Row],[CustomerID]],Customers!A:A,Customers!D:D)</f>
        <v>37</v>
      </c>
      <c r="P128" s="2" t="str" cm="1">
        <f t="array" ref="P128">_xlfn.IFS(Deals[[#This Row],[Age]]&lt;30,"Under 30",Deals[[#This Row],[Age]]&lt;45,"30-44",TRUE,"45+")</f>
        <v>30-44</v>
      </c>
      <c r="Q128" s="21">
        <f>IF(Deals[[#This Row],[Status]]="Pending","",Deals[[#This Row],[DecisionDate]]-Deals[[#This Row],[ApplicationDate]])</f>
        <v>3</v>
      </c>
      <c r="R128" s="21">
        <f>IF(Deals[[#This Row],[Status]]="Approved",1,0)</f>
        <v>1</v>
      </c>
      <c r="S128" s="21">
        <f>IF(Deals[[#This Row],[IsApproved]]=1,Deals[[#This Row],[Amount]],0)</f>
        <v>4400</v>
      </c>
      <c r="T128" s="21">
        <f>Deals[[#This Row],[ApprovedAmount]]*Deals[[#This Row],[ProfitRate]]</f>
        <v>285.56</v>
      </c>
    </row>
    <row r="129" spans="1:20">
      <c r="A129" s="2" t="s">
        <v>304</v>
      </c>
      <c r="B129" s="3">
        <v>46057</v>
      </c>
      <c r="C129" s="2" t="s">
        <v>305</v>
      </c>
      <c r="D129" s="2" t="s">
        <v>25</v>
      </c>
      <c r="E129" s="2" t="s">
        <v>30</v>
      </c>
      <c r="F129" s="2" t="s">
        <v>31</v>
      </c>
      <c r="G129" s="4">
        <v>16400</v>
      </c>
      <c r="H129" s="5">
        <v>4.4299999999999999E-2</v>
      </c>
      <c r="I129" s="2">
        <v>60</v>
      </c>
      <c r="J129" s="2" t="s">
        <v>26</v>
      </c>
      <c r="K129" s="2" t="s">
        <v>17</v>
      </c>
      <c r="L129" s="3">
        <v>46057</v>
      </c>
      <c r="M129" s="2" t="str">
        <f>_xlfn.XLOOKUP(Deals[[#This Row],[CustomerID]],Customers!A:A,Customers!F:F)</f>
        <v>Premium</v>
      </c>
      <c r="N129" s="2" t="str">
        <f>_xlfn.XLOOKUP(Deals[[#This Row],[CustomerID]],Customers!A:A,Customers!E:E)</f>
        <v>Non-Kuwaiti</v>
      </c>
      <c r="O129" s="2">
        <f>2026-_xlfn.XLOOKUP(Deals[[#This Row],[CustomerID]],Customers!A:A,Customers!D:D)</f>
        <v>64</v>
      </c>
      <c r="P129" s="2" t="str" cm="1">
        <f t="array" ref="P129">_xlfn.IFS(Deals[[#This Row],[Age]]&lt;30,"Under 30",Deals[[#This Row],[Age]]&lt;45,"30-44",TRUE,"45+")</f>
        <v>45+</v>
      </c>
      <c r="Q129" s="21">
        <f>IF(Deals[[#This Row],[Status]]="Pending","",Deals[[#This Row],[DecisionDate]]-Deals[[#This Row],[ApplicationDate]])</f>
        <v>0</v>
      </c>
      <c r="R129" s="21">
        <f>IF(Deals[[#This Row],[Status]]="Approved",1,0)</f>
        <v>1</v>
      </c>
      <c r="S129" s="21">
        <f>IF(Deals[[#This Row],[IsApproved]]=1,Deals[[#This Row],[Amount]],0)</f>
        <v>16400</v>
      </c>
      <c r="T129" s="21">
        <f>Deals[[#This Row],[ApprovedAmount]]*Deals[[#This Row],[ProfitRate]]</f>
        <v>726.52</v>
      </c>
    </row>
    <row r="130" spans="1:20">
      <c r="A130" s="2" t="s">
        <v>306</v>
      </c>
      <c r="B130" s="3">
        <v>46057</v>
      </c>
      <c r="C130" s="2" t="s">
        <v>307</v>
      </c>
      <c r="D130" s="2" t="s">
        <v>54</v>
      </c>
      <c r="E130" s="2" t="s">
        <v>15</v>
      </c>
      <c r="F130" s="2" t="s">
        <v>31</v>
      </c>
      <c r="G130" s="4">
        <v>13700</v>
      </c>
      <c r="H130" s="5">
        <v>6.2199999999999998E-2</v>
      </c>
      <c r="I130" s="2">
        <v>60</v>
      </c>
      <c r="J130" s="2" t="s">
        <v>56</v>
      </c>
      <c r="K130" s="2" t="s">
        <v>45</v>
      </c>
      <c r="L130" s="3">
        <v>46059</v>
      </c>
      <c r="M130" s="2" t="str">
        <f>_xlfn.XLOOKUP(Deals[[#This Row],[CustomerID]],Customers!A:A,Customers!F:F)</f>
        <v>Mass</v>
      </c>
      <c r="N130" s="2" t="str">
        <f>_xlfn.XLOOKUP(Deals[[#This Row],[CustomerID]],Customers!A:A,Customers!E:E)</f>
        <v>Non-Kuwaiti</v>
      </c>
      <c r="O130" s="2">
        <f>2026-_xlfn.XLOOKUP(Deals[[#This Row],[CustomerID]],Customers!A:A,Customers!D:D)</f>
        <v>64</v>
      </c>
      <c r="P130" s="2" t="str" cm="1">
        <f t="array" ref="P130">_xlfn.IFS(Deals[[#This Row],[Age]]&lt;30,"Under 30",Deals[[#This Row],[Age]]&lt;45,"30-44",TRUE,"45+")</f>
        <v>45+</v>
      </c>
      <c r="Q130" s="21">
        <f>IF(Deals[[#This Row],[Status]]="Pending","",Deals[[#This Row],[DecisionDate]]-Deals[[#This Row],[ApplicationDate]])</f>
        <v>2</v>
      </c>
      <c r="R130" s="21">
        <f>IF(Deals[[#This Row],[Status]]="Approved",1,0)</f>
        <v>0</v>
      </c>
      <c r="S130" s="21">
        <f>IF(Deals[[#This Row],[IsApproved]]=1,Deals[[#This Row],[Amount]],0)</f>
        <v>0</v>
      </c>
      <c r="T130" s="21">
        <f>Deals[[#This Row],[ApprovedAmount]]*Deals[[#This Row],[ProfitRate]]</f>
        <v>0</v>
      </c>
    </row>
    <row r="131" spans="1:20">
      <c r="A131" s="2" t="s">
        <v>308</v>
      </c>
      <c r="B131" s="3">
        <v>46057</v>
      </c>
      <c r="C131" s="2" t="s">
        <v>60</v>
      </c>
      <c r="D131" s="2" t="s">
        <v>25</v>
      </c>
      <c r="E131" s="2" t="s">
        <v>15</v>
      </c>
      <c r="F131" s="2" t="s">
        <v>31</v>
      </c>
      <c r="G131" s="4">
        <v>6300</v>
      </c>
      <c r="H131" s="5">
        <v>5.5599999999999997E-2</v>
      </c>
      <c r="I131" s="2">
        <v>60</v>
      </c>
      <c r="J131" s="2" t="s">
        <v>181</v>
      </c>
      <c r="K131" s="2" t="s">
        <v>45</v>
      </c>
      <c r="L131" s="3">
        <v>46058</v>
      </c>
      <c r="M131" s="2" t="str">
        <f>_xlfn.XLOOKUP(Deals[[#This Row],[CustomerID]],Customers!A:A,Customers!F:F)</f>
        <v>Mass</v>
      </c>
      <c r="N131" s="2" t="str">
        <f>_xlfn.XLOOKUP(Deals[[#This Row],[CustomerID]],Customers!A:A,Customers!E:E)</f>
        <v>Non-Kuwaiti</v>
      </c>
      <c r="O131" s="2">
        <f>2026-_xlfn.XLOOKUP(Deals[[#This Row],[CustomerID]],Customers!A:A,Customers!D:D)</f>
        <v>43</v>
      </c>
      <c r="P131" s="2" t="str" cm="1">
        <f t="array" ref="P131">_xlfn.IFS(Deals[[#This Row],[Age]]&lt;30,"Under 30",Deals[[#This Row],[Age]]&lt;45,"30-44",TRUE,"45+")</f>
        <v>30-44</v>
      </c>
      <c r="Q131" s="21">
        <f>IF(Deals[[#This Row],[Status]]="Pending","",Deals[[#This Row],[DecisionDate]]-Deals[[#This Row],[ApplicationDate]])</f>
        <v>1</v>
      </c>
      <c r="R131" s="21">
        <f>IF(Deals[[#This Row],[Status]]="Approved",1,0)</f>
        <v>0</v>
      </c>
      <c r="S131" s="21">
        <f>IF(Deals[[#This Row],[IsApproved]]=1,Deals[[#This Row],[Amount]],0)</f>
        <v>0</v>
      </c>
      <c r="T131" s="21">
        <f>Deals[[#This Row],[ApprovedAmount]]*Deals[[#This Row],[ProfitRate]]</f>
        <v>0</v>
      </c>
    </row>
    <row r="132" spans="1:20">
      <c r="A132" s="2" t="s">
        <v>309</v>
      </c>
      <c r="B132" s="3">
        <v>46057</v>
      </c>
      <c r="C132" s="2" t="s">
        <v>310</v>
      </c>
      <c r="D132" s="2" t="s">
        <v>20</v>
      </c>
      <c r="E132" s="2" t="s">
        <v>30</v>
      </c>
      <c r="F132" s="2" t="s">
        <v>55</v>
      </c>
      <c r="G132" s="4">
        <v>7400</v>
      </c>
      <c r="H132" s="5">
        <v>4.82E-2</v>
      </c>
      <c r="I132" s="2">
        <v>48</v>
      </c>
      <c r="J132" s="2" t="s">
        <v>37</v>
      </c>
      <c r="K132" s="2" t="s">
        <v>17</v>
      </c>
      <c r="L132" s="3">
        <v>46058</v>
      </c>
      <c r="M132" s="2" t="str">
        <f>_xlfn.XLOOKUP(Deals[[#This Row],[CustomerID]],Customers!A:A,Customers!F:F)</f>
        <v>Affluent</v>
      </c>
      <c r="N132" s="2" t="str">
        <f>_xlfn.XLOOKUP(Deals[[#This Row],[CustomerID]],Customers!A:A,Customers!E:E)</f>
        <v>Kuwaiti</v>
      </c>
      <c r="O132" s="2">
        <f>2026-_xlfn.XLOOKUP(Deals[[#This Row],[CustomerID]],Customers!A:A,Customers!D:D)</f>
        <v>48</v>
      </c>
      <c r="P132" s="2" t="str" cm="1">
        <f t="array" ref="P132">_xlfn.IFS(Deals[[#This Row],[Age]]&lt;30,"Under 30",Deals[[#This Row],[Age]]&lt;45,"30-44",TRUE,"45+")</f>
        <v>45+</v>
      </c>
      <c r="Q132" s="21">
        <f>IF(Deals[[#This Row],[Status]]="Pending","",Deals[[#This Row],[DecisionDate]]-Deals[[#This Row],[ApplicationDate]])</f>
        <v>1</v>
      </c>
      <c r="R132" s="21">
        <f>IF(Deals[[#This Row],[Status]]="Approved",1,0)</f>
        <v>1</v>
      </c>
      <c r="S132" s="21">
        <f>IF(Deals[[#This Row],[IsApproved]]=1,Deals[[#This Row],[Amount]],0)</f>
        <v>7400</v>
      </c>
      <c r="T132" s="21">
        <f>Deals[[#This Row],[ApprovedAmount]]*Deals[[#This Row],[ProfitRate]]</f>
        <v>356.68</v>
      </c>
    </row>
    <row r="133" spans="1:20">
      <c r="A133" s="2" t="s">
        <v>311</v>
      </c>
      <c r="B133" s="3">
        <v>46057</v>
      </c>
      <c r="C133" s="2" t="s">
        <v>312</v>
      </c>
      <c r="D133" s="2" t="s">
        <v>25</v>
      </c>
      <c r="E133" s="2" t="s">
        <v>15</v>
      </c>
      <c r="F133" s="2" t="s">
        <v>3</v>
      </c>
      <c r="G133" s="4">
        <v>24300</v>
      </c>
      <c r="H133" s="5">
        <v>6.3799999999999996E-2</v>
      </c>
      <c r="I133" s="2">
        <v>36</v>
      </c>
      <c r="J133" s="2" t="s">
        <v>26</v>
      </c>
      <c r="K133" s="2" t="s">
        <v>17</v>
      </c>
      <c r="L133" s="3">
        <v>46058</v>
      </c>
      <c r="M133" s="2" t="str">
        <f>_xlfn.XLOOKUP(Deals[[#This Row],[CustomerID]],Customers!A:A,Customers!F:F)</f>
        <v>Affluent</v>
      </c>
      <c r="N133" s="2" t="str">
        <f>_xlfn.XLOOKUP(Deals[[#This Row],[CustomerID]],Customers!A:A,Customers!E:E)</f>
        <v>Kuwaiti</v>
      </c>
      <c r="O133" s="2">
        <f>2026-_xlfn.XLOOKUP(Deals[[#This Row],[CustomerID]],Customers!A:A,Customers!D:D)</f>
        <v>68</v>
      </c>
      <c r="P133" s="2" t="str" cm="1">
        <f t="array" ref="P133">_xlfn.IFS(Deals[[#This Row],[Age]]&lt;30,"Under 30",Deals[[#This Row],[Age]]&lt;45,"30-44",TRUE,"45+")</f>
        <v>45+</v>
      </c>
      <c r="Q133" s="21">
        <f>IF(Deals[[#This Row],[Status]]="Pending","",Deals[[#This Row],[DecisionDate]]-Deals[[#This Row],[ApplicationDate]])</f>
        <v>1</v>
      </c>
      <c r="R133" s="21">
        <f>IF(Deals[[#This Row],[Status]]="Approved",1,0)</f>
        <v>1</v>
      </c>
      <c r="S133" s="21">
        <f>IF(Deals[[#This Row],[IsApproved]]=1,Deals[[#This Row],[Amount]],0)</f>
        <v>24300</v>
      </c>
      <c r="T133" s="21">
        <f>Deals[[#This Row],[ApprovedAmount]]*Deals[[#This Row],[ProfitRate]]</f>
        <v>1550.34</v>
      </c>
    </row>
    <row r="134" spans="1:20">
      <c r="A134" s="2" t="s">
        <v>313</v>
      </c>
      <c r="B134" s="3">
        <v>46057</v>
      </c>
      <c r="C134" s="2" t="s">
        <v>314</v>
      </c>
      <c r="D134" s="2" t="s">
        <v>14</v>
      </c>
      <c r="E134" s="2" t="s">
        <v>15</v>
      </c>
      <c r="F134" s="2" t="s">
        <v>3</v>
      </c>
      <c r="G134" s="4">
        <v>5400</v>
      </c>
      <c r="H134" s="5">
        <v>5.9299999999999999E-2</v>
      </c>
      <c r="I134" s="2">
        <v>24</v>
      </c>
      <c r="J134" s="2" t="s">
        <v>16</v>
      </c>
      <c r="K134" s="2" t="s">
        <v>17</v>
      </c>
      <c r="L134" s="3">
        <v>46063</v>
      </c>
      <c r="M134" s="2" t="str">
        <f>_xlfn.XLOOKUP(Deals[[#This Row],[CustomerID]],Customers!A:A,Customers!F:F)</f>
        <v>Mass</v>
      </c>
      <c r="N134" s="2" t="str">
        <f>_xlfn.XLOOKUP(Deals[[#This Row],[CustomerID]],Customers!A:A,Customers!E:E)</f>
        <v>Kuwaiti</v>
      </c>
      <c r="O134" s="2">
        <f>2026-_xlfn.XLOOKUP(Deals[[#This Row],[CustomerID]],Customers!A:A,Customers!D:D)</f>
        <v>42</v>
      </c>
      <c r="P134" s="2" t="str" cm="1">
        <f t="array" ref="P134">_xlfn.IFS(Deals[[#This Row],[Age]]&lt;30,"Under 30",Deals[[#This Row],[Age]]&lt;45,"30-44",TRUE,"45+")</f>
        <v>30-44</v>
      </c>
      <c r="Q134" s="21">
        <f>IF(Deals[[#This Row],[Status]]="Pending","",Deals[[#This Row],[DecisionDate]]-Deals[[#This Row],[ApplicationDate]])</f>
        <v>6</v>
      </c>
      <c r="R134" s="21">
        <f>IF(Deals[[#This Row],[Status]]="Approved",1,0)</f>
        <v>1</v>
      </c>
      <c r="S134" s="21">
        <f>IF(Deals[[#This Row],[IsApproved]]=1,Deals[[#This Row],[Amount]],0)</f>
        <v>5400</v>
      </c>
      <c r="T134" s="21">
        <f>Deals[[#This Row],[ApprovedAmount]]*Deals[[#This Row],[ProfitRate]]</f>
        <v>320.21999999999997</v>
      </c>
    </row>
    <row r="135" spans="1:20">
      <c r="A135" s="2" t="s">
        <v>315</v>
      </c>
      <c r="B135" s="3">
        <v>46057</v>
      </c>
      <c r="C135" s="2" t="s">
        <v>316</v>
      </c>
      <c r="D135" s="2" t="s">
        <v>54</v>
      </c>
      <c r="E135" s="2" t="s">
        <v>15</v>
      </c>
      <c r="F135" s="2" t="s">
        <v>3</v>
      </c>
      <c r="G135" s="4">
        <v>25000</v>
      </c>
      <c r="H135" s="5">
        <v>6.9000000000000006E-2</v>
      </c>
      <c r="I135" s="2">
        <v>24</v>
      </c>
      <c r="J135" s="2" t="s">
        <v>148</v>
      </c>
      <c r="K135" s="2" t="s">
        <v>17</v>
      </c>
      <c r="L135" s="3">
        <v>46064</v>
      </c>
      <c r="M135" s="2" t="str">
        <f>_xlfn.XLOOKUP(Deals[[#This Row],[CustomerID]],Customers!A:A,Customers!F:F)</f>
        <v>Mass</v>
      </c>
      <c r="N135" s="2" t="str">
        <f>_xlfn.XLOOKUP(Deals[[#This Row],[CustomerID]],Customers!A:A,Customers!E:E)</f>
        <v>Kuwaiti</v>
      </c>
      <c r="O135" s="2">
        <f>2026-_xlfn.XLOOKUP(Deals[[#This Row],[CustomerID]],Customers!A:A,Customers!D:D)</f>
        <v>49</v>
      </c>
      <c r="P135" s="2" t="str" cm="1">
        <f t="array" ref="P135">_xlfn.IFS(Deals[[#This Row],[Age]]&lt;30,"Under 30",Deals[[#This Row],[Age]]&lt;45,"30-44",TRUE,"45+")</f>
        <v>45+</v>
      </c>
      <c r="Q135" s="21">
        <f>IF(Deals[[#This Row],[Status]]="Pending","",Deals[[#This Row],[DecisionDate]]-Deals[[#This Row],[ApplicationDate]])</f>
        <v>7</v>
      </c>
      <c r="R135" s="21">
        <f>IF(Deals[[#This Row],[Status]]="Approved",1,0)</f>
        <v>1</v>
      </c>
      <c r="S135" s="21">
        <f>IF(Deals[[#This Row],[IsApproved]]=1,Deals[[#This Row],[Amount]],0)</f>
        <v>25000</v>
      </c>
      <c r="T135" s="21">
        <f>Deals[[#This Row],[ApprovedAmount]]*Deals[[#This Row],[ProfitRate]]</f>
        <v>1725.0000000000002</v>
      </c>
    </row>
    <row r="136" spans="1:20">
      <c r="A136" s="2" t="s">
        <v>317</v>
      </c>
      <c r="B136" s="3">
        <v>46058</v>
      </c>
      <c r="C136" s="2" t="s">
        <v>318</v>
      </c>
      <c r="D136" s="2" t="s">
        <v>20</v>
      </c>
      <c r="E136" s="2" t="s">
        <v>15</v>
      </c>
      <c r="F136" s="2" t="s">
        <v>3</v>
      </c>
      <c r="G136" s="4">
        <v>13600</v>
      </c>
      <c r="H136" s="5">
        <v>5.62E-2</v>
      </c>
      <c r="I136" s="2">
        <v>12</v>
      </c>
      <c r="J136" s="2" t="s">
        <v>22</v>
      </c>
      <c r="K136" s="2" t="s">
        <v>17</v>
      </c>
      <c r="L136" s="3">
        <v>46064</v>
      </c>
      <c r="M136" s="2" t="str">
        <f>_xlfn.XLOOKUP(Deals[[#This Row],[CustomerID]],Customers!A:A,Customers!F:F)</f>
        <v>Mass</v>
      </c>
      <c r="N136" s="2" t="str">
        <f>_xlfn.XLOOKUP(Deals[[#This Row],[CustomerID]],Customers!A:A,Customers!E:E)</f>
        <v>Non-Kuwaiti</v>
      </c>
      <c r="O136" s="2">
        <f>2026-_xlfn.XLOOKUP(Deals[[#This Row],[CustomerID]],Customers!A:A,Customers!D:D)</f>
        <v>42</v>
      </c>
      <c r="P136" s="2" t="str" cm="1">
        <f t="array" ref="P136">_xlfn.IFS(Deals[[#This Row],[Age]]&lt;30,"Under 30",Deals[[#This Row],[Age]]&lt;45,"30-44",TRUE,"45+")</f>
        <v>30-44</v>
      </c>
      <c r="Q136" s="21">
        <f>IF(Deals[[#This Row],[Status]]="Pending","",Deals[[#This Row],[DecisionDate]]-Deals[[#This Row],[ApplicationDate]])</f>
        <v>6</v>
      </c>
      <c r="R136" s="21">
        <f>IF(Deals[[#This Row],[Status]]="Approved",1,0)</f>
        <v>1</v>
      </c>
      <c r="S136" s="21">
        <f>IF(Deals[[#This Row],[IsApproved]]=1,Deals[[#This Row],[Amount]],0)</f>
        <v>13600</v>
      </c>
      <c r="T136" s="21">
        <f>Deals[[#This Row],[ApprovedAmount]]*Deals[[#This Row],[ProfitRate]]</f>
        <v>764.32</v>
      </c>
    </row>
    <row r="137" spans="1:20">
      <c r="A137" s="2" t="s">
        <v>319</v>
      </c>
      <c r="B137" s="3">
        <v>46058</v>
      </c>
      <c r="C137" s="2" t="s">
        <v>320</v>
      </c>
      <c r="D137" s="2" t="s">
        <v>29</v>
      </c>
      <c r="E137" s="2" t="s">
        <v>30</v>
      </c>
      <c r="F137" s="2" t="s">
        <v>3</v>
      </c>
      <c r="G137" s="4">
        <v>10900</v>
      </c>
      <c r="H137" s="5">
        <v>4.3999999999999997E-2</v>
      </c>
      <c r="I137" s="2">
        <v>48</v>
      </c>
      <c r="J137" s="2" t="s">
        <v>61</v>
      </c>
      <c r="K137" s="2" t="s">
        <v>17</v>
      </c>
      <c r="L137" s="3">
        <v>46061</v>
      </c>
      <c r="M137" s="2" t="str">
        <f>_xlfn.XLOOKUP(Deals[[#This Row],[CustomerID]],Customers!A:A,Customers!F:F)</f>
        <v>Affluent</v>
      </c>
      <c r="N137" s="2" t="str">
        <f>_xlfn.XLOOKUP(Deals[[#This Row],[CustomerID]],Customers!A:A,Customers!E:E)</f>
        <v>Kuwaiti</v>
      </c>
      <c r="O137" s="2">
        <f>2026-_xlfn.XLOOKUP(Deals[[#This Row],[CustomerID]],Customers!A:A,Customers!D:D)</f>
        <v>36</v>
      </c>
      <c r="P137" s="2" t="str" cm="1">
        <f t="array" ref="P137">_xlfn.IFS(Deals[[#This Row],[Age]]&lt;30,"Under 30",Deals[[#This Row],[Age]]&lt;45,"30-44",TRUE,"45+")</f>
        <v>30-44</v>
      </c>
      <c r="Q137" s="21">
        <f>IF(Deals[[#This Row],[Status]]="Pending","",Deals[[#This Row],[DecisionDate]]-Deals[[#This Row],[ApplicationDate]])</f>
        <v>3</v>
      </c>
      <c r="R137" s="21">
        <f>IF(Deals[[#This Row],[Status]]="Approved",1,0)</f>
        <v>1</v>
      </c>
      <c r="S137" s="21">
        <f>IF(Deals[[#This Row],[IsApproved]]=1,Deals[[#This Row],[Amount]],0)</f>
        <v>10900</v>
      </c>
      <c r="T137" s="21">
        <f>Deals[[#This Row],[ApprovedAmount]]*Deals[[#This Row],[ProfitRate]]</f>
        <v>479.59999999999997</v>
      </c>
    </row>
    <row r="138" spans="1:20">
      <c r="A138" s="2" t="s">
        <v>321</v>
      </c>
      <c r="B138" s="3">
        <v>46058</v>
      </c>
      <c r="C138" s="2" t="s">
        <v>322</v>
      </c>
      <c r="D138" s="2" t="s">
        <v>25</v>
      </c>
      <c r="E138" s="2" t="s">
        <v>30</v>
      </c>
      <c r="F138" s="2" t="s">
        <v>3</v>
      </c>
      <c r="G138" s="4">
        <v>15100</v>
      </c>
      <c r="H138" s="5">
        <v>4.9099999999999998E-2</v>
      </c>
      <c r="I138" s="2">
        <v>36</v>
      </c>
      <c r="J138" s="2" t="s">
        <v>26</v>
      </c>
      <c r="K138" s="2" t="s">
        <v>45</v>
      </c>
      <c r="L138" s="3">
        <v>46062</v>
      </c>
      <c r="M138" s="2" t="str">
        <f>_xlfn.XLOOKUP(Deals[[#This Row],[CustomerID]],Customers!A:A,Customers!F:F)</f>
        <v>Affluent</v>
      </c>
      <c r="N138" s="2" t="str">
        <f>_xlfn.XLOOKUP(Deals[[#This Row],[CustomerID]],Customers!A:A,Customers!E:E)</f>
        <v>Kuwaiti</v>
      </c>
      <c r="O138" s="2">
        <f>2026-_xlfn.XLOOKUP(Deals[[#This Row],[CustomerID]],Customers!A:A,Customers!D:D)</f>
        <v>35</v>
      </c>
      <c r="P138" s="2" t="str" cm="1">
        <f t="array" ref="P138">_xlfn.IFS(Deals[[#This Row],[Age]]&lt;30,"Under 30",Deals[[#This Row],[Age]]&lt;45,"30-44",TRUE,"45+")</f>
        <v>30-44</v>
      </c>
      <c r="Q138" s="21">
        <f>IF(Deals[[#This Row],[Status]]="Pending","",Deals[[#This Row],[DecisionDate]]-Deals[[#This Row],[ApplicationDate]])</f>
        <v>4</v>
      </c>
      <c r="R138" s="21">
        <f>IF(Deals[[#This Row],[Status]]="Approved",1,0)</f>
        <v>0</v>
      </c>
      <c r="S138" s="21">
        <f>IF(Deals[[#This Row],[IsApproved]]=1,Deals[[#This Row],[Amount]],0)</f>
        <v>0</v>
      </c>
      <c r="T138" s="21">
        <f>Deals[[#This Row],[ApprovedAmount]]*Deals[[#This Row],[ProfitRate]]</f>
        <v>0</v>
      </c>
    </row>
    <row r="139" spans="1:20">
      <c r="A139" s="2" t="s">
        <v>323</v>
      </c>
      <c r="B139" s="3">
        <v>46058</v>
      </c>
      <c r="C139" s="2" t="s">
        <v>324</v>
      </c>
      <c r="D139" s="2" t="s">
        <v>29</v>
      </c>
      <c r="E139" s="2" t="s">
        <v>43</v>
      </c>
      <c r="F139" s="2" t="s">
        <v>3</v>
      </c>
      <c r="G139" s="4">
        <v>69200</v>
      </c>
      <c r="H139" s="5">
        <v>6.9699999999999998E-2</v>
      </c>
      <c r="I139" s="2">
        <v>60</v>
      </c>
      <c r="J139" s="2" t="s">
        <v>32</v>
      </c>
      <c r="K139" s="2" t="s">
        <v>45</v>
      </c>
      <c r="L139" s="3">
        <v>46065</v>
      </c>
      <c r="M139" s="2" t="str">
        <f>_xlfn.XLOOKUP(Deals[[#This Row],[CustomerID]],Customers!A:A,Customers!F:F)</f>
        <v>Affluent</v>
      </c>
      <c r="N139" s="2" t="str">
        <f>_xlfn.XLOOKUP(Deals[[#This Row],[CustomerID]],Customers!A:A,Customers!E:E)</f>
        <v>Kuwaiti</v>
      </c>
      <c r="O139" s="2">
        <f>2026-_xlfn.XLOOKUP(Deals[[#This Row],[CustomerID]],Customers!A:A,Customers!D:D)</f>
        <v>66</v>
      </c>
      <c r="P139" s="2" t="str" cm="1">
        <f t="array" ref="P139">_xlfn.IFS(Deals[[#This Row],[Age]]&lt;30,"Under 30",Deals[[#This Row],[Age]]&lt;45,"30-44",TRUE,"45+")</f>
        <v>45+</v>
      </c>
      <c r="Q139" s="21">
        <f>IF(Deals[[#This Row],[Status]]="Pending","",Deals[[#This Row],[DecisionDate]]-Deals[[#This Row],[ApplicationDate]])</f>
        <v>7</v>
      </c>
      <c r="R139" s="21">
        <f>IF(Deals[[#This Row],[Status]]="Approved",1,0)</f>
        <v>0</v>
      </c>
      <c r="S139" s="21">
        <f>IF(Deals[[#This Row],[IsApproved]]=1,Deals[[#This Row],[Amount]],0)</f>
        <v>0</v>
      </c>
      <c r="T139" s="21">
        <f>Deals[[#This Row],[ApprovedAmount]]*Deals[[#This Row],[ProfitRate]]</f>
        <v>0</v>
      </c>
    </row>
    <row r="140" spans="1:20">
      <c r="A140" s="2" t="s">
        <v>325</v>
      </c>
      <c r="B140" s="3">
        <v>46058</v>
      </c>
      <c r="C140" s="2" t="s">
        <v>326</v>
      </c>
      <c r="D140" s="2" t="s">
        <v>20</v>
      </c>
      <c r="E140" s="2" t="s">
        <v>15</v>
      </c>
      <c r="F140" s="2" t="s">
        <v>3</v>
      </c>
      <c r="G140" s="4">
        <v>7100</v>
      </c>
      <c r="H140" s="5">
        <v>6.13E-2</v>
      </c>
      <c r="I140" s="2">
        <v>60</v>
      </c>
      <c r="J140" s="2" t="s">
        <v>37</v>
      </c>
      <c r="K140" s="2" t="s">
        <v>45</v>
      </c>
      <c r="L140" s="3">
        <v>46061</v>
      </c>
      <c r="M140" s="2" t="str">
        <f>_xlfn.XLOOKUP(Deals[[#This Row],[CustomerID]],Customers!A:A,Customers!F:F)</f>
        <v>Mass</v>
      </c>
      <c r="N140" s="2" t="str">
        <f>_xlfn.XLOOKUP(Deals[[#This Row],[CustomerID]],Customers!A:A,Customers!E:E)</f>
        <v>Kuwaiti</v>
      </c>
      <c r="O140" s="2">
        <f>2026-_xlfn.XLOOKUP(Deals[[#This Row],[CustomerID]],Customers!A:A,Customers!D:D)</f>
        <v>27</v>
      </c>
      <c r="P140" s="2" t="str" cm="1">
        <f t="array" ref="P140">_xlfn.IFS(Deals[[#This Row],[Age]]&lt;30,"Under 30",Deals[[#This Row],[Age]]&lt;45,"30-44",TRUE,"45+")</f>
        <v>Under 30</v>
      </c>
      <c r="Q140" s="21">
        <f>IF(Deals[[#This Row],[Status]]="Pending","",Deals[[#This Row],[DecisionDate]]-Deals[[#This Row],[ApplicationDate]])</f>
        <v>3</v>
      </c>
      <c r="R140" s="21">
        <f>IF(Deals[[#This Row],[Status]]="Approved",1,0)</f>
        <v>0</v>
      </c>
      <c r="S140" s="21">
        <f>IF(Deals[[#This Row],[IsApproved]]=1,Deals[[#This Row],[Amount]],0)</f>
        <v>0</v>
      </c>
      <c r="T140" s="21">
        <f>Deals[[#This Row],[ApprovedAmount]]*Deals[[#This Row],[ProfitRate]]</f>
        <v>0</v>
      </c>
    </row>
    <row r="141" spans="1:20">
      <c r="A141" s="2" t="s">
        <v>327</v>
      </c>
      <c r="B141" s="3">
        <v>46058</v>
      </c>
      <c r="C141" s="2" t="s">
        <v>328</v>
      </c>
      <c r="D141" s="2" t="s">
        <v>71</v>
      </c>
      <c r="E141" s="2" t="s">
        <v>15</v>
      </c>
      <c r="F141" s="2" t="s">
        <v>3</v>
      </c>
      <c r="G141" s="4">
        <v>3900</v>
      </c>
      <c r="H141" s="5">
        <v>6.8699999999999997E-2</v>
      </c>
      <c r="I141" s="2">
        <v>12</v>
      </c>
      <c r="J141" s="2" t="s">
        <v>94</v>
      </c>
      <c r="K141" s="2" t="s">
        <v>17</v>
      </c>
      <c r="L141" s="3">
        <v>46064</v>
      </c>
      <c r="M141" s="2" t="str">
        <f>_xlfn.XLOOKUP(Deals[[#This Row],[CustomerID]],Customers!A:A,Customers!F:F)</f>
        <v>Affluent</v>
      </c>
      <c r="N141" s="2" t="str">
        <f>_xlfn.XLOOKUP(Deals[[#This Row],[CustomerID]],Customers!A:A,Customers!E:E)</f>
        <v>Kuwaiti</v>
      </c>
      <c r="O141" s="2">
        <f>2026-_xlfn.XLOOKUP(Deals[[#This Row],[CustomerID]],Customers!A:A,Customers!D:D)</f>
        <v>63</v>
      </c>
      <c r="P141" s="2" t="str" cm="1">
        <f t="array" ref="P141">_xlfn.IFS(Deals[[#This Row],[Age]]&lt;30,"Under 30",Deals[[#This Row],[Age]]&lt;45,"30-44",TRUE,"45+")</f>
        <v>45+</v>
      </c>
      <c r="Q141" s="21">
        <f>IF(Deals[[#This Row],[Status]]="Pending","",Deals[[#This Row],[DecisionDate]]-Deals[[#This Row],[ApplicationDate]])</f>
        <v>6</v>
      </c>
      <c r="R141" s="21">
        <f>IF(Deals[[#This Row],[Status]]="Approved",1,0)</f>
        <v>1</v>
      </c>
      <c r="S141" s="21">
        <f>IF(Deals[[#This Row],[IsApproved]]=1,Deals[[#This Row],[Amount]],0)</f>
        <v>3900</v>
      </c>
      <c r="T141" s="21">
        <f>Deals[[#This Row],[ApprovedAmount]]*Deals[[#This Row],[ProfitRate]]</f>
        <v>267.93</v>
      </c>
    </row>
    <row r="142" spans="1:20">
      <c r="A142" s="2" t="s">
        <v>330</v>
      </c>
      <c r="B142" s="3">
        <v>46059</v>
      </c>
      <c r="C142" s="2" t="s">
        <v>331</v>
      </c>
      <c r="D142" s="2" t="s">
        <v>14</v>
      </c>
      <c r="E142" s="2" t="s">
        <v>21</v>
      </c>
      <c r="F142" s="2" t="s">
        <v>55</v>
      </c>
      <c r="G142" s="4">
        <v>122200</v>
      </c>
      <c r="H142" s="5">
        <v>4.2900000000000001E-2</v>
      </c>
      <c r="I142" s="2">
        <v>300</v>
      </c>
      <c r="J142" s="2" t="s">
        <v>16</v>
      </c>
      <c r="K142" s="2" t="s">
        <v>17</v>
      </c>
      <c r="L142" s="3">
        <v>46073</v>
      </c>
      <c r="M142" s="2" t="str">
        <f>_xlfn.XLOOKUP(Deals[[#This Row],[CustomerID]],Customers!A:A,Customers!F:F)</f>
        <v>Mass</v>
      </c>
      <c r="N142" s="2" t="str">
        <f>_xlfn.XLOOKUP(Deals[[#This Row],[CustomerID]],Customers!A:A,Customers!E:E)</f>
        <v>Kuwaiti</v>
      </c>
      <c r="O142" s="2">
        <f>2026-_xlfn.XLOOKUP(Deals[[#This Row],[CustomerID]],Customers!A:A,Customers!D:D)</f>
        <v>41</v>
      </c>
      <c r="P142" s="2" t="str" cm="1">
        <f t="array" ref="P142">_xlfn.IFS(Deals[[#This Row],[Age]]&lt;30,"Under 30",Deals[[#This Row],[Age]]&lt;45,"30-44",TRUE,"45+")</f>
        <v>30-44</v>
      </c>
      <c r="Q142" s="21">
        <f>IF(Deals[[#This Row],[Status]]="Pending","",Deals[[#This Row],[DecisionDate]]-Deals[[#This Row],[ApplicationDate]])</f>
        <v>14</v>
      </c>
      <c r="R142" s="21">
        <f>IF(Deals[[#This Row],[Status]]="Approved",1,0)</f>
        <v>1</v>
      </c>
      <c r="S142" s="21">
        <f>IF(Deals[[#This Row],[IsApproved]]=1,Deals[[#This Row],[Amount]],0)</f>
        <v>122200</v>
      </c>
      <c r="T142" s="21">
        <f>Deals[[#This Row],[ApprovedAmount]]*Deals[[#This Row],[ProfitRate]]</f>
        <v>5242.38</v>
      </c>
    </row>
    <row r="143" spans="1:20">
      <c r="A143" s="2" t="s">
        <v>333</v>
      </c>
      <c r="B143" s="3">
        <v>46059</v>
      </c>
      <c r="C143" s="2" t="s">
        <v>159</v>
      </c>
      <c r="D143" s="2" t="s">
        <v>25</v>
      </c>
      <c r="E143" s="2" t="s">
        <v>15</v>
      </c>
      <c r="F143" s="2" t="s">
        <v>3</v>
      </c>
      <c r="G143" s="4">
        <v>24000</v>
      </c>
      <c r="H143" s="5">
        <v>5.9700000000000003E-2</v>
      </c>
      <c r="I143" s="2">
        <v>24</v>
      </c>
      <c r="J143" s="2" t="s">
        <v>181</v>
      </c>
      <c r="K143" s="2" t="s">
        <v>45</v>
      </c>
      <c r="L143" s="3">
        <v>46065</v>
      </c>
      <c r="M143" s="2" t="str">
        <f>_xlfn.XLOOKUP(Deals[[#This Row],[CustomerID]],Customers!A:A,Customers!F:F)</f>
        <v>Affluent</v>
      </c>
      <c r="N143" s="2" t="str">
        <f>_xlfn.XLOOKUP(Deals[[#This Row],[CustomerID]],Customers!A:A,Customers!E:E)</f>
        <v>Kuwaiti</v>
      </c>
      <c r="O143" s="2">
        <f>2026-_xlfn.XLOOKUP(Deals[[#This Row],[CustomerID]],Customers!A:A,Customers!D:D)</f>
        <v>63</v>
      </c>
      <c r="P143" s="2" t="str" cm="1">
        <f t="array" ref="P143">_xlfn.IFS(Deals[[#This Row],[Age]]&lt;30,"Under 30",Deals[[#This Row],[Age]]&lt;45,"30-44",TRUE,"45+")</f>
        <v>45+</v>
      </c>
      <c r="Q143" s="21">
        <f>IF(Deals[[#This Row],[Status]]="Pending","",Deals[[#This Row],[DecisionDate]]-Deals[[#This Row],[ApplicationDate]])</f>
        <v>6</v>
      </c>
      <c r="R143" s="21">
        <f>IF(Deals[[#This Row],[Status]]="Approved",1,0)</f>
        <v>0</v>
      </c>
      <c r="S143" s="21">
        <f>IF(Deals[[#This Row],[IsApproved]]=1,Deals[[#This Row],[Amount]],0)</f>
        <v>0</v>
      </c>
      <c r="T143" s="21">
        <f>Deals[[#This Row],[ApprovedAmount]]*Deals[[#This Row],[ProfitRate]]</f>
        <v>0</v>
      </c>
    </row>
    <row r="144" spans="1:20">
      <c r="A144" s="2" t="s">
        <v>334</v>
      </c>
      <c r="B144" s="3">
        <v>46059</v>
      </c>
      <c r="C144" s="2" t="s">
        <v>335</v>
      </c>
      <c r="D144" s="2" t="s">
        <v>20</v>
      </c>
      <c r="E144" s="2" t="s">
        <v>30</v>
      </c>
      <c r="F144" s="2" t="s">
        <v>3</v>
      </c>
      <c r="G144" s="4">
        <v>12400</v>
      </c>
      <c r="H144" s="5">
        <v>4.2200000000000001E-2</v>
      </c>
      <c r="I144" s="2">
        <v>36</v>
      </c>
      <c r="J144" s="2" t="s">
        <v>37</v>
      </c>
      <c r="K144" s="2" t="s">
        <v>17</v>
      </c>
      <c r="L144" s="3">
        <v>46062</v>
      </c>
      <c r="M144" s="2" t="str">
        <f>_xlfn.XLOOKUP(Deals[[#This Row],[CustomerID]],Customers!A:A,Customers!F:F)</f>
        <v>Mass</v>
      </c>
      <c r="N144" s="2" t="str">
        <f>_xlfn.XLOOKUP(Deals[[#This Row],[CustomerID]],Customers!A:A,Customers!E:E)</f>
        <v>Kuwaiti</v>
      </c>
      <c r="O144" s="2">
        <f>2026-_xlfn.XLOOKUP(Deals[[#This Row],[CustomerID]],Customers!A:A,Customers!D:D)</f>
        <v>22</v>
      </c>
      <c r="P144" s="2" t="str" cm="1">
        <f t="array" ref="P144">_xlfn.IFS(Deals[[#This Row],[Age]]&lt;30,"Under 30",Deals[[#This Row],[Age]]&lt;45,"30-44",TRUE,"45+")</f>
        <v>Under 30</v>
      </c>
      <c r="Q144" s="21">
        <f>IF(Deals[[#This Row],[Status]]="Pending","",Deals[[#This Row],[DecisionDate]]-Deals[[#This Row],[ApplicationDate]])</f>
        <v>3</v>
      </c>
      <c r="R144" s="21">
        <f>IF(Deals[[#This Row],[Status]]="Approved",1,0)</f>
        <v>1</v>
      </c>
      <c r="S144" s="21">
        <f>IF(Deals[[#This Row],[IsApproved]]=1,Deals[[#This Row],[Amount]],0)</f>
        <v>12400</v>
      </c>
      <c r="T144" s="21">
        <f>Deals[[#This Row],[ApprovedAmount]]*Deals[[#This Row],[ProfitRate]]</f>
        <v>523.28</v>
      </c>
    </row>
    <row r="145" spans="1:20">
      <c r="A145" s="2" t="s">
        <v>336</v>
      </c>
      <c r="B145" s="3">
        <v>46060</v>
      </c>
      <c r="C145" s="2" t="s">
        <v>337</v>
      </c>
      <c r="D145" s="2" t="s">
        <v>14</v>
      </c>
      <c r="E145" s="2" t="s">
        <v>15</v>
      </c>
      <c r="F145" s="2" t="s">
        <v>31</v>
      </c>
      <c r="G145" s="4">
        <v>14200</v>
      </c>
      <c r="H145" s="5">
        <v>6.1100000000000002E-2</v>
      </c>
      <c r="I145" s="2">
        <v>60</v>
      </c>
      <c r="J145" s="2" t="s">
        <v>48</v>
      </c>
      <c r="K145" s="2" t="s">
        <v>17</v>
      </c>
      <c r="L145" s="3">
        <v>46063</v>
      </c>
      <c r="M145" s="2" t="str">
        <f>_xlfn.XLOOKUP(Deals[[#This Row],[CustomerID]],Customers!A:A,Customers!F:F)</f>
        <v>Mass</v>
      </c>
      <c r="N145" s="2" t="str">
        <f>_xlfn.XLOOKUP(Deals[[#This Row],[CustomerID]],Customers!A:A,Customers!E:E)</f>
        <v>Kuwaiti</v>
      </c>
      <c r="O145" s="2">
        <f>2026-_xlfn.XLOOKUP(Deals[[#This Row],[CustomerID]],Customers!A:A,Customers!D:D)</f>
        <v>27</v>
      </c>
      <c r="P145" s="2" t="str" cm="1">
        <f t="array" ref="P145">_xlfn.IFS(Deals[[#This Row],[Age]]&lt;30,"Under 30",Deals[[#This Row],[Age]]&lt;45,"30-44",TRUE,"45+")</f>
        <v>Under 30</v>
      </c>
      <c r="Q145" s="21">
        <f>IF(Deals[[#This Row],[Status]]="Pending","",Deals[[#This Row],[DecisionDate]]-Deals[[#This Row],[ApplicationDate]])</f>
        <v>3</v>
      </c>
      <c r="R145" s="21">
        <f>IF(Deals[[#This Row],[Status]]="Approved",1,0)</f>
        <v>1</v>
      </c>
      <c r="S145" s="21">
        <f>IF(Deals[[#This Row],[IsApproved]]=1,Deals[[#This Row],[Amount]],0)</f>
        <v>14200</v>
      </c>
      <c r="T145" s="21">
        <f>Deals[[#This Row],[ApprovedAmount]]*Deals[[#This Row],[ProfitRate]]</f>
        <v>867.62</v>
      </c>
    </row>
    <row r="146" spans="1:20">
      <c r="A146" s="2" t="s">
        <v>338</v>
      </c>
      <c r="B146" s="3">
        <v>46060</v>
      </c>
      <c r="C146" s="2" t="s">
        <v>339</v>
      </c>
      <c r="D146" s="2" t="s">
        <v>14</v>
      </c>
      <c r="E146" s="2" t="s">
        <v>15</v>
      </c>
      <c r="F146" s="2" t="s">
        <v>55</v>
      </c>
      <c r="G146" s="4">
        <v>6600</v>
      </c>
      <c r="H146" s="5">
        <v>6.8099999999999994E-2</v>
      </c>
      <c r="I146" s="2">
        <v>60</v>
      </c>
      <c r="J146" s="2" t="s">
        <v>16</v>
      </c>
      <c r="K146" s="2" t="s">
        <v>45</v>
      </c>
      <c r="L146" s="3">
        <v>46063</v>
      </c>
      <c r="M146" s="2" t="str">
        <f>_xlfn.XLOOKUP(Deals[[#This Row],[CustomerID]],Customers!A:A,Customers!F:F)</f>
        <v>Mass</v>
      </c>
      <c r="N146" s="2" t="str">
        <f>_xlfn.XLOOKUP(Deals[[#This Row],[CustomerID]],Customers!A:A,Customers!E:E)</f>
        <v>Kuwaiti</v>
      </c>
      <c r="O146" s="2">
        <f>2026-_xlfn.XLOOKUP(Deals[[#This Row],[CustomerID]],Customers!A:A,Customers!D:D)</f>
        <v>22</v>
      </c>
      <c r="P146" s="2" t="str" cm="1">
        <f t="array" ref="P146">_xlfn.IFS(Deals[[#This Row],[Age]]&lt;30,"Under 30",Deals[[#This Row],[Age]]&lt;45,"30-44",TRUE,"45+")</f>
        <v>Under 30</v>
      </c>
      <c r="Q146" s="21">
        <f>IF(Deals[[#This Row],[Status]]="Pending","",Deals[[#This Row],[DecisionDate]]-Deals[[#This Row],[ApplicationDate]])</f>
        <v>3</v>
      </c>
      <c r="R146" s="21">
        <f>IF(Deals[[#This Row],[Status]]="Approved",1,0)</f>
        <v>0</v>
      </c>
      <c r="S146" s="21">
        <f>IF(Deals[[#This Row],[IsApproved]]=1,Deals[[#This Row],[Amount]],0)</f>
        <v>0</v>
      </c>
      <c r="T146" s="21">
        <f>Deals[[#This Row],[ApprovedAmount]]*Deals[[#This Row],[ProfitRate]]</f>
        <v>0</v>
      </c>
    </row>
    <row r="147" spans="1:20">
      <c r="A147" s="2" t="s">
        <v>341</v>
      </c>
      <c r="B147" s="3">
        <v>46060</v>
      </c>
      <c r="C147" s="2" t="s">
        <v>342</v>
      </c>
      <c r="D147" s="2" t="s">
        <v>71</v>
      </c>
      <c r="E147" s="2" t="s">
        <v>43</v>
      </c>
      <c r="F147" s="2" t="s">
        <v>3</v>
      </c>
      <c r="G147" s="4">
        <v>155500</v>
      </c>
      <c r="H147" s="5">
        <v>5.79E-2</v>
      </c>
      <c r="I147" s="2">
        <v>36</v>
      </c>
      <c r="J147" s="2" t="s">
        <v>94</v>
      </c>
      <c r="K147" s="2" t="s">
        <v>17</v>
      </c>
      <c r="L147" s="3">
        <v>46068</v>
      </c>
      <c r="M147" s="2" t="str">
        <f>_xlfn.XLOOKUP(Deals[[#This Row],[CustomerID]],Customers!A:A,Customers!F:F)</f>
        <v>Affluent</v>
      </c>
      <c r="N147" s="2" t="str">
        <f>_xlfn.XLOOKUP(Deals[[#This Row],[CustomerID]],Customers!A:A,Customers!E:E)</f>
        <v>Non-Kuwaiti</v>
      </c>
      <c r="O147" s="2">
        <f>2026-_xlfn.XLOOKUP(Deals[[#This Row],[CustomerID]],Customers!A:A,Customers!D:D)</f>
        <v>59</v>
      </c>
      <c r="P147" s="2" t="str" cm="1">
        <f t="array" ref="P147">_xlfn.IFS(Deals[[#This Row],[Age]]&lt;30,"Under 30",Deals[[#This Row],[Age]]&lt;45,"30-44",TRUE,"45+")</f>
        <v>45+</v>
      </c>
      <c r="Q147" s="21">
        <f>IF(Deals[[#This Row],[Status]]="Pending","",Deals[[#This Row],[DecisionDate]]-Deals[[#This Row],[ApplicationDate]])</f>
        <v>8</v>
      </c>
      <c r="R147" s="21">
        <f>IF(Deals[[#This Row],[Status]]="Approved",1,0)</f>
        <v>1</v>
      </c>
      <c r="S147" s="21">
        <f>IF(Deals[[#This Row],[IsApproved]]=1,Deals[[#This Row],[Amount]],0)</f>
        <v>155500</v>
      </c>
      <c r="T147" s="21">
        <f>Deals[[#This Row],[ApprovedAmount]]*Deals[[#This Row],[ProfitRate]]</f>
        <v>9003.4500000000007</v>
      </c>
    </row>
    <row r="148" spans="1:20">
      <c r="A148" s="2" t="s">
        <v>343</v>
      </c>
      <c r="B148" s="3">
        <v>46060</v>
      </c>
      <c r="C148" s="2" t="s">
        <v>344</v>
      </c>
      <c r="D148" s="2" t="s">
        <v>14</v>
      </c>
      <c r="E148" s="2" t="s">
        <v>15</v>
      </c>
      <c r="F148" s="2" t="s">
        <v>3</v>
      </c>
      <c r="G148" s="4">
        <v>15200</v>
      </c>
      <c r="H148" s="5">
        <v>6.8500000000000005E-2</v>
      </c>
      <c r="I148" s="2">
        <v>48</v>
      </c>
      <c r="J148" s="2" t="s">
        <v>16</v>
      </c>
      <c r="K148" s="2" t="s">
        <v>17</v>
      </c>
      <c r="L148" s="3">
        <v>46064</v>
      </c>
      <c r="M148" s="2" t="str">
        <f>_xlfn.XLOOKUP(Deals[[#This Row],[CustomerID]],Customers!A:A,Customers!F:F)</f>
        <v>Mass</v>
      </c>
      <c r="N148" s="2" t="str">
        <f>_xlfn.XLOOKUP(Deals[[#This Row],[CustomerID]],Customers!A:A,Customers!E:E)</f>
        <v>Kuwaiti</v>
      </c>
      <c r="O148" s="2">
        <f>2026-_xlfn.XLOOKUP(Deals[[#This Row],[CustomerID]],Customers!A:A,Customers!D:D)</f>
        <v>27</v>
      </c>
      <c r="P148" s="2" t="str" cm="1">
        <f t="array" ref="P148">_xlfn.IFS(Deals[[#This Row],[Age]]&lt;30,"Under 30",Deals[[#This Row],[Age]]&lt;45,"30-44",TRUE,"45+")</f>
        <v>Under 30</v>
      </c>
      <c r="Q148" s="21">
        <f>IF(Deals[[#This Row],[Status]]="Pending","",Deals[[#This Row],[DecisionDate]]-Deals[[#This Row],[ApplicationDate]])</f>
        <v>4</v>
      </c>
      <c r="R148" s="21">
        <f>IF(Deals[[#This Row],[Status]]="Approved",1,0)</f>
        <v>1</v>
      </c>
      <c r="S148" s="21">
        <f>IF(Deals[[#This Row],[IsApproved]]=1,Deals[[#This Row],[Amount]],0)</f>
        <v>15200</v>
      </c>
      <c r="T148" s="21">
        <f>Deals[[#This Row],[ApprovedAmount]]*Deals[[#This Row],[ProfitRate]]</f>
        <v>1041.2</v>
      </c>
    </row>
    <row r="149" spans="1:20">
      <c r="A149" s="2" t="s">
        <v>345</v>
      </c>
      <c r="B149" s="3">
        <v>46061</v>
      </c>
      <c r="C149" s="2" t="s">
        <v>346</v>
      </c>
      <c r="D149" s="2" t="s">
        <v>29</v>
      </c>
      <c r="E149" s="2" t="s">
        <v>15</v>
      </c>
      <c r="F149" s="2" t="s">
        <v>3</v>
      </c>
      <c r="G149" s="4">
        <v>3500</v>
      </c>
      <c r="H149" s="5">
        <v>6.9599999999999995E-2</v>
      </c>
      <c r="I149" s="2">
        <v>12</v>
      </c>
      <c r="J149" s="2" t="s">
        <v>32</v>
      </c>
      <c r="K149" s="2" t="s">
        <v>17</v>
      </c>
      <c r="L149" s="3">
        <v>46068</v>
      </c>
      <c r="M149" s="2" t="str">
        <f>_xlfn.XLOOKUP(Deals[[#This Row],[CustomerID]],Customers!A:A,Customers!F:F)</f>
        <v>Affluent</v>
      </c>
      <c r="N149" s="2" t="str">
        <f>_xlfn.XLOOKUP(Deals[[#This Row],[CustomerID]],Customers!A:A,Customers!E:E)</f>
        <v>Kuwaiti</v>
      </c>
      <c r="O149" s="2">
        <f>2026-_xlfn.XLOOKUP(Deals[[#This Row],[CustomerID]],Customers!A:A,Customers!D:D)</f>
        <v>39</v>
      </c>
      <c r="P149" s="2" t="str" cm="1">
        <f t="array" ref="P149">_xlfn.IFS(Deals[[#This Row],[Age]]&lt;30,"Under 30",Deals[[#This Row],[Age]]&lt;45,"30-44",TRUE,"45+")</f>
        <v>30-44</v>
      </c>
      <c r="Q149" s="21">
        <f>IF(Deals[[#This Row],[Status]]="Pending","",Deals[[#This Row],[DecisionDate]]-Deals[[#This Row],[ApplicationDate]])</f>
        <v>7</v>
      </c>
      <c r="R149" s="21">
        <f>IF(Deals[[#This Row],[Status]]="Approved",1,0)</f>
        <v>1</v>
      </c>
      <c r="S149" s="21">
        <f>IF(Deals[[#This Row],[IsApproved]]=1,Deals[[#This Row],[Amount]],0)</f>
        <v>3500</v>
      </c>
      <c r="T149" s="21">
        <f>Deals[[#This Row],[ApprovedAmount]]*Deals[[#This Row],[ProfitRate]]</f>
        <v>243.6</v>
      </c>
    </row>
    <row r="150" spans="1:20">
      <c r="A150" s="2" t="s">
        <v>347</v>
      </c>
      <c r="B150" s="3">
        <v>46061</v>
      </c>
      <c r="C150" s="2" t="s">
        <v>348</v>
      </c>
      <c r="D150" s="2" t="s">
        <v>29</v>
      </c>
      <c r="E150" s="2" t="s">
        <v>15</v>
      </c>
      <c r="F150" s="2" t="s">
        <v>3</v>
      </c>
      <c r="G150" s="4">
        <v>13700</v>
      </c>
      <c r="H150" s="5">
        <v>5.3600000000000002E-2</v>
      </c>
      <c r="I150" s="2">
        <v>60</v>
      </c>
      <c r="J150" s="2" t="s">
        <v>61</v>
      </c>
      <c r="K150" s="2" t="s">
        <v>45</v>
      </c>
      <c r="L150" s="3">
        <v>46062</v>
      </c>
      <c r="M150" s="2" t="str">
        <f>_xlfn.XLOOKUP(Deals[[#This Row],[CustomerID]],Customers!A:A,Customers!F:F)</f>
        <v>Mass</v>
      </c>
      <c r="N150" s="2" t="str">
        <f>_xlfn.XLOOKUP(Deals[[#This Row],[CustomerID]],Customers!A:A,Customers!E:E)</f>
        <v>Non-Kuwaiti</v>
      </c>
      <c r="O150" s="2">
        <f>2026-_xlfn.XLOOKUP(Deals[[#This Row],[CustomerID]],Customers!A:A,Customers!D:D)</f>
        <v>56</v>
      </c>
      <c r="P150" s="2" t="str" cm="1">
        <f t="array" ref="P150">_xlfn.IFS(Deals[[#This Row],[Age]]&lt;30,"Under 30",Deals[[#This Row],[Age]]&lt;45,"30-44",TRUE,"45+")</f>
        <v>45+</v>
      </c>
      <c r="Q150" s="21">
        <f>IF(Deals[[#This Row],[Status]]="Pending","",Deals[[#This Row],[DecisionDate]]-Deals[[#This Row],[ApplicationDate]])</f>
        <v>1</v>
      </c>
      <c r="R150" s="21">
        <f>IF(Deals[[#This Row],[Status]]="Approved",1,0)</f>
        <v>0</v>
      </c>
      <c r="S150" s="21">
        <f>IF(Deals[[#This Row],[IsApproved]]=1,Deals[[#This Row],[Amount]],0)</f>
        <v>0</v>
      </c>
      <c r="T150" s="21">
        <f>Deals[[#This Row],[ApprovedAmount]]*Deals[[#This Row],[ProfitRate]]</f>
        <v>0</v>
      </c>
    </row>
    <row r="151" spans="1:20">
      <c r="A151" s="2" t="s">
        <v>349</v>
      </c>
      <c r="B151" s="3">
        <v>46061</v>
      </c>
      <c r="C151" s="2" t="s">
        <v>350</v>
      </c>
      <c r="D151" s="2" t="s">
        <v>29</v>
      </c>
      <c r="E151" s="2" t="s">
        <v>30</v>
      </c>
      <c r="F151" s="2" t="s">
        <v>55</v>
      </c>
      <c r="G151" s="4">
        <v>12200</v>
      </c>
      <c r="H151" s="5">
        <v>4.82E-2</v>
      </c>
      <c r="I151" s="2">
        <v>60</v>
      </c>
      <c r="J151" s="2" t="s">
        <v>123</v>
      </c>
      <c r="K151" s="2" t="s">
        <v>17</v>
      </c>
      <c r="L151" s="3">
        <v>46066</v>
      </c>
      <c r="M151" s="2" t="str">
        <f>_xlfn.XLOOKUP(Deals[[#This Row],[CustomerID]],Customers!A:A,Customers!F:F)</f>
        <v>Premium</v>
      </c>
      <c r="N151" s="2" t="str">
        <f>_xlfn.XLOOKUP(Deals[[#This Row],[CustomerID]],Customers!A:A,Customers!E:E)</f>
        <v>Non-Kuwaiti</v>
      </c>
      <c r="O151" s="2">
        <f>2026-_xlfn.XLOOKUP(Deals[[#This Row],[CustomerID]],Customers!A:A,Customers!D:D)</f>
        <v>32</v>
      </c>
      <c r="P151" s="2" t="str" cm="1">
        <f t="array" ref="P151">_xlfn.IFS(Deals[[#This Row],[Age]]&lt;30,"Under 30",Deals[[#This Row],[Age]]&lt;45,"30-44",TRUE,"45+")</f>
        <v>30-44</v>
      </c>
      <c r="Q151" s="21">
        <f>IF(Deals[[#This Row],[Status]]="Pending","",Deals[[#This Row],[DecisionDate]]-Deals[[#This Row],[ApplicationDate]])</f>
        <v>5</v>
      </c>
      <c r="R151" s="21">
        <f>IF(Deals[[#This Row],[Status]]="Approved",1,0)</f>
        <v>1</v>
      </c>
      <c r="S151" s="21">
        <f>IF(Deals[[#This Row],[IsApproved]]=1,Deals[[#This Row],[Amount]],0)</f>
        <v>12200</v>
      </c>
      <c r="T151" s="21">
        <f>Deals[[#This Row],[ApprovedAmount]]*Deals[[#This Row],[ProfitRate]]</f>
        <v>588.04</v>
      </c>
    </row>
    <row r="152" spans="1:20">
      <c r="A152" s="2" t="s">
        <v>351</v>
      </c>
      <c r="B152" s="3">
        <v>46061</v>
      </c>
      <c r="C152" s="2" t="s">
        <v>352</v>
      </c>
      <c r="D152" s="2" t="s">
        <v>20</v>
      </c>
      <c r="E152" s="2" t="s">
        <v>15</v>
      </c>
      <c r="F152" s="2" t="s">
        <v>3</v>
      </c>
      <c r="G152" s="4">
        <v>14100</v>
      </c>
      <c r="H152" s="5">
        <v>5.6000000000000001E-2</v>
      </c>
      <c r="I152" s="2">
        <v>48</v>
      </c>
      <c r="J152" s="2" t="s">
        <v>22</v>
      </c>
      <c r="K152" s="2" t="s">
        <v>17</v>
      </c>
      <c r="L152" s="3">
        <v>46066</v>
      </c>
      <c r="M152" s="2" t="str">
        <f>_xlfn.XLOOKUP(Deals[[#This Row],[CustomerID]],Customers!A:A,Customers!F:F)</f>
        <v>Mass</v>
      </c>
      <c r="N152" s="2" t="str">
        <f>_xlfn.XLOOKUP(Deals[[#This Row],[CustomerID]],Customers!A:A,Customers!E:E)</f>
        <v>Kuwaiti</v>
      </c>
      <c r="O152" s="2">
        <f>2026-_xlfn.XLOOKUP(Deals[[#This Row],[CustomerID]],Customers!A:A,Customers!D:D)</f>
        <v>24</v>
      </c>
      <c r="P152" s="2" t="str" cm="1">
        <f t="array" ref="P152">_xlfn.IFS(Deals[[#This Row],[Age]]&lt;30,"Under 30",Deals[[#This Row],[Age]]&lt;45,"30-44",TRUE,"45+")</f>
        <v>Under 30</v>
      </c>
      <c r="Q152" s="21">
        <f>IF(Deals[[#This Row],[Status]]="Pending","",Deals[[#This Row],[DecisionDate]]-Deals[[#This Row],[ApplicationDate]])</f>
        <v>5</v>
      </c>
      <c r="R152" s="21">
        <f>IF(Deals[[#This Row],[Status]]="Approved",1,0)</f>
        <v>1</v>
      </c>
      <c r="S152" s="21">
        <f>IF(Deals[[#This Row],[IsApproved]]=1,Deals[[#This Row],[Amount]],0)</f>
        <v>14100</v>
      </c>
      <c r="T152" s="21">
        <f>Deals[[#This Row],[ApprovedAmount]]*Deals[[#This Row],[ProfitRate]]</f>
        <v>789.6</v>
      </c>
    </row>
    <row r="153" spans="1:20">
      <c r="A153" s="2" t="s">
        <v>353</v>
      </c>
      <c r="B153" s="3">
        <v>46061</v>
      </c>
      <c r="C153" s="2" t="s">
        <v>354</v>
      </c>
      <c r="D153" s="2" t="s">
        <v>25</v>
      </c>
      <c r="E153" s="2" t="s">
        <v>30</v>
      </c>
      <c r="F153" s="2" t="s">
        <v>3</v>
      </c>
      <c r="G153" s="4">
        <v>13000</v>
      </c>
      <c r="H153" s="5">
        <v>4.8399999999999999E-2</v>
      </c>
      <c r="I153" s="2">
        <v>48</v>
      </c>
      <c r="J153" s="2" t="s">
        <v>66</v>
      </c>
      <c r="K153" s="2" t="s">
        <v>17</v>
      </c>
      <c r="L153" s="3">
        <v>46066</v>
      </c>
      <c r="M153" s="2" t="str">
        <f>_xlfn.XLOOKUP(Deals[[#This Row],[CustomerID]],Customers!A:A,Customers!F:F)</f>
        <v>Mass</v>
      </c>
      <c r="N153" s="2" t="str">
        <f>_xlfn.XLOOKUP(Deals[[#This Row],[CustomerID]],Customers!A:A,Customers!E:E)</f>
        <v>Kuwaiti</v>
      </c>
      <c r="O153" s="2">
        <f>2026-_xlfn.XLOOKUP(Deals[[#This Row],[CustomerID]],Customers!A:A,Customers!D:D)</f>
        <v>39</v>
      </c>
      <c r="P153" s="2" t="str" cm="1">
        <f t="array" ref="P153">_xlfn.IFS(Deals[[#This Row],[Age]]&lt;30,"Under 30",Deals[[#This Row],[Age]]&lt;45,"30-44",TRUE,"45+")</f>
        <v>30-44</v>
      </c>
      <c r="Q153" s="21">
        <f>IF(Deals[[#This Row],[Status]]="Pending","",Deals[[#This Row],[DecisionDate]]-Deals[[#This Row],[ApplicationDate]])</f>
        <v>5</v>
      </c>
      <c r="R153" s="21">
        <f>IF(Deals[[#This Row],[Status]]="Approved",1,0)</f>
        <v>1</v>
      </c>
      <c r="S153" s="21">
        <f>IF(Deals[[#This Row],[IsApproved]]=1,Deals[[#This Row],[Amount]],0)</f>
        <v>13000</v>
      </c>
      <c r="T153" s="21">
        <f>Deals[[#This Row],[ApprovedAmount]]*Deals[[#This Row],[ProfitRate]]</f>
        <v>629.19999999999993</v>
      </c>
    </row>
    <row r="154" spans="1:20">
      <c r="A154" s="2" t="s">
        <v>355</v>
      </c>
      <c r="B154" s="3">
        <v>46061</v>
      </c>
      <c r="C154" s="2" t="s">
        <v>356</v>
      </c>
      <c r="D154" s="2" t="s">
        <v>25</v>
      </c>
      <c r="E154" s="2" t="s">
        <v>30</v>
      </c>
      <c r="F154" s="2" t="s">
        <v>3</v>
      </c>
      <c r="G154" s="4">
        <v>8800</v>
      </c>
      <c r="H154" s="5">
        <v>4.0300000000000002E-2</v>
      </c>
      <c r="I154" s="2">
        <v>36</v>
      </c>
      <c r="J154" s="2" t="s">
        <v>66</v>
      </c>
      <c r="K154" s="2" t="s">
        <v>17</v>
      </c>
      <c r="L154" s="3">
        <v>46065</v>
      </c>
      <c r="M154" s="2" t="str">
        <f>_xlfn.XLOOKUP(Deals[[#This Row],[CustomerID]],Customers!A:A,Customers!F:F)</f>
        <v>Affluent</v>
      </c>
      <c r="N154" s="2" t="str">
        <f>_xlfn.XLOOKUP(Deals[[#This Row],[CustomerID]],Customers!A:A,Customers!E:E)</f>
        <v>Non-Kuwaiti</v>
      </c>
      <c r="O154" s="2">
        <f>2026-_xlfn.XLOOKUP(Deals[[#This Row],[CustomerID]],Customers!A:A,Customers!D:D)</f>
        <v>37</v>
      </c>
      <c r="P154" s="2" t="str" cm="1">
        <f t="array" ref="P154">_xlfn.IFS(Deals[[#This Row],[Age]]&lt;30,"Under 30",Deals[[#This Row],[Age]]&lt;45,"30-44",TRUE,"45+")</f>
        <v>30-44</v>
      </c>
      <c r="Q154" s="21">
        <f>IF(Deals[[#This Row],[Status]]="Pending","",Deals[[#This Row],[DecisionDate]]-Deals[[#This Row],[ApplicationDate]])</f>
        <v>4</v>
      </c>
      <c r="R154" s="21">
        <f>IF(Deals[[#This Row],[Status]]="Approved",1,0)</f>
        <v>1</v>
      </c>
      <c r="S154" s="21">
        <f>IF(Deals[[#This Row],[IsApproved]]=1,Deals[[#This Row],[Amount]],0)</f>
        <v>8800</v>
      </c>
      <c r="T154" s="21">
        <f>Deals[[#This Row],[ApprovedAmount]]*Deals[[#This Row],[ProfitRate]]</f>
        <v>354.64000000000004</v>
      </c>
    </row>
    <row r="155" spans="1:20">
      <c r="A155" s="2" t="s">
        <v>357</v>
      </c>
      <c r="B155" s="3">
        <v>46062</v>
      </c>
      <c r="C155" s="2" t="s">
        <v>153</v>
      </c>
      <c r="D155" s="2" t="s">
        <v>14</v>
      </c>
      <c r="E155" s="2" t="s">
        <v>30</v>
      </c>
      <c r="F155" s="2" t="s">
        <v>31</v>
      </c>
      <c r="G155" s="4">
        <v>4900</v>
      </c>
      <c r="H155" s="5">
        <v>4.07E-2</v>
      </c>
      <c r="I155" s="2">
        <v>48</v>
      </c>
      <c r="J155" s="2" t="s">
        <v>40</v>
      </c>
      <c r="K155" s="2" t="s">
        <v>17</v>
      </c>
      <c r="L155" s="3">
        <v>46065</v>
      </c>
      <c r="M155" s="2" t="str">
        <f>_xlfn.XLOOKUP(Deals[[#This Row],[CustomerID]],Customers!A:A,Customers!F:F)</f>
        <v>Mass</v>
      </c>
      <c r="N155" s="2" t="str">
        <f>_xlfn.XLOOKUP(Deals[[#This Row],[CustomerID]],Customers!A:A,Customers!E:E)</f>
        <v>Kuwaiti</v>
      </c>
      <c r="O155" s="2">
        <f>2026-_xlfn.XLOOKUP(Deals[[#This Row],[CustomerID]],Customers!A:A,Customers!D:D)</f>
        <v>32</v>
      </c>
      <c r="P155" s="2" t="str" cm="1">
        <f t="array" ref="P155">_xlfn.IFS(Deals[[#This Row],[Age]]&lt;30,"Under 30",Deals[[#This Row],[Age]]&lt;45,"30-44",TRUE,"45+")</f>
        <v>30-44</v>
      </c>
      <c r="Q155" s="21">
        <f>IF(Deals[[#This Row],[Status]]="Pending","",Deals[[#This Row],[DecisionDate]]-Deals[[#This Row],[ApplicationDate]])</f>
        <v>3</v>
      </c>
      <c r="R155" s="21">
        <f>IF(Deals[[#This Row],[Status]]="Approved",1,0)</f>
        <v>1</v>
      </c>
      <c r="S155" s="21">
        <f>IF(Deals[[#This Row],[IsApproved]]=1,Deals[[#This Row],[Amount]],0)</f>
        <v>4900</v>
      </c>
      <c r="T155" s="21">
        <f>Deals[[#This Row],[ApprovedAmount]]*Deals[[#This Row],[ProfitRate]]</f>
        <v>199.43</v>
      </c>
    </row>
    <row r="156" spans="1:20">
      <c r="A156" s="2" t="s">
        <v>358</v>
      </c>
      <c r="B156" s="3">
        <v>46062</v>
      </c>
      <c r="C156" s="2" t="s">
        <v>359</v>
      </c>
      <c r="D156" s="2" t="s">
        <v>71</v>
      </c>
      <c r="E156" s="2" t="s">
        <v>15</v>
      </c>
      <c r="F156" s="2" t="s">
        <v>3</v>
      </c>
      <c r="G156" s="4">
        <v>17100</v>
      </c>
      <c r="H156" s="5">
        <v>6.08E-2</v>
      </c>
      <c r="I156" s="2">
        <v>48</v>
      </c>
      <c r="J156" s="2" t="s">
        <v>101</v>
      </c>
      <c r="K156" s="2" t="s">
        <v>17</v>
      </c>
      <c r="L156" s="3">
        <v>46068</v>
      </c>
      <c r="M156" s="2" t="str">
        <f>_xlfn.XLOOKUP(Deals[[#This Row],[CustomerID]],Customers!A:A,Customers!F:F)</f>
        <v>Premium</v>
      </c>
      <c r="N156" s="2" t="str">
        <f>_xlfn.XLOOKUP(Deals[[#This Row],[CustomerID]],Customers!A:A,Customers!E:E)</f>
        <v>Non-Kuwaiti</v>
      </c>
      <c r="O156" s="2">
        <f>2026-_xlfn.XLOOKUP(Deals[[#This Row],[CustomerID]],Customers!A:A,Customers!D:D)</f>
        <v>42</v>
      </c>
      <c r="P156" s="2" t="str" cm="1">
        <f t="array" ref="P156">_xlfn.IFS(Deals[[#This Row],[Age]]&lt;30,"Under 30",Deals[[#This Row],[Age]]&lt;45,"30-44",TRUE,"45+")</f>
        <v>30-44</v>
      </c>
      <c r="Q156" s="21">
        <f>IF(Deals[[#This Row],[Status]]="Pending","",Deals[[#This Row],[DecisionDate]]-Deals[[#This Row],[ApplicationDate]])</f>
        <v>6</v>
      </c>
      <c r="R156" s="21">
        <f>IF(Deals[[#This Row],[Status]]="Approved",1,0)</f>
        <v>1</v>
      </c>
      <c r="S156" s="21">
        <f>IF(Deals[[#This Row],[IsApproved]]=1,Deals[[#This Row],[Amount]],0)</f>
        <v>17100</v>
      </c>
      <c r="T156" s="21">
        <f>Deals[[#This Row],[ApprovedAmount]]*Deals[[#This Row],[ProfitRate]]</f>
        <v>1039.68</v>
      </c>
    </row>
    <row r="157" spans="1:20">
      <c r="A157" s="2" t="s">
        <v>361</v>
      </c>
      <c r="B157" s="3">
        <v>46062</v>
      </c>
      <c r="C157" s="2" t="s">
        <v>362</v>
      </c>
      <c r="D157" s="2" t="s">
        <v>54</v>
      </c>
      <c r="E157" s="2" t="s">
        <v>15</v>
      </c>
      <c r="F157" s="2" t="s">
        <v>3</v>
      </c>
      <c r="G157" s="4">
        <v>2100</v>
      </c>
      <c r="H157" s="5">
        <v>5.7099999999999998E-2</v>
      </c>
      <c r="I157" s="2">
        <v>12</v>
      </c>
      <c r="J157" s="2" t="s">
        <v>186</v>
      </c>
      <c r="K157" s="2" t="s">
        <v>17</v>
      </c>
      <c r="L157" s="3">
        <v>46067</v>
      </c>
      <c r="M157" s="2" t="str">
        <f>_xlfn.XLOOKUP(Deals[[#This Row],[CustomerID]],Customers!A:A,Customers!F:F)</f>
        <v>Mass</v>
      </c>
      <c r="N157" s="2" t="str">
        <f>_xlfn.XLOOKUP(Deals[[#This Row],[CustomerID]],Customers!A:A,Customers!E:E)</f>
        <v>Non-Kuwaiti</v>
      </c>
      <c r="O157" s="2">
        <f>2026-_xlfn.XLOOKUP(Deals[[#This Row],[CustomerID]],Customers!A:A,Customers!D:D)</f>
        <v>35</v>
      </c>
      <c r="P157" s="2" t="str" cm="1">
        <f t="array" ref="P157">_xlfn.IFS(Deals[[#This Row],[Age]]&lt;30,"Under 30",Deals[[#This Row],[Age]]&lt;45,"30-44",TRUE,"45+")</f>
        <v>30-44</v>
      </c>
      <c r="Q157" s="21">
        <f>IF(Deals[[#This Row],[Status]]="Pending","",Deals[[#This Row],[DecisionDate]]-Deals[[#This Row],[ApplicationDate]])</f>
        <v>5</v>
      </c>
      <c r="R157" s="21">
        <f>IF(Deals[[#This Row],[Status]]="Approved",1,0)</f>
        <v>1</v>
      </c>
      <c r="S157" s="21">
        <f>IF(Deals[[#This Row],[IsApproved]]=1,Deals[[#This Row],[Amount]],0)</f>
        <v>2100</v>
      </c>
      <c r="T157" s="21">
        <f>Deals[[#This Row],[ApprovedAmount]]*Deals[[#This Row],[ProfitRate]]</f>
        <v>119.91</v>
      </c>
    </row>
    <row r="158" spans="1:20">
      <c r="A158" s="2" t="s">
        <v>363</v>
      </c>
      <c r="B158" s="3">
        <v>46062</v>
      </c>
      <c r="C158" s="2" t="s">
        <v>364</v>
      </c>
      <c r="D158" s="2" t="s">
        <v>54</v>
      </c>
      <c r="E158" s="2" t="s">
        <v>15</v>
      </c>
      <c r="F158" s="2" t="s">
        <v>3</v>
      </c>
      <c r="G158" s="4">
        <v>14900</v>
      </c>
      <c r="H158" s="5">
        <v>5.7200000000000001E-2</v>
      </c>
      <c r="I158" s="2">
        <v>48</v>
      </c>
      <c r="J158" s="2" t="s">
        <v>148</v>
      </c>
      <c r="K158" s="2" t="s">
        <v>17</v>
      </c>
      <c r="L158" s="3">
        <v>46068</v>
      </c>
      <c r="M158" s="2" t="str">
        <f>_xlfn.XLOOKUP(Deals[[#This Row],[CustomerID]],Customers!A:A,Customers!F:F)</f>
        <v>Mass</v>
      </c>
      <c r="N158" s="2" t="str">
        <f>_xlfn.XLOOKUP(Deals[[#This Row],[CustomerID]],Customers!A:A,Customers!E:E)</f>
        <v>Non-Kuwaiti</v>
      </c>
      <c r="O158" s="2">
        <f>2026-_xlfn.XLOOKUP(Deals[[#This Row],[CustomerID]],Customers!A:A,Customers!D:D)</f>
        <v>25</v>
      </c>
      <c r="P158" s="2" t="str" cm="1">
        <f t="array" ref="P158">_xlfn.IFS(Deals[[#This Row],[Age]]&lt;30,"Under 30",Deals[[#This Row],[Age]]&lt;45,"30-44",TRUE,"45+")</f>
        <v>Under 30</v>
      </c>
      <c r="Q158" s="21">
        <f>IF(Deals[[#This Row],[Status]]="Pending","",Deals[[#This Row],[DecisionDate]]-Deals[[#This Row],[ApplicationDate]])</f>
        <v>6</v>
      </c>
      <c r="R158" s="21">
        <f>IF(Deals[[#This Row],[Status]]="Approved",1,0)</f>
        <v>1</v>
      </c>
      <c r="S158" s="21">
        <f>IF(Deals[[#This Row],[IsApproved]]=1,Deals[[#This Row],[Amount]],0)</f>
        <v>14900</v>
      </c>
      <c r="T158" s="21">
        <f>Deals[[#This Row],[ApprovedAmount]]*Deals[[#This Row],[ProfitRate]]</f>
        <v>852.28</v>
      </c>
    </row>
    <row r="159" spans="1:20">
      <c r="A159" s="2" t="s">
        <v>365</v>
      </c>
      <c r="B159" s="3">
        <v>46062</v>
      </c>
      <c r="C159" s="2" t="s">
        <v>366</v>
      </c>
      <c r="D159" s="2" t="s">
        <v>14</v>
      </c>
      <c r="E159" s="2" t="s">
        <v>43</v>
      </c>
      <c r="F159" s="2" t="s">
        <v>3</v>
      </c>
      <c r="G159" s="4">
        <v>142700</v>
      </c>
      <c r="H159" s="5">
        <v>6.1400000000000003E-2</v>
      </c>
      <c r="I159" s="2">
        <v>24</v>
      </c>
      <c r="J159" s="2" t="s">
        <v>16</v>
      </c>
      <c r="K159" s="2" t="s">
        <v>17</v>
      </c>
      <c r="L159" s="3">
        <v>46078</v>
      </c>
      <c r="M159" s="2" t="str">
        <f>_xlfn.XLOOKUP(Deals[[#This Row],[CustomerID]],Customers!A:A,Customers!F:F)</f>
        <v>Mass</v>
      </c>
      <c r="N159" s="2" t="str">
        <f>_xlfn.XLOOKUP(Deals[[#This Row],[CustomerID]],Customers!A:A,Customers!E:E)</f>
        <v>Kuwaiti</v>
      </c>
      <c r="O159" s="2">
        <f>2026-_xlfn.XLOOKUP(Deals[[#This Row],[CustomerID]],Customers!A:A,Customers!D:D)</f>
        <v>26</v>
      </c>
      <c r="P159" s="2" t="str" cm="1">
        <f t="array" ref="P159">_xlfn.IFS(Deals[[#This Row],[Age]]&lt;30,"Under 30",Deals[[#This Row],[Age]]&lt;45,"30-44",TRUE,"45+")</f>
        <v>Under 30</v>
      </c>
      <c r="Q159" s="21">
        <f>IF(Deals[[#This Row],[Status]]="Pending","",Deals[[#This Row],[DecisionDate]]-Deals[[#This Row],[ApplicationDate]])</f>
        <v>16</v>
      </c>
      <c r="R159" s="21">
        <f>IF(Deals[[#This Row],[Status]]="Approved",1,0)</f>
        <v>1</v>
      </c>
      <c r="S159" s="21">
        <f>IF(Deals[[#This Row],[IsApproved]]=1,Deals[[#This Row],[Amount]],0)</f>
        <v>142700</v>
      </c>
      <c r="T159" s="21">
        <f>Deals[[#This Row],[ApprovedAmount]]*Deals[[#This Row],[ProfitRate]]</f>
        <v>8761.7800000000007</v>
      </c>
    </row>
    <row r="160" spans="1:20">
      <c r="A160" s="2" t="s">
        <v>367</v>
      </c>
      <c r="B160" s="3">
        <v>46062</v>
      </c>
      <c r="C160" s="2" t="s">
        <v>368</v>
      </c>
      <c r="D160" s="2" t="s">
        <v>71</v>
      </c>
      <c r="E160" s="2" t="s">
        <v>30</v>
      </c>
      <c r="F160" s="2" t="s">
        <v>3</v>
      </c>
      <c r="G160" s="4">
        <v>12600</v>
      </c>
      <c r="H160" s="5">
        <v>4.9299999999999997E-2</v>
      </c>
      <c r="I160" s="2">
        <v>36</v>
      </c>
      <c r="J160" s="2" t="s">
        <v>94</v>
      </c>
      <c r="K160" s="2" t="s">
        <v>17</v>
      </c>
      <c r="L160" s="3">
        <v>46064</v>
      </c>
      <c r="M160" s="2" t="str">
        <f>_xlfn.XLOOKUP(Deals[[#This Row],[CustomerID]],Customers!A:A,Customers!F:F)</f>
        <v>Affluent</v>
      </c>
      <c r="N160" s="2" t="str">
        <f>_xlfn.XLOOKUP(Deals[[#This Row],[CustomerID]],Customers!A:A,Customers!E:E)</f>
        <v>Non-Kuwaiti</v>
      </c>
      <c r="O160" s="2">
        <f>2026-_xlfn.XLOOKUP(Deals[[#This Row],[CustomerID]],Customers!A:A,Customers!D:D)</f>
        <v>56</v>
      </c>
      <c r="P160" s="2" t="str" cm="1">
        <f t="array" ref="P160">_xlfn.IFS(Deals[[#This Row],[Age]]&lt;30,"Under 30",Deals[[#This Row],[Age]]&lt;45,"30-44",TRUE,"45+")</f>
        <v>45+</v>
      </c>
      <c r="Q160" s="21">
        <f>IF(Deals[[#This Row],[Status]]="Pending","",Deals[[#This Row],[DecisionDate]]-Deals[[#This Row],[ApplicationDate]])</f>
        <v>2</v>
      </c>
      <c r="R160" s="21">
        <f>IF(Deals[[#This Row],[Status]]="Approved",1,0)</f>
        <v>1</v>
      </c>
      <c r="S160" s="21">
        <f>IF(Deals[[#This Row],[IsApproved]]=1,Deals[[#This Row],[Amount]],0)</f>
        <v>12600</v>
      </c>
      <c r="T160" s="21">
        <f>Deals[[#This Row],[ApprovedAmount]]*Deals[[#This Row],[ProfitRate]]</f>
        <v>621.17999999999995</v>
      </c>
    </row>
    <row r="161" spans="1:20">
      <c r="A161" s="2" t="s">
        <v>369</v>
      </c>
      <c r="B161" s="3">
        <v>46062</v>
      </c>
      <c r="C161" s="2" t="s">
        <v>370</v>
      </c>
      <c r="D161" s="2" t="s">
        <v>54</v>
      </c>
      <c r="E161" s="2" t="s">
        <v>43</v>
      </c>
      <c r="F161" s="2" t="s">
        <v>3</v>
      </c>
      <c r="G161" s="4">
        <v>100100</v>
      </c>
      <c r="H161" s="5">
        <v>7.7899999999999997E-2</v>
      </c>
      <c r="I161" s="2">
        <v>84</v>
      </c>
      <c r="J161" s="2" t="s">
        <v>56</v>
      </c>
      <c r="K161" s="2" t="s">
        <v>45</v>
      </c>
      <c r="L161" s="3">
        <v>46071</v>
      </c>
      <c r="M161" s="2" t="str">
        <f>_xlfn.XLOOKUP(Deals[[#This Row],[CustomerID]],Customers!A:A,Customers!F:F)</f>
        <v>Mass</v>
      </c>
      <c r="N161" s="2" t="str">
        <f>_xlfn.XLOOKUP(Deals[[#This Row],[CustomerID]],Customers!A:A,Customers!E:E)</f>
        <v>Kuwaiti</v>
      </c>
      <c r="O161" s="2">
        <f>2026-_xlfn.XLOOKUP(Deals[[#This Row],[CustomerID]],Customers!A:A,Customers!D:D)</f>
        <v>68</v>
      </c>
      <c r="P161" s="2" t="str" cm="1">
        <f t="array" ref="P161">_xlfn.IFS(Deals[[#This Row],[Age]]&lt;30,"Under 30",Deals[[#This Row],[Age]]&lt;45,"30-44",TRUE,"45+")</f>
        <v>45+</v>
      </c>
      <c r="Q161" s="21">
        <f>IF(Deals[[#This Row],[Status]]="Pending","",Deals[[#This Row],[DecisionDate]]-Deals[[#This Row],[ApplicationDate]])</f>
        <v>9</v>
      </c>
      <c r="R161" s="21">
        <f>IF(Deals[[#This Row],[Status]]="Approved",1,0)</f>
        <v>0</v>
      </c>
      <c r="S161" s="21">
        <f>IF(Deals[[#This Row],[IsApproved]]=1,Deals[[#This Row],[Amount]],0)</f>
        <v>0</v>
      </c>
      <c r="T161" s="21">
        <f>Deals[[#This Row],[ApprovedAmount]]*Deals[[#This Row],[ProfitRate]]</f>
        <v>0</v>
      </c>
    </row>
    <row r="162" spans="1:20">
      <c r="A162" s="2" t="s">
        <v>371</v>
      </c>
      <c r="B162" s="3">
        <v>46062</v>
      </c>
      <c r="C162" s="2" t="s">
        <v>372</v>
      </c>
      <c r="D162" s="2" t="s">
        <v>71</v>
      </c>
      <c r="E162" s="2" t="s">
        <v>15</v>
      </c>
      <c r="F162" s="2" t="s">
        <v>3</v>
      </c>
      <c r="G162" s="4">
        <v>23300</v>
      </c>
      <c r="H162" s="5">
        <v>6.7900000000000002E-2</v>
      </c>
      <c r="I162" s="2">
        <v>12</v>
      </c>
      <c r="J162" s="2" t="s">
        <v>72</v>
      </c>
      <c r="K162" s="2" t="s">
        <v>17</v>
      </c>
      <c r="L162" s="3">
        <v>46067</v>
      </c>
      <c r="M162" s="2" t="str">
        <f>_xlfn.XLOOKUP(Deals[[#This Row],[CustomerID]],Customers!A:A,Customers!F:F)</f>
        <v>Affluent</v>
      </c>
      <c r="N162" s="2" t="str">
        <f>_xlfn.XLOOKUP(Deals[[#This Row],[CustomerID]],Customers!A:A,Customers!E:E)</f>
        <v>Non-Kuwaiti</v>
      </c>
      <c r="O162" s="2">
        <f>2026-_xlfn.XLOOKUP(Deals[[#This Row],[CustomerID]],Customers!A:A,Customers!D:D)</f>
        <v>54</v>
      </c>
      <c r="P162" s="2" t="str" cm="1">
        <f t="array" ref="P162">_xlfn.IFS(Deals[[#This Row],[Age]]&lt;30,"Under 30",Deals[[#This Row],[Age]]&lt;45,"30-44",TRUE,"45+")</f>
        <v>45+</v>
      </c>
      <c r="Q162" s="21">
        <f>IF(Deals[[#This Row],[Status]]="Pending","",Deals[[#This Row],[DecisionDate]]-Deals[[#This Row],[ApplicationDate]])</f>
        <v>5</v>
      </c>
      <c r="R162" s="21">
        <f>IF(Deals[[#This Row],[Status]]="Approved",1,0)</f>
        <v>1</v>
      </c>
      <c r="S162" s="21">
        <f>IF(Deals[[#This Row],[IsApproved]]=1,Deals[[#This Row],[Amount]],0)</f>
        <v>23300</v>
      </c>
      <c r="T162" s="21">
        <f>Deals[[#This Row],[ApprovedAmount]]*Deals[[#This Row],[ProfitRate]]</f>
        <v>1582.07</v>
      </c>
    </row>
    <row r="163" spans="1:20">
      <c r="A163" s="2" t="s">
        <v>373</v>
      </c>
      <c r="B163" s="3">
        <v>46063</v>
      </c>
      <c r="C163" s="2" t="s">
        <v>374</v>
      </c>
      <c r="D163" s="2" t="s">
        <v>20</v>
      </c>
      <c r="E163" s="2" t="s">
        <v>30</v>
      </c>
      <c r="F163" s="2" t="s">
        <v>3</v>
      </c>
      <c r="G163" s="4">
        <v>9200</v>
      </c>
      <c r="H163" s="5">
        <v>3.5499999999999997E-2</v>
      </c>
      <c r="I163" s="2">
        <v>60</v>
      </c>
      <c r="J163" s="2" t="s">
        <v>44</v>
      </c>
      <c r="K163" s="2" t="s">
        <v>45</v>
      </c>
      <c r="L163" s="3">
        <v>46064</v>
      </c>
      <c r="M163" s="2" t="str">
        <f>_xlfn.XLOOKUP(Deals[[#This Row],[CustomerID]],Customers!A:A,Customers!F:F)</f>
        <v>Mass</v>
      </c>
      <c r="N163" s="2" t="str">
        <f>_xlfn.XLOOKUP(Deals[[#This Row],[CustomerID]],Customers!A:A,Customers!E:E)</f>
        <v>Kuwaiti</v>
      </c>
      <c r="O163" s="2">
        <f>2026-_xlfn.XLOOKUP(Deals[[#This Row],[CustomerID]],Customers!A:A,Customers!D:D)</f>
        <v>24</v>
      </c>
      <c r="P163" s="2" t="str" cm="1">
        <f t="array" ref="P163">_xlfn.IFS(Deals[[#This Row],[Age]]&lt;30,"Under 30",Deals[[#This Row],[Age]]&lt;45,"30-44",TRUE,"45+")</f>
        <v>Under 30</v>
      </c>
      <c r="Q163" s="21">
        <f>IF(Deals[[#This Row],[Status]]="Pending","",Deals[[#This Row],[DecisionDate]]-Deals[[#This Row],[ApplicationDate]])</f>
        <v>1</v>
      </c>
      <c r="R163" s="21">
        <f>IF(Deals[[#This Row],[Status]]="Approved",1,0)</f>
        <v>0</v>
      </c>
      <c r="S163" s="21">
        <f>IF(Deals[[#This Row],[IsApproved]]=1,Deals[[#This Row],[Amount]],0)</f>
        <v>0</v>
      </c>
      <c r="T163" s="21">
        <f>Deals[[#This Row],[ApprovedAmount]]*Deals[[#This Row],[ProfitRate]]</f>
        <v>0</v>
      </c>
    </row>
    <row r="164" spans="1:20">
      <c r="A164" s="2" t="s">
        <v>375</v>
      </c>
      <c r="B164" s="3">
        <v>46063</v>
      </c>
      <c r="C164" s="2" t="s">
        <v>376</v>
      </c>
      <c r="D164" s="2" t="s">
        <v>25</v>
      </c>
      <c r="E164" s="2" t="s">
        <v>30</v>
      </c>
      <c r="F164" s="2" t="s">
        <v>3</v>
      </c>
      <c r="G164" s="4">
        <v>6500</v>
      </c>
      <c r="H164" s="5">
        <v>4.65E-2</v>
      </c>
      <c r="I164" s="2">
        <v>48</v>
      </c>
      <c r="J164" s="2" t="s">
        <v>181</v>
      </c>
      <c r="K164" s="2" t="s">
        <v>17</v>
      </c>
      <c r="L164" s="3">
        <v>46066</v>
      </c>
      <c r="M164" s="2" t="str">
        <f>_xlfn.XLOOKUP(Deals[[#This Row],[CustomerID]],Customers!A:A,Customers!F:F)</f>
        <v>Mass</v>
      </c>
      <c r="N164" s="2" t="str">
        <f>_xlfn.XLOOKUP(Deals[[#This Row],[CustomerID]],Customers!A:A,Customers!E:E)</f>
        <v>Kuwaiti</v>
      </c>
      <c r="O164" s="2">
        <f>2026-_xlfn.XLOOKUP(Deals[[#This Row],[CustomerID]],Customers!A:A,Customers!D:D)</f>
        <v>63</v>
      </c>
      <c r="P164" s="2" t="str" cm="1">
        <f t="array" ref="P164">_xlfn.IFS(Deals[[#This Row],[Age]]&lt;30,"Under 30",Deals[[#This Row],[Age]]&lt;45,"30-44",TRUE,"45+")</f>
        <v>45+</v>
      </c>
      <c r="Q164" s="21">
        <f>IF(Deals[[#This Row],[Status]]="Pending","",Deals[[#This Row],[DecisionDate]]-Deals[[#This Row],[ApplicationDate]])</f>
        <v>3</v>
      </c>
      <c r="R164" s="21">
        <f>IF(Deals[[#This Row],[Status]]="Approved",1,0)</f>
        <v>1</v>
      </c>
      <c r="S164" s="21">
        <f>IF(Deals[[#This Row],[IsApproved]]=1,Deals[[#This Row],[Amount]],0)</f>
        <v>6500</v>
      </c>
      <c r="T164" s="21">
        <f>Deals[[#This Row],[ApprovedAmount]]*Deals[[#This Row],[ProfitRate]]</f>
        <v>302.25</v>
      </c>
    </row>
    <row r="165" spans="1:20">
      <c r="A165" s="2" t="s">
        <v>377</v>
      </c>
      <c r="B165" s="3">
        <v>46063</v>
      </c>
      <c r="C165" s="2" t="s">
        <v>378</v>
      </c>
      <c r="D165" s="2" t="s">
        <v>71</v>
      </c>
      <c r="E165" s="2" t="s">
        <v>15</v>
      </c>
      <c r="F165" s="2" t="s">
        <v>3</v>
      </c>
      <c r="G165" s="4">
        <v>16700</v>
      </c>
      <c r="H165" s="5">
        <v>5.4199999999999998E-2</v>
      </c>
      <c r="I165" s="2">
        <v>60</v>
      </c>
      <c r="J165" s="2" t="s">
        <v>72</v>
      </c>
      <c r="K165" s="2" t="s">
        <v>17</v>
      </c>
      <c r="L165" s="3">
        <v>46068</v>
      </c>
      <c r="M165" s="2" t="str">
        <f>_xlfn.XLOOKUP(Deals[[#This Row],[CustomerID]],Customers!A:A,Customers!F:F)</f>
        <v>Affluent</v>
      </c>
      <c r="N165" s="2" t="str">
        <f>_xlfn.XLOOKUP(Deals[[#This Row],[CustomerID]],Customers!A:A,Customers!E:E)</f>
        <v>Non-Kuwaiti</v>
      </c>
      <c r="O165" s="2">
        <f>2026-_xlfn.XLOOKUP(Deals[[#This Row],[CustomerID]],Customers!A:A,Customers!D:D)</f>
        <v>43</v>
      </c>
      <c r="P165" s="2" t="str" cm="1">
        <f t="array" ref="P165">_xlfn.IFS(Deals[[#This Row],[Age]]&lt;30,"Under 30",Deals[[#This Row],[Age]]&lt;45,"30-44",TRUE,"45+")</f>
        <v>30-44</v>
      </c>
      <c r="Q165" s="21">
        <f>IF(Deals[[#This Row],[Status]]="Pending","",Deals[[#This Row],[DecisionDate]]-Deals[[#This Row],[ApplicationDate]])</f>
        <v>5</v>
      </c>
      <c r="R165" s="21">
        <f>IF(Deals[[#This Row],[Status]]="Approved",1,0)</f>
        <v>1</v>
      </c>
      <c r="S165" s="21">
        <f>IF(Deals[[#This Row],[IsApproved]]=1,Deals[[#This Row],[Amount]],0)</f>
        <v>16700</v>
      </c>
      <c r="T165" s="21">
        <f>Deals[[#This Row],[ApprovedAmount]]*Deals[[#This Row],[ProfitRate]]</f>
        <v>905.14</v>
      </c>
    </row>
    <row r="166" spans="1:20">
      <c r="A166" s="2" t="s">
        <v>379</v>
      </c>
      <c r="B166" s="3">
        <v>46064</v>
      </c>
      <c r="C166" s="2" t="s">
        <v>380</v>
      </c>
      <c r="D166" s="2" t="s">
        <v>29</v>
      </c>
      <c r="E166" s="2" t="s">
        <v>30</v>
      </c>
      <c r="F166" s="2" t="s">
        <v>31</v>
      </c>
      <c r="G166" s="4">
        <v>8100</v>
      </c>
      <c r="H166" s="5">
        <v>4.0099999999999997E-2</v>
      </c>
      <c r="I166" s="2">
        <v>48</v>
      </c>
      <c r="J166" s="2" t="s">
        <v>123</v>
      </c>
      <c r="K166" s="2" t="s">
        <v>17</v>
      </c>
      <c r="L166" s="3">
        <v>46067</v>
      </c>
      <c r="M166" s="2" t="str">
        <f>_xlfn.XLOOKUP(Deals[[#This Row],[CustomerID]],Customers!A:A,Customers!F:F)</f>
        <v>Mass</v>
      </c>
      <c r="N166" s="2" t="str">
        <f>_xlfn.XLOOKUP(Deals[[#This Row],[CustomerID]],Customers!A:A,Customers!E:E)</f>
        <v>Non-Kuwaiti</v>
      </c>
      <c r="O166" s="2">
        <f>2026-_xlfn.XLOOKUP(Deals[[#This Row],[CustomerID]],Customers!A:A,Customers!D:D)</f>
        <v>28</v>
      </c>
      <c r="P166" s="2" t="str" cm="1">
        <f t="array" ref="P166">_xlfn.IFS(Deals[[#This Row],[Age]]&lt;30,"Under 30",Deals[[#This Row],[Age]]&lt;45,"30-44",TRUE,"45+")</f>
        <v>Under 30</v>
      </c>
      <c r="Q166" s="21">
        <f>IF(Deals[[#This Row],[Status]]="Pending","",Deals[[#This Row],[DecisionDate]]-Deals[[#This Row],[ApplicationDate]])</f>
        <v>3</v>
      </c>
      <c r="R166" s="21">
        <f>IF(Deals[[#This Row],[Status]]="Approved",1,0)</f>
        <v>1</v>
      </c>
      <c r="S166" s="21">
        <f>IF(Deals[[#This Row],[IsApproved]]=1,Deals[[#This Row],[Amount]],0)</f>
        <v>8100</v>
      </c>
      <c r="T166" s="21">
        <f>Deals[[#This Row],[ApprovedAmount]]*Deals[[#This Row],[ProfitRate]]</f>
        <v>324.80999999999995</v>
      </c>
    </row>
    <row r="167" spans="1:20">
      <c r="A167" s="2" t="s">
        <v>381</v>
      </c>
      <c r="B167" s="3">
        <v>46064</v>
      </c>
      <c r="C167" s="2" t="s">
        <v>382</v>
      </c>
      <c r="D167" s="2" t="s">
        <v>71</v>
      </c>
      <c r="E167" s="2" t="s">
        <v>43</v>
      </c>
      <c r="F167" s="2" t="s">
        <v>3</v>
      </c>
      <c r="G167" s="4">
        <v>184200</v>
      </c>
      <c r="H167" s="5">
        <v>5.5599999999999997E-2</v>
      </c>
      <c r="I167" s="2">
        <v>24</v>
      </c>
      <c r="J167" s="2" t="s">
        <v>101</v>
      </c>
      <c r="K167" s="2" t="s">
        <v>45</v>
      </c>
      <c r="L167" s="3">
        <v>46084</v>
      </c>
      <c r="M167" s="2" t="str">
        <f>_xlfn.XLOOKUP(Deals[[#This Row],[CustomerID]],Customers!A:A,Customers!F:F)</f>
        <v>Premium</v>
      </c>
      <c r="N167" s="2" t="str">
        <f>_xlfn.XLOOKUP(Deals[[#This Row],[CustomerID]],Customers!A:A,Customers!E:E)</f>
        <v>Non-Kuwaiti</v>
      </c>
      <c r="O167" s="2">
        <f>2026-_xlfn.XLOOKUP(Deals[[#This Row],[CustomerID]],Customers!A:A,Customers!D:D)</f>
        <v>34</v>
      </c>
      <c r="P167" s="2" t="str" cm="1">
        <f t="array" ref="P167">_xlfn.IFS(Deals[[#This Row],[Age]]&lt;30,"Under 30",Deals[[#This Row],[Age]]&lt;45,"30-44",TRUE,"45+")</f>
        <v>30-44</v>
      </c>
      <c r="Q167" s="21">
        <f>IF(Deals[[#This Row],[Status]]="Pending","",Deals[[#This Row],[DecisionDate]]-Deals[[#This Row],[ApplicationDate]])</f>
        <v>20</v>
      </c>
      <c r="R167" s="21">
        <f>IF(Deals[[#This Row],[Status]]="Approved",1,0)</f>
        <v>0</v>
      </c>
      <c r="S167" s="21">
        <f>IF(Deals[[#This Row],[IsApproved]]=1,Deals[[#This Row],[Amount]],0)</f>
        <v>0</v>
      </c>
      <c r="T167" s="21">
        <f>Deals[[#This Row],[ApprovedAmount]]*Deals[[#This Row],[ProfitRate]]</f>
        <v>0</v>
      </c>
    </row>
    <row r="168" spans="1:20">
      <c r="A168" s="2" t="s">
        <v>383</v>
      </c>
      <c r="B168" s="3">
        <v>46064</v>
      </c>
      <c r="C168" s="2" t="s">
        <v>384</v>
      </c>
      <c r="D168" s="2" t="s">
        <v>25</v>
      </c>
      <c r="E168" s="2" t="s">
        <v>43</v>
      </c>
      <c r="F168" s="2" t="s">
        <v>31</v>
      </c>
      <c r="G168" s="4">
        <v>60500</v>
      </c>
      <c r="H168" s="5">
        <v>7.0499999999999993E-2</v>
      </c>
      <c r="I168" s="2">
        <v>36</v>
      </c>
      <c r="J168" s="2" t="s">
        <v>26</v>
      </c>
      <c r="K168" s="2" t="s">
        <v>45</v>
      </c>
      <c r="L168" s="3">
        <v>46083</v>
      </c>
      <c r="M168" s="2" t="str">
        <f>_xlfn.XLOOKUP(Deals[[#This Row],[CustomerID]],Customers!A:A,Customers!F:F)</f>
        <v>Affluent</v>
      </c>
      <c r="N168" s="2" t="str">
        <f>_xlfn.XLOOKUP(Deals[[#This Row],[CustomerID]],Customers!A:A,Customers!E:E)</f>
        <v>Kuwaiti</v>
      </c>
      <c r="O168" s="2">
        <f>2026-_xlfn.XLOOKUP(Deals[[#This Row],[CustomerID]],Customers!A:A,Customers!D:D)</f>
        <v>52</v>
      </c>
      <c r="P168" s="2" t="str" cm="1">
        <f t="array" ref="P168">_xlfn.IFS(Deals[[#This Row],[Age]]&lt;30,"Under 30",Deals[[#This Row],[Age]]&lt;45,"30-44",TRUE,"45+")</f>
        <v>45+</v>
      </c>
      <c r="Q168" s="21">
        <f>IF(Deals[[#This Row],[Status]]="Pending","",Deals[[#This Row],[DecisionDate]]-Deals[[#This Row],[ApplicationDate]])</f>
        <v>19</v>
      </c>
      <c r="R168" s="21">
        <f>IF(Deals[[#This Row],[Status]]="Approved",1,0)</f>
        <v>0</v>
      </c>
      <c r="S168" s="21">
        <f>IF(Deals[[#This Row],[IsApproved]]=1,Deals[[#This Row],[Amount]],0)</f>
        <v>0</v>
      </c>
      <c r="T168" s="21">
        <f>Deals[[#This Row],[ApprovedAmount]]*Deals[[#This Row],[ProfitRate]]</f>
        <v>0</v>
      </c>
    </row>
    <row r="169" spans="1:20">
      <c r="A169" s="2" t="s">
        <v>385</v>
      </c>
      <c r="B169" s="3">
        <v>46064</v>
      </c>
      <c r="C169" s="2" t="s">
        <v>386</v>
      </c>
      <c r="D169" s="2" t="s">
        <v>54</v>
      </c>
      <c r="E169" s="2" t="s">
        <v>15</v>
      </c>
      <c r="F169" s="2" t="s">
        <v>31</v>
      </c>
      <c r="G169" s="4">
        <v>12800</v>
      </c>
      <c r="H169" s="5">
        <v>5.3199999999999997E-2</v>
      </c>
      <c r="I169" s="2">
        <v>24</v>
      </c>
      <c r="J169" s="2" t="s">
        <v>148</v>
      </c>
      <c r="K169" s="2" t="s">
        <v>17</v>
      </c>
      <c r="L169" s="3">
        <v>46067</v>
      </c>
      <c r="M169" s="2" t="str">
        <f>_xlfn.XLOOKUP(Deals[[#This Row],[CustomerID]],Customers!A:A,Customers!F:F)</f>
        <v>Mass</v>
      </c>
      <c r="N169" s="2" t="str">
        <f>_xlfn.XLOOKUP(Deals[[#This Row],[CustomerID]],Customers!A:A,Customers!E:E)</f>
        <v>Non-Kuwaiti</v>
      </c>
      <c r="O169" s="2">
        <f>2026-_xlfn.XLOOKUP(Deals[[#This Row],[CustomerID]],Customers!A:A,Customers!D:D)</f>
        <v>52</v>
      </c>
      <c r="P169" s="2" t="str" cm="1">
        <f t="array" ref="P169">_xlfn.IFS(Deals[[#This Row],[Age]]&lt;30,"Under 30",Deals[[#This Row],[Age]]&lt;45,"30-44",TRUE,"45+")</f>
        <v>45+</v>
      </c>
      <c r="Q169" s="21">
        <f>IF(Deals[[#This Row],[Status]]="Pending","",Deals[[#This Row],[DecisionDate]]-Deals[[#This Row],[ApplicationDate]])</f>
        <v>3</v>
      </c>
      <c r="R169" s="21">
        <f>IF(Deals[[#This Row],[Status]]="Approved",1,0)</f>
        <v>1</v>
      </c>
      <c r="S169" s="21">
        <f>IF(Deals[[#This Row],[IsApproved]]=1,Deals[[#This Row],[Amount]],0)</f>
        <v>12800</v>
      </c>
      <c r="T169" s="21">
        <f>Deals[[#This Row],[ApprovedAmount]]*Deals[[#This Row],[ProfitRate]]</f>
        <v>680.95999999999992</v>
      </c>
    </row>
    <row r="170" spans="1:20">
      <c r="A170" s="2" t="s">
        <v>387</v>
      </c>
      <c r="B170" s="3">
        <v>46064</v>
      </c>
      <c r="C170" s="2" t="s">
        <v>388</v>
      </c>
      <c r="D170" s="2" t="s">
        <v>54</v>
      </c>
      <c r="E170" s="2" t="s">
        <v>15</v>
      </c>
      <c r="F170" s="2" t="s">
        <v>3</v>
      </c>
      <c r="G170" s="4">
        <v>19700</v>
      </c>
      <c r="H170" s="5">
        <v>6.6000000000000003E-2</v>
      </c>
      <c r="I170" s="2">
        <v>12</v>
      </c>
      <c r="J170" s="2" t="s">
        <v>56</v>
      </c>
      <c r="K170" s="2" t="s">
        <v>17</v>
      </c>
      <c r="L170" s="3">
        <v>46069</v>
      </c>
      <c r="M170" s="2" t="str">
        <f>_xlfn.XLOOKUP(Deals[[#This Row],[CustomerID]],Customers!A:A,Customers!F:F)</f>
        <v>Mass</v>
      </c>
      <c r="N170" s="2" t="str">
        <f>_xlfn.XLOOKUP(Deals[[#This Row],[CustomerID]],Customers!A:A,Customers!E:E)</f>
        <v>Kuwaiti</v>
      </c>
      <c r="O170" s="2">
        <f>2026-_xlfn.XLOOKUP(Deals[[#This Row],[CustomerID]],Customers!A:A,Customers!D:D)</f>
        <v>35</v>
      </c>
      <c r="P170" s="2" t="str" cm="1">
        <f t="array" ref="P170">_xlfn.IFS(Deals[[#This Row],[Age]]&lt;30,"Under 30",Deals[[#This Row],[Age]]&lt;45,"30-44",TRUE,"45+")</f>
        <v>30-44</v>
      </c>
      <c r="Q170" s="21">
        <f>IF(Deals[[#This Row],[Status]]="Pending","",Deals[[#This Row],[DecisionDate]]-Deals[[#This Row],[ApplicationDate]])</f>
        <v>5</v>
      </c>
      <c r="R170" s="21">
        <f>IF(Deals[[#This Row],[Status]]="Approved",1,0)</f>
        <v>1</v>
      </c>
      <c r="S170" s="21">
        <f>IF(Deals[[#This Row],[IsApproved]]=1,Deals[[#This Row],[Amount]],0)</f>
        <v>19700</v>
      </c>
      <c r="T170" s="21">
        <f>Deals[[#This Row],[ApprovedAmount]]*Deals[[#This Row],[ProfitRate]]</f>
        <v>1300.2</v>
      </c>
    </row>
    <row r="171" spans="1:20">
      <c r="A171" s="2" t="s">
        <v>389</v>
      </c>
      <c r="B171" s="3">
        <v>46064</v>
      </c>
      <c r="C171" s="2" t="s">
        <v>390</v>
      </c>
      <c r="D171" s="2" t="s">
        <v>54</v>
      </c>
      <c r="E171" s="2" t="s">
        <v>21</v>
      </c>
      <c r="F171" s="2" t="s">
        <v>3</v>
      </c>
      <c r="G171" s="4">
        <v>162200</v>
      </c>
      <c r="H171" s="5">
        <v>3.1E-2</v>
      </c>
      <c r="I171" s="2">
        <v>300</v>
      </c>
      <c r="J171" s="2" t="s">
        <v>148</v>
      </c>
      <c r="K171" s="2" t="s">
        <v>45</v>
      </c>
      <c r="L171" s="3">
        <v>46085</v>
      </c>
      <c r="M171" s="2" t="str">
        <f>_xlfn.XLOOKUP(Deals[[#This Row],[CustomerID]],Customers!A:A,Customers!F:F)</f>
        <v>Mass</v>
      </c>
      <c r="N171" s="2" t="str">
        <f>_xlfn.XLOOKUP(Deals[[#This Row],[CustomerID]],Customers!A:A,Customers!E:E)</f>
        <v>Kuwaiti</v>
      </c>
      <c r="O171" s="2">
        <f>2026-_xlfn.XLOOKUP(Deals[[#This Row],[CustomerID]],Customers!A:A,Customers!D:D)</f>
        <v>40</v>
      </c>
      <c r="P171" s="2" t="str" cm="1">
        <f t="array" ref="P171">_xlfn.IFS(Deals[[#This Row],[Age]]&lt;30,"Under 30",Deals[[#This Row],[Age]]&lt;45,"30-44",TRUE,"45+")</f>
        <v>30-44</v>
      </c>
      <c r="Q171" s="21">
        <f>IF(Deals[[#This Row],[Status]]="Pending","",Deals[[#This Row],[DecisionDate]]-Deals[[#This Row],[ApplicationDate]])</f>
        <v>21</v>
      </c>
      <c r="R171" s="21">
        <f>IF(Deals[[#This Row],[Status]]="Approved",1,0)</f>
        <v>0</v>
      </c>
      <c r="S171" s="21">
        <f>IF(Deals[[#This Row],[IsApproved]]=1,Deals[[#This Row],[Amount]],0)</f>
        <v>0</v>
      </c>
      <c r="T171" s="21">
        <f>Deals[[#This Row],[ApprovedAmount]]*Deals[[#This Row],[ProfitRate]]</f>
        <v>0</v>
      </c>
    </row>
    <row r="172" spans="1:20">
      <c r="A172" s="2" t="s">
        <v>391</v>
      </c>
      <c r="B172" s="3">
        <v>46064</v>
      </c>
      <c r="C172" s="2" t="s">
        <v>392</v>
      </c>
      <c r="D172" s="2" t="s">
        <v>71</v>
      </c>
      <c r="E172" s="2" t="s">
        <v>15</v>
      </c>
      <c r="F172" s="2" t="s">
        <v>31</v>
      </c>
      <c r="G172" s="4">
        <v>2200</v>
      </c>
      <c r="H172" s="5">
        <v>5.1299999999999998E-2</v>
      </c>
      <c r="I172" s="2">
        <v>60</v>
      </c>
      <c r="J172" s="2" t="s">
        <v>101</v>
      </c>
      <c r="K172" s="2" t="s">
        <v>17</v>
      </c>
      <c r="L172" s="3">
        <v>46070</v>
      </c>
      <c r="M172" s="2" t="str">
        <f>_xlfn.XLOOKUP(Deals[[#This Row],[CustomerID]],Customers!A:A,Customers!F:F)</f>
        <v>Mass</v>
      </c>
      <c r="N172" s="2" t="str">
        <f>_xlfn.XLOOKUP(Deals[[#This Row],[CustomerID]],Customers!A:A,Customers!E:E)</f>
        <v>Non-Kuwaiti</v>
      </c>
      <c r="O172" s="2">
        <f>2026-_xlfn.XLOOKUP(Deals[[#This Row],[CustomerID]],Customers!A:A,Customers!D:D)</f>
        <v>55</v>
      </c>
      <c r="P172" s="2" t="str" cm="1">
        <f t="array" ref="P172">_xlfn.IFS(Deals[[#This Row],[Age]]&lt;30,"Under 30",Deals[[#This Row],[Age]]&lt;45,"30-44",TRUE,"45+")</f>
        <v>45+</v>
      </c>
      <c r="Q172" s="21">
        <f>IF(Deals[[#This Row],[Status]]="Pending","",Deals[[#This Row],[DecisionDate]]-Deals[[#This Row],[ApplicationDate]])</f>
        <v>6</v>
      </c>
      <c r="R172" s="21">
        <f>IF(Deals[[#This Row],[Status]]="Approved",1,0)</f>
        <v>1</v>
      </c>
      <c r="S172" s="21">
        <f>IF(Deals[[#This Row],[IsApproved]]=1,Deals[[#This Row],[Amount]],0)</f>
        <v>2200</v>
      </c>
      <c r="T172" s="21">
        <f>Deals[[#This Row],[ApprovedAmount]]*Deals[[#This Row],[ProfitRate]]</f>
        <v>112.86</v>
      </c>
    </row>
    <row r="173" spans="1:20">
      <c r="A173" s="2" t="s">
        <v>393</v>
      </c>
      <c r="B173" s="3">
        <v>46065</v>
      </c>
      <c r="C173" s="2" t="s">
        <v>394</v>
      </c>
      <c r="D173" s="2" t="s">
        <v>29</v>
      </c>
      <c r="E173" s="2" t="s">
        <v>15</v>
      </c>
      <c r="F173" s="2" t="s">
        <v>3</v>
      </c>
      <c r="G173" s="4">
        <v>17200</v>
      </c>
      <c r="H173" s="5">
        <v>6.6100000000000006E-2</v>
      </c>
      <c r="I173" s="2">
        <v>12</v>
      </c>
      <c r="J173" s="2" t="s">
        <v>123</v>
      </c>
      <c r="K173" s="2" t="s">
        <v>17</v>
      </c>
      <c r="L173" s="3">
        <v>46071</v>
      </c>
      <c r="M173" s="2" t="str">
        <f>_xlfn.XLOOKUP(Deals[[#This Row],[CustomerID]],Customers!A:A,Customers!F:F)</f>
        <v>Affluent</v>
      </c>
      <c r="N173" s="2" t="str">
        <f>_xlfn.XLOOKUP(Deals[[#This Row],[CustomerID]],Customers!A:A,Customers!E:E)</f>
        <v>Non-Kuwaiti</v>
      </c>
      <c r="O173" s="2">
        <f>2026-_xlfn.XLOOKUP(Deals[[#This Row],[CustomerID]],Customers!A:A,Customers!D:D)</f>
        <v>45</v>
      </c>
      <c r="P173" s="2" t="str" cm="1">
        <f t="array" ref="P173">_xlfn.IFS(Deals[[#This Row],[Age]]&lt;30,"Under 30",Deals[[#This Row],[Age]]&lt;45,"30-44",TRUE,"45+")</f>
        <v>45+</v>
      </c>
      <c r="Q173" s="21">
        <f>IF(Deals[[#This Row],[Status]]="Pending","",Deals[[#This Row],[DecisionDate]]-Deals[[#This Row],[ApplicationDate]])</f>
        <v>6</v>
      </c>
      <c r="R173" s="21">
        <f>IF(Deals[[#This Row],[Status]]="Approved",1,0)</f>
        <v>1</v>
      </c>
      <c r="S173" s="21">
        <f>IF(Deals[[#This Row],[IsApproved]]=1,Deals[[#This Row],[Amount]],0)</f>
        <v>17200</v>
      </c>
      <c r="T173" s="21">
        <f>Deals[[#This Row],[ApprovedAmount]]*Deals[[#This Row],[ProfitRate]]</f>
        <v>1136.92</v>
      </c>
    </row>
    <row r="174" spans="1:20">
      <c r="A174" s="2" t="s">
        <v>395</v>
      </c>
      <c r="B174" s="3">
        <v>46065</v>
      </c>
      <c r="C174" s="2" t="s">
        <v>396</v>
      </c>
      <c r="D174" s="2" t="s">
        <v>29</v>
      </c>
      <c r="E174" s="2" t="s">
        <v>21</v>
      </c>
      <c r="F174" s="2" t="s">
        <v>3</v>
      </c>
      <c r="G174" s="4">
        <v>98900</v>
      </c>
      <c r="H174" s="5">
        <v>3.8899999999999997E-2</v>
      </c>
      <c r="I174" s="2">
        <v>120</v>
      </c>
      <c r="J174" s="2" t="s">
        <v>123</v>
      </c>
      <c r="K174" s="2" t="s">
        <v>17</v>
      </c>
      <c r="L174" s="3">
        <v>46075</v>
      </c>
      <c r="M174" s="2" t="str">
        <f>_xlfn.XLOOKUP(Deals[[#This Row],[CustomerID]],Customers!A:A,Customers!F:F)</f>
        <v>Affluent</v>
      </c>
      <c r="N174" s="2" t="str">
        <f>_xlfn.XLOOKUP(Deals[[#This Row],[CustomerID]],Customers!A:A,Customers!E:E)</f>
        <v>Kuwaiti</v>
      </c>
      <c r="O174" s="2">
        <f>2026-_xlfn.XLOOKUP(Deals[[#This Row],[CustomerID]],Customers!A:A,Customers!D:D)</f>
        <v>57</v>
      </c>
      <c r="P174" s="2" t="str" cm="1">
        <f t="array" ref="P174">_xlfn.IFS(Deals[[#This Row],[Age]]&lt;30,"Under 30",Deals[[#This Row],[Age]]&lt;45,"30-44",TRUE,"45+")</f>
        <v>45+</v>
      </c>
      <c r="Q174" s="21">
        <f>IF(Deals[[#This Row],[Status]]="Pending","",Deals[[#This Row],[DecisionDate]]-Deals[[#This Row],[ApplicationDate]])</f>
        <v>10</v>
      </c>
      <c r="R174" s="21">
        <f>IF(Deals[[#This Row],[Status]]="Approved",1,0)</f>
        <v>1</v>
      </c>
      <c r="S174" s="21">
        <f>IF(Deals[[#This Row],[IsApproved]]=1,Deals[[#This Row],[Amount]],0)</f>
        <v>98900</v>
      </c>
      <c r="T174" s="21">
        <f>Deals[[#This Row],[ApprovedAmount]]*Deals[[#This Row],[ProfitRate]]</f>
        <v>3847.2099999999996</v>
      </c>
    </row>
    <row r="175" spans="1:20">
      <c r="A175" s="2" t="s">
        <v>398</v>
      </c>
      <c r="B175" s="3">
        <v>46065</v>
      </c>
      <c r="C175" s="2" t="s">
        <v>399</v>
      </c>
      <c r="D175" s="2" t="s">
        <v>29</v>
      </c>
      <c r="E175" s="2" t="s">
        <v>30</v>
      </c>
      <c r="F175" s="2" t="s">
        <v>3</v>
      </c>
      <c r="G175" s="4">
        <v>8500</v>
      </c>
      <c r="H175" s="5">
        <v>4.41E-2</v>
      </c>
      <c r="I175" s="2">
        <v>36</v>
      </c>
      <c r="J175" s="2" t="s">
        <v>61</v>
      </c>
      <c r="K175" s="2" t="s">
        <v>45</v>
      </c>
      <c r="L175" s="3">
        <v>46067</v>
      </c>
      <c r="M175" s="2" t="str">
        <f>_xlfn.XLOOKUP(Deals[[#This Row],[CustomerID]],Customers!A:A,Customers!F:F)</f>
        <v>Mass</v>
      </c>
      <c r="N175" s="2" t="str">
        <f>_xlfn.XLOOKUP(Deals[[#This Row],[CustomerID]],Customers!A:A,Customers!E:E)</f>
        <v>Non-Kuwaiti</v>
      </c>
      <c r="O175" s="2">
        <f>2026-_xlfn.XLOOKUP(Deals[[#This Row],[CustomerID]],Customers!A:A,Customers!D:D)</f>
        <v>28</v>
      </c>
      <c r="P175" s="2" t="str" cm="1">
        <f t="array" ref="P175">_xlfn.IFS(Deals[[#This Row],[Age]]&lt;30,"Under 30",Deals[[#This Row],[Age]]&lt;45,"30-44",TRUE,"45+")</f>
        <v>Under 30</v>
      </c>
      <c r="Q175" s="21">
        <f>IF(Deals[[#This Row],[Status]]="Pending","",Deals[[#This Row],[DecisionDate]]-Deals[[#This Row],[ApplicationDate]])</f>
        <v>2</v>
      </c>
      <c r="R175" s="21">
        <f>IF(Deals[[#This Row],[Status]]="Approved",1,0)</f>
        <v>0</v>
      </c>
      <c r="S175" s="21">
        <f>IF(Deals[[#This Row],[IsApproved]]=1,Deals[[#This Row],[Amount]],0)</f>
        <v>0</v>
      </c>
      <c r="T175" s="21">
        <f>Deals[[#This Row],[ApprovedAmount]]*Deals[[#This Row],[ProfitRate]]</f>
        <v>0</v>
      </c>
    </row>
    <row r="176" spans="1:20">
      <c r="A176" s="2" t="s">
        <v>400</v>
      </c>
      <c r="B176" s="3">
        <v>46065</v>
      </c>
      <c r="C176" s="2" t="s">
        <v>401</v>
      </c>
      <c r="D176" s="2" t="s">
        <v>20</v>
      </c>
      <c r="E176" s="2" t="s">
        <v>30</v>
      </c>
      <c r="F176" s="2" t="s">
        <v>55</v>
      </c>
      <c r="G176" s="4">
        <v>10200</v>
      </c>
      <c r="H176" s="5">
        <v>4.36E-2</v>
      </c>
      <c r="I176" s="2">
        <v>60</v>
      </c>
      <c r="J176" s="2" t="s">
        <v>37</v>
      </c>
      <c r="K176" s="2" t="s">
        <v>45</v>
      </c>
      <c r="L176" s="3">
        <v>46070</v>
      </c>
      <c r="M176" s="2" t="str">
        <f>_xlfn.XLOOKUP(Deals[[#This Row],[CustomerID]],Customers!A:A,Customers!F:F)</f>
        <v>Affluent</v>
      </c>
      <c r="N176" s="2" t="str">
        <f>_xlfn.XLOOKUP(Deals[[#This Row],[CustomerID]],Customers!A:A,Customers!E:E)</f>
        <v>Kuwaiti</v>
      </c>
      <c r="O176" s="2">
        <f>2026-_xlfn.XLOOKUP(Deals[[#This Row],[CustomerID]],Customers!A:A,Customers!D:D)</f>
        <v>35</v>
      </c>
      <c r="P176" s="2" t="str" cm="1">
        <f t="array" ref="P176">_xlfn.IFS(Deals[[#This Row],[Age]]&lt;30,"Under 30",Deals[[#This Row],[Age]]&lt;45,"30-44",TRUE,"45+")</f>
        <v>30-44</v>
      </c>
      <c r="Q176" s="21">
        <f>IF(Deals[[#This Row],[Status]]="Pending","",Deals[[#This Row],[DecisionDate]]-Deals[[#This Row],[ApplicationDate]])</f>
        <v>5</v>
      </c>
      <c r="R176" s="21">
        <f>IF(Deals[[#This Row],[Status]]="Approved",1,0)</f>
        <v>0</v>
      </c>
      <c r="S176" s="21">
        <f>IF(Deals[[#This Row],[IsApproved]]=1,Deals[[#This Row],[Amount]],0)</f>
        <v>0</v>
      </c>
      <c r="T176" s="21">
        <f>Deals[[#This Row],[ApprovedAmount]]*Deals[[#This Row],[ProfitRate]]</f>
        <v>0</v>
      </c>
    </row>
    <row r="177" spans="1:20">
      <c r="A177" s="2" t="s">
        <v>402</v>
      </c>
      <c r="B177" s="3">
        <v>46066</v>
      </c>
      <c r="C177" s="2" t="s">
        <v>80</v>
      </c>
      <c r="D177" s="2" t="s">
        <v>20</v>
      </c>
      <c r="E177" s="2" t="s">
        <v>30</v>
      </c>
      <c r="F177" s="2" t="s">
        <v>3</v>
      </c>
      <c r="G177" s="4">
        <v>10100</v>
      </c>
      <c r="H177" s="5">
        <v>4.1099999999999998E-2</v>
      </c>
      <c r="I177" s="2">
        <v>60</v>
      </c>
      <c r="J177" s="2" t="s">
        <v>44</v>
      </c>
      <c r="K177" s="2" t="s">
        <v>17</v>
      </c>
      <c r="L177" s="3">
        <v>46067</v>
      </c>
      <c r="M177" s="2" t="str">
        <f>_xlfn.XLOOKUP(Deals[[#This Row],[CustomerID]],Customers!A:A,Customers!F:F)</f>
        <v>Mass</v>
      </c>
      <c r="N177" s="2" t="str">
        <f>_xlfn.XLOOKUP(Deals[[#This Row],[CustomerID]],Customers!A:A,Customers!E:E)</f>
        <v>Non-Kuwaiti</v>
      </c>
      <c r="O177" s="2">
        <f>2026-_xlfn.XLOOKUP(Deals[[#This Row],[CustomerID]],Customers!A:A,Customers!D:D)</f>
        <v>47</v>
      </c>
      <c r="P177" s="2" t="str" cm="1">
        <f t="array" ref="P177">_xlfn.IFS(Deals[[#This Row],[Age]]&lt;30,"Under 30",Deals[[#This Row],[Age]]&lt;45,"30-44",TRUE,"45+")</f>
        <v>45+</v>
      </c>
      <c r="Q177" s="21">
        <f>IF(Deals[[#This Row],[Status]]="Pending","",Deals[[#This Row],[DecisionDate]]-Deals[[#This Row],[ApplicationDate]])</f>
        <v>1</v>
      </c>
      <c r="R177" s="21">
        <f>IF(Deals[[#This Row],[Status]]="Approved",1,0)</f>
        <v>1</v>
      </c>
      <c r="S177" s="21">
        <f>IF(Deals[[#This Row],[IsApproved]]=1,Deals[[#This Row],[Amount]],0)</f>
        <v>10100</v>
      </c>
      <c r="T177" s="21">
        <f>Deals[[#This Row],[ApprovedAmount]]*Deals[[#This Row],[ProfitRate]]</f>
        <v>415.10999999999996</v>
      </c>
    </row>
    <row r="178" spans="1:20">
      <c r="A178" s="2" t="s">
        <v>403</v>
      </c>
      <c r="B178" s="3">
        <v>46066</v>
      </c>
      <c r="C178" s="2" t="s">
        <v>404</v>
      </c>
      <c r="D178" s="2" t="s">
        <v>20</v>
      </c>
      <c r="E178" s="2" t="s">
        <v>43</v>
      </c>
      <c r="F178" s="2" t="s">
        <v>55</v>
      </c>
      <c r="G178" s="4">
        <v>140000</v>
      </c>
      <c r="H178" s="5">
        <v>7.1999999999999995E-2</v>
      </c>
      <c r="I178" s="2">
        <v>84</v>
      </c>
      <c r="J178" s="2" t="s">
        <v>37</v>
      </c>
      <c r="K178" s="2" t="s">
        <v>17</v>
      </c>
      <c r="L178" s="3">
        <v>46084</v>
      </c>
      <c r="M178" s="2" t="str">
        <f>_xlfn.XLOOKUP(Deals[[#This Row],[CustomerID]],Customers!A:A,Customers!F:F)</f>
        <v>Affluent</v>
      </c>
      <c r="N178" s="2" t="str">
        <f>_xlfn.XLOOKUP(Deals[[#This Row],[CustomerID]],Customers!A:A,Customers!E:E)</f>
        <v>Kuwaiti</v>
      </c>
      <c r="O178" s="2">
        <f>2026-_xlfn.XLOOKUP(Deals[[#This Row],[CustomerID]],Customers!A:A,Customers!D:D)</f>
        <v>22</v>
      </c>
      <c r="P178" s="2" t="str" cm="1">
        <f t="array" ref="P178">_xlfn.IFS(Deals[[#This Row],[Age]]&lt;30,"Under 30",Deals[[#This Row],[Age]]&lt;45,"30-44",TRUE,"45+")</f>
        <v>Under 30</v>
      </c>
      <c r="Q178" s="21">
        <f>IF(Deals[[#This Row],[Status]]="Pending","",Deals[[#This Row],[DecisionDate]]-Deals[[#This Row],[ApplicationDate]])</f>
        <v>18</v>
      </c>
      <c r="R178" s="21">
        <f>IF(Deals[[#This Row],[Status]]="Approved",1,0)</f>
        <v>1</v>
      </c>
      <c r="S178" s="21">
        <f>IF(Deals[[#This Row],[IsApproved]]=1,Deals[[#This Row],[Amount]],0)</f>
        <v>140000</v>
      </c>
      <c r="T178" s="21">
        <f>Deals[[#This Row],[ApprovedAmount]]*Deals[[#This Row],[ProfitRate]]</f>
        <v>10080</v>
      </c>
    </row>
    <row r="179" spans="1:20">
      <c r="A179" s="2" t="s">
        <v>405</v>
      </c>
      <c r="B179" s="3">
        <v>46066</v>
      </c>
      <c r="C179" s="2" t="s">
        <v>406</v>
      </c>
      <c r="D179" s="2" t="s">
        <v>25</v>
      </c>
      <c r="E179" s="2" t="s">
        <v>30</v>
      </c>
      <c r="F179" s="2" t="s">
        <v>3</v>
      </c>
      <c r="G179" s="4">
        <v>14800</v>
      </c>
      <c r="H179" s="5">
        <v>4.9099999999999998E-2</v>
      </c>
      <c r="I179" s="2">
        <v>48</v>
      </c>
      <c r="J179" s="2" t="s">
        <v>181</v>
      </c>
      <c r="K179" s="2" t="s">
        <v>17</v>
      </c>
      <c r="L179" s="3">
        <v>46069</v>
      </c>
      <c r="M179" s="2" t="str">
        <f>_xlfn.XLOOKUP(Deals[[#This Row],[CustomerID]],Customers!A:A,Customers!F:F)</f>
        <v>Mass</v>
      </c>
      <c r="N179" s="2" t="str">
        <f>_xlfn.XLOOKUP(Deals[[#This Row],[CustomerID]],Customers!A:A,Customers!E:E)</f>
        <v>Kuwaiti</v>
      </c>
      <c r="O179" s="2">
        <f>2026-_xlfn.XLOOKUP(Deals[[#This Row],[CustomerID]],Customers!A:A,Customers!D:D)</f>
        <v>22</v>
      </c>
      <c r="P179" s="2" t="str" cm="1">
        <f t="array" ref="P179">_xlfn.IFS(Deals[[#This Row],[Age]]&lt;30,"Under 30",Deals[[#This Row],[Age]]&lt;45,"30-44",TRUE,"45+")</f>
        <v>Under 30</v>
      </c>
      <c r="Q179" s="21">
        <f>IF(Deals[[#This Row],[Status]]="Pending","",Deals[[#This Row],[DecisionDate]]-Deals[[#This Row],[ApplicationDate]])</f>
        <v>3</v>
      </c>
      <c r="R179" s="21">
        <f>IF(Deals[[#This Row],[Status]]="Approved",1,0)</f>
        <v>1</v>
      </c>
      <c r="S179" s="21">
        <f>IF(Deals[[#This Row],[IsApproved]]=1,Deals[[#This Row],[Amount]],0)</f>
        <v>14800</v>
      </c>
      <c r="T179" s="21">
        <f>Deals[[#This Row],[ApprovedAmount]]*Deals[[#This Row],[ProfitRate]]</f>
        <v>726.68</v>
      </c>
    </row>
    <row r="180" spans="1:20">
      <c r="A180" s="2" t="s">
        <v>408</v>
      </c>
      <c r="B180" s="3">
        <v>46066</v>
      </c>
      <c r="C180" s="2" t="s">
        <v>409</v>
      </c>
      <c r="D180" s="2" t="s">
        <v>71</v>
      </c>
      <c r="E180" s="2" t="s">
        <v>15</v>
      </c>
      <c r="F180" s="2" t="s">
        <v>3</v>
      </c>
      <c r="G180" s="4">
        <v>5100</v>
      </c>
      <c r="H180" s="5">
        <v>5.5599999999999997E-2</v>
      </c>
      <c r="I180" s="2">
        <v>24</v>
      </c>
      <c r="J180" s="2" t="s">
        <v>94</v>
      </c>
      <c r="K180" s="2" t="s">
        <v>17</v>
      </c>
      <c r="L180" s="3">
        <v>46072</v>
      </c>
      <c r="M180" s="2" t="str">
        <f>_xlfn.XLOOKUP(Deals[[#This Row],[CustomerID]],Customers!A:A,Customers!F:F)</f>
        <v>Mass</v>
      </c>
      <c r="N180" s="2" t="str">
        <f>_xlfn.XLOOKUP(Deals[[#This Row],[CustomerID]],Customers!A:A,Customers!E:E)</f>
        <v>Kuwaiti</v>
      </c>
      <c r="O180" s="2">
        <f>2026-_xlfn.XLOOKUP(Deals[[#This Row],[CustomerID]],Customers!A:A,Customers!D:D)</f>
        <v>60</v>
      </c>
      <c r="P180" s="2" t="str" cm="1">
        <f t="array" ref="P180">_xlfn.IFS(Deals[[#This Row],[Age]]&lt;30,"Under 30",Deals[[#This Row],[Age]]&lt;45,"30-44",TRUE,"45+")</f>
        <v>45+</v>
      </c>
      <c r="Q180" s="21">
        <f>IF(Deals[[#This Row],[Status]]="Pending","",Deals[[#This Row],[DecisionDate]]-Deals[[#This Row],[ApplicationDate]])</f>
        <v>6</v>
      </c>
      <c r="R180" s="21">
        <f>IF(Deals[[#This Row],[Status]]="Approved",1,0)</f>
        <v>1</v>
      </c>
      <c r="S180" s="21">
        <f>IF(Deals[[#This Row],[IsApproved]]=1,Deals[[#This Row],[Amount]],0)</f>
        <v>5100</v>
      </c>
      <c r="T180" s="21">
        <f>Deals[[#This Row],[ApprovedAmount]]*Deals[[#This Row],[ProfitRate]]</f>
        <v>283.56</v>
      </c>
    </row>
    <row r="181" spans="1:20">
      <c r="A181" s="2" t="s">
        <v>410</v>
      </c>
      <c r="B181" s="3">
        <v>46066</v>
      </c>
      <c r="C181" s="2" t="s">
        <v>411</v>
      </c>
      <c r="D181" s="2" t="s">
        <v>25</v>
      </c>
      <c r="E181" s="2" t="s">
        <v>15</v>
      </c>
      <c r="F181" s="2" t="s">
        <v>31</v>
      </c>
      <c r="G181" s="4">
        <v>24700</v>
      </c>
      <c r="H181" s="5">
        <v>6.54E-2</v>
      </c>
      <c r="I181" s="2">
        <v>12</v>
      </c>
      <c r="J181" s="2" t="s">
        <v>181</v>
      </c>
      <c r="K181" s="2" t="s">
        <v>17</v>
      </c>
      <c r="L181" s="3">
        <v>46071</v>
      </c>
      <c r="M181" s="2" t="str">
        <f>_xlfn.XLOOKUP(Deals[[#This Row],[CustomerID]],Customers!A:A,Customers!F:F)</f>
        <v>Mass</v>
      </c>
      <c r="N181" s="2" t="str">
        <f>_xlfn.XLOOKUP(Deals[[#This Row],[CustomerID]],Customers!A:A,Customers!E:E)</f>
        <v>Non-Kuwaiti</v>
      </c>
      <c r="O181" s="2">
        <f>2026-_xlfn.XLOOKUP(Deals[[#This Row],[CustomerID]],Customers!A:A,Customers!D:D)</f>
        <v>50</v>
      </c>
      <c r="P181" s="2" t="str" cm="1">
        <f t="array" ref="P181">_xlfn.IFS(Deals[[#This Row],[Age]]&lt;30,"Under 30",Deals[[#This Row],[Age]]&lt;45,"30-44",TRUE,"45+")</f>
        <v>45+</v>
      </c>
      <c r="Q181" s="21">
        <f>IF(Deals[[#This Row],[Status]]="Pending","",Deals[[#This Row],[DecisionDate]]-Deals[[#This Row],[ApplicationDate]])</f>
        <v>5</v>
      </c>
      <c r="R181" s="21">
        <f>IF(Deals[[#This Row],[Status]]="Approved",1,0)</f>
        <v>1</v>
      </c>
      <c r="S181" s="21">
        <f>IF(Deals[[#This Row],[IsApproved]]=1,Deals[[#This Row],[Amount]],0)</f>
        <v>24700</v>
      </c>
      <c r="T181" s="21">
        <f>Deals[[#This Row],[ApprovedAmount]]*Deals[[#This Row],[ProfitRate]]</f>
        <v>1615.3799999999999</v>
      </c>
    </row>
    <row r="182" spans="1:20">
      <c r="A182" s="2" t="s">
        <v>412</v>
      </c>
      <c r="B182" s="3">
        <v>46066</v>
      </c>
      <c r="C182" s="2" t="s">
        <v>413</v>
      </c>
      <c r="D182" s="2" t="s">
        <v>20</v>
      </c>
      <c r="E182" s="2" t="s">
        <v>30</v>
      </c>
      <c r="F182" s="2" t="s">
        <v>31</v>
      </c>
      <c r="G182" s="4">
        <v>14000</v>
      </c>
      <c r="H182" s="5">
        <v>3.7100000000000001E-2</v>
      </c>
      <c r="I182" s="2">
        <v>48</v>
      </c>
      <c r="J182" s="2" t="s">
        <v>37</v>
      </c>
      <c r="K182" s="2" t="s">
        <v>17</v>
      </c>
      <c r="L182" s="3">
        <v>46067</v>
      </c>
      <c r="M182" s="2" t="str">
        <f>_xlfn.XLOOKUP(Deals[[#This Row],[CustomerID]],Customers!A:A,Customers!F:F)</f>
        <v>Mass</v>
      </c>
      <c r="N182" s="2" t="str">
        <f>_xlfn.XLOOKUP(Deals[[#This Row],[CustomerID]],Customers!A:A,Customers!E:E)</f>
        <v>Kuwaiti</v>
      </c>
      <c r="O182" s="2">
        <f>2026-_xlfn.XLOOKUP(Deals[[#This Row],[CustomerID]],Customers!A:A,Customers!D:D)</f>
        <v>39</v>
      </c>
      <c r="P182" s="2" t="str" cm="1">
        <f t="array" ref="P182">_xlfn.IFS(Deals[[#This Row],[Age]]&lt;30,"Under 30",Deals[[#This Row],[Age]]&lt;45,"30-44",TRUE,"45+")</f>
        <v>30-44</v>
      </c>
      <c r="Q182" s="21">
        <f>IF(Deals[[#This Row],[Status]]="Pending","",Deals[[#This Row],[DecisionDate]]-Deals[[#This Row],[ApplicationDate]])</f>
        <v>1</v>
      </c>
      <c r="R182" s="21">
        <f>IF(Deals[[#This Row],[Status]]="Approved",1,0)</f>
        <v>1</v>
      </c>
      <c r="S182" s="21">
        <f>IF(Deals[[#This Row],[IsApproved]]=1,Deals[[#This Row],[Amount]],0)</f>
        <v>14000</v>
      </c>
      <c r="T182" s="21">
        <f>Deals[[#This Row],[ApprovedAmount]]*Deals[[#This Row],[ProfitRate]]</f>
        <v>519.4</v>
      </c>
    </row>
    <row r="183" spans="1:20">
      <c r="A183" s="2" t="s">
        <v>414</v>
      </c>
      <c r="B183" s="3">
        <v>46066</v>
      </c>
      <c r="C183" s="2" t="s">
        <v>415</v>
      </c>
      <c r="D183" s="2" t="s">
        <v>14</v>
      </c>
      <c r="E183" s="2" t="s">
        <v>43</v>
      </c>
      <c r="F183" s="2" t="s">
        <v>3</v>
      </c>
      <c r="G183" s="4">
        <v>28900</v>
      </c>
      <c r="H183" s="5">
        <v>7.9899999999999999E-2</v>
      </c>
      <c r="I183" s="2">
        <v>60</v>
      </c>
      <c r="J183" s="2" t="s">
        <v>16</v>
      </c>
      <c r="K183" s="2" t="s">
        <v>45</v>
      </c>
      <c r="L183" s="3">
        <v>46083</v>
      </c>
      <c r="M183" s="2" t="str">
        <f>_xlfn.XLOOKUP(Deals[[#This Row],[CustomerID]],Customers!A:A,Customers!F:F)</f>
        <v>Affluent</v>
      </c>
      <c r="N183" s="2" t="str">
        <f>_xlfn.XLOOKUP(Deals[[#This Row],[CustomerID]],Customers!A:A,Customers!E:E)</f>
        <v>Non-Kuwaiti</v>
      </c>
      <c r="O183" s="2">
        <f>2026-_xlfn.XLOOKUP(Deals[[#This Row],[CustomerID]],Customers!A:A,Customers!D:D)</f>
        <v>27</v>
      </c>
      <c r="P183" s="2" t="str" cm="1">
        <f t="array" ref="P183">_xlfn.IFS(Deals[[#This Row],[Age]]&lt;30,"Under 30",Deals[[#This Row],[Age]]&lt;45,"30-44",TRUE,"45+")</f>
        <v>Under 30</v>
      </c>
      <c r="Q183" s="21">
        <f>IF(Deals[[#This Row],[Status]]="Pending","",Deals[[#This Row],[DecisionDate]]-Deals[[#This Row],[ApplicationDate]])</f>
        <v>17</v>
      </c>
      <c r="R183" s="21">
        <f>IF(Deals[[#This Row],[Status]]="Approved",1,0)</f>
        <v>0</v>
      </c>
      <c r="S183" s="21">
        <f>IF(Deals[[#This Row],[IsApproved]]=1,Deals[[#This Row],[Amount]],0)</f>
        <v>0</v>
      </c>
      <c r="T183" s="21">
        <f>Deals[[#This Row],[ApprovedAmount]]*Deals[[#This Row],[ProfitRate]]</f>
        <v>0</v>
      </c>
    </row>
    <row r="184" spans="1:20">
      <c r="A184" s="2" t="s">
        <v>416</v>
      </c>
      <c r="B184" s="3">
        <v>46067</v>
      </c>
      <c r="C184" s="2" t="s">
        <v>417</v>
      </c>
      <c r="D184" s="2" t="s">
        <v>20</v>
      </c>
      <c r="E184" s="2" t="s">
        <v>21</v>
      </c>
      <c r="F184" s="2" t="s">
        <v>55</v>
      </c>
      <c r="G184" s="4">
        <v>131800</v>
      </c>
      <c r="H184" s="5">
        <v>4.1099999999999998E-2</v>
      </c>
      <c r="I184" s="2">
        <v>120</v>
      </c>
      <c r="J184" s="2" t="s">
        <v>44</v>
      </c>
      <c r="K184" s="2" t="s">
        <v>45</v>
      </c>
      <c r="L184" s="3">
        <v>46092</v>
      </c>
      <c r="M184" s="2" t="str">
        <f>_xlfn.XLOOKUP(Deals[[#This Row],[CustomerID]],Customers!A:A,Customers!F:F)</f>
        <v>Mass</v>
      </c>
      <c r="N184" s="2" t="str">
        <f>_xlfn.XLOOKUP(Deals[[#This Row],[CustomerID]],Customers!A:A,Customers!E:E)</f>
        <v>Kuwaiti</v>
      </c>
      <c r="O184" s="2">
        <f>2026-_xlfn.XLOOKUP(Deals[[#This Row],[CustomerID]],Customers!A:A,Customers!D:D)</f>
        <v>40</v>
      </c>
      <c r="P184" s="2" t="str" cm="1">
        <f t="array" ref="P184">_xlfn.IFS(Deals[[#This Row],[Age]]&lt;30,"Under 30",Deals[[#This Row],[Age]]&lt;45,"30-44",TRUE,"45+")</f>
        <v>30-44</v>
      </c>
      <c r="Q184" s="21">
        <f>IF(Deals[[#This Row],[Status]]="Pending","",Deals[[#This Row],[DecisionDate]]-Deals[[#This Row],[ApplicationDate]])</f>
        <v>25</v>
      </c>
      <c r="R184" s="21">
        <f>IF(Deals[[#This Row],[Status]]="Approved",1,0)</f>
        <v>0</v>
      </c>
      <c r="S184" s="21">
        <f>IF(Deals[[#This Row],[IsApproved]]=1,Deals[[#This Row],[Amount]],0)</f>
        <v>0</v>
      </c>
      <c r="T184" s="21">
        <f>Deals[[#This Row],[ApprovedAmount]]*Deals[[#This Row],[ProfitRate]]</f>
        <v>0</v>
      </c>
    </row>
    <row r="185" spans="1:20">
      <c r="A185" s="2" t="s">
        <v>418</v>
      </c>
      <c r="B185" s="3">
        <v>46068</v>
      </c>
      <c r="C185" s="2" t="s">
        <v>419</v>
      </c>
      <c r="D185" s="2" t="s">
        <v>14</v>
      </c>
      <c r="E185" s="2" t="s">
        <v>43</v>
      </c>
      <c r="F185" s="2" t="s">
        <v>55</v>
      </c>
      <c r="G185" s="4">
        <v>134300</v>
      </c>
      <c r="H185" s="5">
        <v>7.6300000000000007E-2</v>
      </c>
      <c r="I185" s="2">
        <v>36</v>
      </c>
      <c r="J185" s="2" t="s">
        <v>16</v>
      </c>
      <c r="K185" s="2" t="s">
        <v>45</v>
      </c>
      <c r="L185" s="3">
        <v>46082</v>
      </c>
      <c r="M185" s="2" t="str">
        <f>_xlfn.XLOOKUP(Deals[[#This Row],[CustomerID]],Customers!A:A,Customers!F:F)</f>
        <v>Mass</v>
      </c>
      <c r="N185" s="2" t="str">
        <f>_xlfn.XLOOKUP(Deals[[#This Row],[CustomerID]],Customers!A:A,Customers!E:E)</f>
        <v>Kuwaiti</v>
      </c>
      <c r="O185" s="2">
        <f>2026-_xlfn.XLOOKUP(Deals[[#This Row],[CustomerID]],Customers!A:A,Customers!D:D)</f>
        <v>43</v>
      </c>
      <c r="P185" s="2" t="str" cm="1">
        <f t="array" ref="P185">_xlfn.IFS(Deals[[#This Row],[Age]]&lt;30,"Under 30",Deals[[#This Row],[Age]]&lt;45,"30-44",TRUE,"45+")</f>
        <v>30-44</v>
      </c>
      <c r="Q185" s="21">
        <f>IF(Deals[[#This Row],[Status]]="Pending","",Deals[[#This Row],[DecisionDate]]-Deals[[#This Row],[ApplicationDate]])</f>
        <v>14</v>
      </c>
      <c r="R185" s="21">
        <f>IF(Deals[[#This Row],[Status]]="Approved",1,0)</f>
        <v>0</v>
      </c>
      <c r="S185" s="21">
        <f>IF(Deals[[#This Row],[IsApproved]]=1,Deals[[#This Row],[Amount]],0)</f>
        <v>0</v>
      </c>
      <c r="T185" s="21">
        <f>Deals[[#This Row],[ApprovedAmount]]*Deals[[#This Row],[ProfitRate]]</f>
        <v>0</v>
      </c>
    </row>
    <row r="186" spans="1:20">
      <c r="A186" s="2" t="s">
        <v>420</v>
      </c>
      <c r="B186" s="3">
        <v>46068</v>
      </c>
      <c r="C186" s="2" t="s">
        <v>421</v>
      </c>
      <c r="D186" s="2" t="s">
        <v>54</v>
      </c>
      <c r="E186" s="2" t="s">
        <v>15</v>
      </c>
      <c r="F186" s="2" t="s">
        <v>55</v>
      </c>
      <c r="G186" s="4">
        <v>18900</v>
      </c>
      <c r="H186" s="5">
        <v>6.4000000000000001E-2</v>
      </c>
      <c r="I186" s="2">
        <v>24</v>
      </c>
      <c r="J186" s="2" t="s">
        <v>148</v>
      </c>
      <c r="K186" s="2" t="s">
        <v>17</v>
      </c>
      <c r="L186" s="3">
        <v>46069</v>
      </c>
      <c r="M186" s="2" t="str">
        <f>_xlfn.XLOOKUP(Deals[[#This Row],[CustomerID]],Customers!A:A,Customers!F:F)</f>
        <v>Mass</v>
      </c>
      <c r="N186" s="2" t="str">
        <f>_xlfn.XLOOKUP(Deals[[#This Row],[CustomerID]],Customers!A:A,Customers!E:E)</f>
        <v>Non-Kuwaiti</v>
      </c>
      <c r="O186" s="2">
        <f>2026-_xlfn.XLOOKUP(Deals[[#This Row],[CustomerID]],Customers!A:A,Customers!D:D)</f>
        <v>42</v>
      </c>
      <c r="P186" s="2" t="str" cm="1">
        <f t="array" ref="P186">_xlfn.IFS(Deals[[#This Row],[Age]]&lt;30,"Under 30",Deals[[#This Row],[Age]]&lt;45,"30-44",TRUE,"45+")</f>
        <v>30-44</v>
      </c>
      <c r="Q186" s="21">
        <f>IF(Deals[[#This Row],[Status]]="Pending","",Deals[[#This Row],[DecisionDate]]-Deals[[#This Row],[ApplicationDate]])</f>
        <v>1</v>
      </c>
      <c r="R186" s="21">
        <f>IF(Deals[[#This Row],[Status]]="Approved",1,0)</f>
        <v>1</v>
      </c>
      <c r="S186" s="21">
        <f>IF(Deals[[#This Row],[IsApproved]]=1,Deals[[#This Row],[Amount]],0)</f>
        <v>18900</v>
      </c>
      <c r="T186" s="21">
        <f>Deals[[#This Row],[ApprovedAmount]]*Deals[[#This Row],[ProfitRate]]</f>
        <v>1209.6000000000001</v>
      </c>
    </row>
    <row r="187" spans="1:20">
      <c r="A187" s="2" t="s">
        <v>422</v>
      </c>
      <c r="B187" s="3">
        <v>46068</v>
      </c>
      <c r="C187" s="2" t="s">
        <v>423</v>
      </c>
      <c r="D187" s="2" t="s">
        <v>25</v>
      </c>
      <c r="E187" s="2" t="s">
        <v>15</v>
      </c>
      <c r="F187" s="2" t="s">
        <v>3</v>
      </c>
      <c r="G187" s="4">
        <v>9800</v>
      </c>
      <c r="H187" s="5">
        <v>6.2399999999999997E-2</v>
      </c>
      <c r="I187" s="2">
        <v>60</v>
      </c>
      <c r="J187" s="2" t="s">
        <v>26</v>
      </c>
      <c r="K187" s="2" t="s">
        <v>17</v>
      </c>
      <c r="L187" s="3">
        <v>46074</v>
      </c>
      <c r="M187" s="2" t="str">
        <f>_xlfn.XLOOKUP(Deals[[#This Row],[CustomerID]],Customers!A:A,Customers!F:F)</f>
        <v>Mass</v>
      </c>
      <c r="N187" s="2" t="str">
        <f>_xlfn.XLOOKUP(Deals[[#This Row],[CustomerID]],Customers!A:A,Customers!E:E)</f>
        <v>Kuwaiti</v>
      </c>
      <c r="O187" s="2">
        <f>2026-_xlfn.XLOOKUP(Deals[[#This Row],[CustomerID]],Customers!A:A,Customers!D:D)</f>
        <v>41</v>
      </c>
      <c r="P187" s="2" t="str" cm="1">
        <f t="array" ref="P187">_xlfn.IFS(Deals[[#This Row],[Age]]&lt;30,"Under 30",Deals[[#This Row],[Age]]&lt;45,"30-44",TRUE,"45+")</f>
        <v>30-44</v>
      </c>
      <c r="Q187" s="21">
        <f>IF(Deals[[#This Row],[Status]]="Pending","",Deals[[#This Row],[DecisionDate]]-Deals[[#This Row],[ApplicationDate]])</f>
        <v>6</v>
      </c>
      <c r="R187" s="21">
        <f>IF(Deals[[#This Row],[Status]]="Approved",1,0)</f>
        <v>1</v>
      </c>
      <c r="S187" s="21">
        <f>IF(Deals[[#This Row],[IsApproved]]=1,Deals[[#This Row],[Amount]],0)</f>
        <v>9800</v>
      </c>
      <c r="T187" s="21">
        <f>Deals[[#This Row],[ApprovedAmount]]*Deals[[#This Row],[ProfitRate]]</f>
        <v>611.52</v>
      </c>
    </row>
    <row r="188" spans="1:20">
      <c r="A188" s="2" t="s">
        <v>424</v>
      </c>
      <c r="B188" s="3">
        <v>46068</v>
      </c>
      <c r="C188" s="2" t="s">
        <v>425</v>
      </c>
      <c r="D188" s="2" t="s">
        <v>54</v>
      </c>
      <c r="E188" s="2" t="s">
        <v>43</v>
      </c>
      <c r="F188" s="2" t="s">
        <v>31</v>
      </c>
      <c r="G188" s="4">
        <v>92500</v>
      </c>
      <c r="H188" s="5">
        <v>7.6700000000000004E-2</v>
      </c>
      <c r="I188" s="2">
        <v>36</v>
      </c>
      <c r="J188" s="2" t="s">
        <v>186</v>
      </c>
      <c r="K188" s="2" t="s">
        <v>17</v>
      </c>
      <c r="L188" s="3">
        <v>46081</v>
      </c>
      <c r="M188" s="2" t="str">
        <f>_xlfn.XLOOKUP(Deals[[#This Row],[CustomerID]],Customers!A:A,Customers!F:F)</f>
        <v>Mass</v>
      </c>
      <c r="N188" s="2" t="str">
        <f>_xlfn.XLOOKUP(Deals[[#This Row],[CustomerID]],Customers!A:A,Customers!E:E)</f>
        <v>Non-Kuwaiti</v>
      </c>
      <c r="O188" s="2">
        <f>2026-_xlfn.XLOOKUP(Deals[[#This Row],[CustomerID]],Customers!A:A,Customers!D:D)</f>
        <v>28</v>
      </c>
      <c r="P188" s="2" t="str" cm="1">
        <f t="array" ref="P188">_xlfn.IFS(Deals[[#This Row],[Age]]&lt;30,"Under 30",Deals[[#This Row],[Age]]&lt;45,"30-44",TRUE,"45+")</f>
        <v>Under 30</v>
      </c>
      <c r="Q188" s="21">
        <f>IF(Deals[[#This Row],[Status]]="Pending","",Deals[[#This Row],[DecisionDate]]-Deals[[#This Row],[ApplicationDate]])</f>
        <v>13</v>
      </c>
      <c r="R188" s="21">
        <f>IF(Deals[[#This Row],[Status]]="Approved",1,0)</f>
        <v>1</v>
      </c>
      <c r="S188" s="21">
        <f>IF(Deals[[#This Row],[IsApproved]]=1,Deals[[#This Row],[Amount]],0)</f>
        <v>92500</v>
      </c>
      <c r="T188" s="21">
        <f>Deals[[#This Row],[ApprovedAmount]]*Deals[[#This Row],[ProfitRate]]</f>
        <v>7094.75</v>
      </c>
    </row>
    <row r="189" spans="1:20">
      <c r="A189" s="2" t="s">
        <v>426</v>
      </c>
      <c r="B189" s="3">
        <v>46069</v>
      </c>
      <c r="C189" s="2" t="s">
        <v>427</v>
      </c>
      <c r="D189" s="2" t="s">
        <v>25</v>
      </c>
      <c r="E189" s="2" t="s">
        <v>30</v>
      </c>
      <c r="F189" s="2" t="s">
        <v>3</v>
      </c>
      <c r="G189" s="4">
        <v>8400</v>
      </c>
      <c r="H189" s="5">
        <v>3.85E-2</v>
      </c>
      <c r="I189" s="2">
        <v>48</v>
      </c>
      <c r="J189" s="2" t="s">
        <v>66</v>
      </c>
      <c r="K189" s="2" t="s">
        <v>17</v>
      </c>
      <c r="L189" s="3">
        <v>46070</v>
      </c>
      <c r="M189" s="2" t="str">
        <f>_xlfn.XLOOKUP(Deals[[#This Row],[CustomerID]],Customers!A:A,Customers!F:F)</f>
        <v>Mass</v>
      </c>
      <c r="N189" s="2" t="str">
        <f>_xlfn.XLOOKUP(Deals[[#This Row],[CustomerID]],Customers!A:A,Customers!E:E)</f>
        <v>Kuwaiti</v>
      </c>
      <c r="O189" s="2">
        <f>2026-_xlfn.XLOOKUP(Deals[[#This Row],[CustomerID]],Customers!A:A,Customers!D:D)</f>
        <v>53</v>
      </c>
      <c r="P189" s="2" t="str" cm="1">
        <f t="array" ref="P189">_xlfn.IFS(Deals[[#This Row],[Age]]&lt;30,"Under 30",Deals[[#This Row],[Age]]&lt;45,"30-44",TRUE,"45+")</f>
        <v>45+</v>
      </c>
      <c r="Q189" s="21">
        <f>IF(Deals[[#This Row],[Status]]="Pending","",Deals[[#This Row],[DecisionDate]]-Deals[[#This Row],[ApplicationDate]])</f>
        <v>1</v>
      </c>
      <c r="R189" s="21">
        <f>IF(Deals[[#This Row],[Status]]="Approved",1,0)</f>
        <v>1</v>
      </c>
      <c r="S189" s="21">
        <f>IF(Deals[[#This Row],[IsApproved]]=1,Deals[[#This Row],[Amount]],0)</f>
        <v>8400</v>
      </c>
      <c r="T189" s="21">
        <f>Deals[[#This Row],[ApprovedAmount]]*Deals[[#This Row],[ProfitRate]]</f>
        <v>323.39999999999998</v>
      </c>
    </row>
    <row r="190" spans="1:20">
      <c r="A190" s="2" t="s">
        <v>428</v>
      </c>
      <c r="B190" s="3">
        <v>46069</v>
      </c>
      <c r="C190" s="2" t="s">
        <v>429</v>
      </c>
      <c r="D190" s="2" t="s">
        <v>14</v>
      </c>
      <c r="E190" s="2" t="s">
        <v>30</v>
      </c>
      <c r="F190" s="2" t="s">
        <v>31</v>
      </c>
      <c r="G190" s="4">
        <v>4400</v>
      </c>
      <c r="H190" s="5">
        <v>3.56E-2</v>
      </c>
      <c r="I190" s="2">
        <v>60</v>
      </c>
      <c r="J190" s="2" t="s">
        <v>16</v>
      </c>
      <c r="K190" s="2" t="s">
        <v>17</v>
      </c>
      <c r="L190" s="3">
        <v>46073</v>
      </c>
      <c r="M190" s="2" t="str">
        <f>_xlfn.XLOOKUP(Deals[[#This Row],[CustomerID]],Customers!A:A,Customers!F:F)</f>
        <v>Mass</v>
      </c>
      <c r="N190" s="2" t="str">
        <f>_xlfn.XLOOKUP(Deals[[#This Row],[CustomerID]],Customers!A:A,Customers!E:E)</f>
        <v>Kuwaiti</v>
      </c>
      <c r="O190" s="2">
        <f>2026-_xlfn.XLOOKUP(Deals[[#This Row],[CustomerID]],Customers!A:A,Customers!D:D)</f>
        <v>36</v>
      </c>
      <c r="P190" s="2" t="str" cm="1">
        <f t="array" ref="P190">_xlfn.IFS(Deals[[#This Row],[Age]]&lt;30,"Under 30",Deals[[#This Row],[Age]]&lt;45,"30-44",TRUE,"45+")</f>
        <v>30-44</v>
      </c>
      <c r="Q190" s="21">
        <f>IF(Deals[[#This Row],[Status]]="Pending","",Deals[[#This Row],[DecisionDate]]-Deals[[#This Row],[ApplicationDate]])</f>
        <v>4</v>
      </c>
      <c r="R190" s="21">
        <f>IF(Deals[[#This Row],[Status]]="Approved",1,0)</f>
        <v>1</v>
      </c>
      <c r="S190" s="21">
        <f>IF(Deals[[#This Row],[IsApproved]]=1,Deals[[#This Row],[Amount]],0)</f>
        <v>4400</v>
      </c>
      <c r="T190" s="21">
        <f>Deals[[#This Row],[ApprovedAmount]]*Deals[[#This Row],[ProfitRate]]</f>
        <v>156.63999999999999</v>
      </c>
    </row>
    <row r="191" spans="1:20">
      <c r="A191" s="2" t="s">
        <v>430</v>
      </c>
      <c r="B191" s="3">
        <v>46069</v>
      </c>
      <c r="C191" s="2" t="s">
        <v>431</v>
      </c>
      <c r="D191" s="2" t="s">
        <v>29</v>
      </c>
      <c r="E191" s="2" t="s">
        <v>15</v>
      </c>
      <c r="F191" s="2" t="s">
        <v>3</v>
      </c>
      <c r="G191" s="4">
        <v>21200</v>
      </c>
      <c r="H191" s="5">
        <v>5.6000000000000001E-2</v>
      </c>
      <c r="I191" s="2">
        <v>12</v>
      </c>
      <c r="J191" s="2" t="s">
        <v>61</v>
      </c>
      <c r="K191" s="2" t="s">
        <v>17</v>
      </c>
      <c r="L191" s="3">
        <v>46070</v>
      </c>
      <c r="M191" s="2" t="str">
        <f>_xlfn.XLOOKUP(Deals[[#This Row],[CustomerID]],Customers!A:A,Customers!F:F)</f>
        <v>Mass</v>
      </c>
      <c r="N191" s="2" t="str">
        <f>_xlfn.XLOOKUP(Deals[[#This Row],[CustomerID]],Customers!A:A,Customers!E:E)</f>
        <v>Non-Kuwaiti</v>
      </c>
      <c r="O191" s="2">
        <f>2026-_xlfn.XLOOKUP(Deals[[#This Row],[CustomerID]],Customers!A:A,Customers!D:D)</f>
        <v>30</v>
      </c>
      <c r="P191" s="2" t="str" cm="1">
        <f t="array" ref="P191">_xlfn.IFS(Deals[[#This Row],[Age]]&lt;30,"Under 30",Deals[[#This Row],[Age]]&lt;45,"30-44",TRUE,"45+")</f>
        <v>30-44</v>
      </c>
      <c r="Q191" s="21">
        <f>IF(Deals[[#This Row],[Status]]="Pending","",Deals[[#This Row],[DecisionDate]]-Deals[[#This Row],[ApplicationDate]])</f>
        <v>1</v>
      </c>
      <c r="R191" s="21">
        <f>IF(Deals[[#This Row],[Status]]="Approved",1,0)</f>
        <v>1</v>
      </c>
      <c r="S191" s="21">
        <f>IF(Deals[[#This Row],[IsApproved]]=1,Deals[[#This Row],[Amount]],0)</f>
        <v>21200</v>
      </c>
      <c r="T191" s="21">
        <f>Deals[[#This Row],[ApprovedAmount]]*Deals[[#This Row],[ProfitRate]]</f>
        <v>1187.2</v>
      </c>
    </row>
    <row r="192" spans="1:20">
      <c r="A192" s="2" t="s">
        <v>432</v>
      </c>
      <c r="B192" s="3">
        <v>46069</v>
      </c>
      <c r="C192" s="2" t="s">
        <v>433</v>
      </c>
      <c r="D192" s="2" t="s">
        <v>25</v>
      </c>
      <c r="E192" s="2" t="s">
        <v>30</v>
      </c>
      <c r="F192" s="2" t="s">
        <v>3</v>
      </c>
      <c r="G192" s="4">
        <v>11100</v>
      </c>
      <c r="H192" s="5">
        <v>3.85E-2</v>
      </c>
      <c r="I192" s="2">
        <v>48</v>
      </c>
      <c r="J192" s="2" t="s">
        <v>66</v>
      </c>
      <c r="K192" s="2" t="s">
        <v>17</v>
      </c>
      <c r="L192" s="3">
        <v>46071</v>
      </c>
      <c r="M192" s="2" t="str">
        <f>_xlfn.XLOOKUP(Deals[[#This Row],[CustomerID]],Customers!A:A,Customers!F:F)</f>
        <v>Affluent</v>
      </c>
      <c r="N192" s="2" t="str">
        <f>_xlfn.XLOOKUP(Deals[[#This Row],[CustomerID]],Customers!A:A,Customers!E:E)</f>
        <v>Kuwaiti</v>
      </c>
      <c r="O192" s="2">
        <f>2026-_xlfn.XLOOKUP(Deals[[#This Row],[CustomerID]],Customers!A:A,Customers!D:D)</f>
        <v>40</v>
      </c>
      <c r="P192" s="2" t="str" cm="1">
        <f t="array" ref="P192">_xlfn.IFS(Deals[[#This Row],[Age]]&lt;30,"Under 30",Deals[[#This Row],[Age]]&lt;45,"30-44",TRUE,"45+")</f>
        <v>30-44</v>
      </c>
      <c r="Q192" s="21">
        <f>IF(Deals[[#This Row],[Status]]="Pending","",Deals[[#This Row],[DecisionDate]]-Deals[[#This Row],[ApplicationDate]])</f>
        <v>2</v>
      </c>
      <c r="R192" s="21">
        <f>IF(Deals[[#This Row],[Status]]="Approved",1,0)</f>
        <v>1</v>
      </c>
      <c r="S192" s="21">
        <f>IF(Deals[[#This Row],[IsApproved]]=1,Deals[[#This Row],[Amount]],0)</f>
        <v>11100</v>
      </c>
      <c r="T192" s="21">
        <f>Deals[[#This Row],[ApprovedAmount]]*Deals[[#This Row],[ProfitRate]]</f>
        <v>427.35</v>
      </c>
    </row>
    <row r="193" spans="1:20">
      <c r="A193" s="2" t="s">
        <v>434</v>
      </c>
      <c r="B193" s="3">
        <v>46069</v>
      </c>
      <c r="C193" s="2" t="s">
        <v>435</v>
      </c>
      <c r="D193" s="2" t="s">
        <v>29</v>
      </c>
      <c r="E193" s="2" t="s">
        <v>30</v>
      </c>
      <c r="F193" s="2" t="s">
        <v>3</v>
      </c>
      <c r="G193" s="4">
        <v>5500</v>
      </c>
      <c r="H193" s="5">
        <v>4.65E-2</v>
      </c>
      <c r="I193" s="2">
        <v>36</v>
      </c>
      <c r="J193" s="2" t="s">
        <v>61</v>
      </c>
      <c r="K193" s="2" t="s">
        <v>17</v>
      </c>
      <c r="L193" s="3">
        <v>46070</v>
      </c>
      <c r="M193" s="2" t="str">
        <f>_xlfn.XLOOKUP(Deals[[#This Row],[CustomerID]],Customers!A:A,Customers!F:F)</f>
        <v>Mass</v>
      </c>
      <c r="N193" s="2" t="str">
        <f>_xlfn.XLOOKUP(Deals[[#This Row],[CustomerID]],Customers!A:A,Customers!E:E)</f>
        <v>Kuwaiti</v>
      </c>
      <c r="O193" s="2">
        <f>2026-_xlfn.XLOOKUP(Deals[[#This Row],[CustomerID]],Customers!A:A,Customers!D:D)</f>
        <v>54</v>
      </c>
      <c r="P193" s="2" t="str" cm="1">
        <f t="array" ref="P193">_xlfn.IFS(Deals[[#This Row],[Age]]&lt;30,"Under 30",Deals[[#This Row],[Age]]&lt;45,"30-44",TRUE,"45+")</f>
        <v>45+</v>
      </c>
      <c r="Q193" s="21">
        <f>IF(Deals[[#This Row],[Status]]="Pending","",Deals[[#This Row],[DecisionDate]]-Deals[[#This Row],[ApplicationDate]])</f>
        <v>1</v>
      </c>
      <c r="R193" s="21">
        <f>IF(Deals[[#This Row],[Status]]="Approved",1,0)</f>
        <v>1</v>
      </c>
      <c r="S193" s="21">
        <f>IF(Deals[[#This Row],[IsApproved]]=1,Deals[[#This Row],[Amount]],0)</f>
        <v>5500</v>
      </c>
      <c r="T193" s="21">
        <f>Deals[[#This Row],[ApprovedAmount]]*Deals[[#This Row],[ProfitRate]]</f>
        <v>255.75</v>
      </c>
    </row>
    <row r="194" spans="1:20">
      <c r="A194" s="2" t="s">
        <v>436</v>
      </c>
      <c r="B194" s="3">
        <v>46069</v>
      </c>
      <c r="C194" s="2" t="s">
        <v>236</v>
      </c>
      <c r="D194" s="2" t="s">
        <v>14</v>
      </c>
      <c r="E194" s="2" t="s">
        <v>30</v>
      </c>
      <c r="F194" s="2" t="s">
        <v>3</v>
      </c>
      <c r="G194" s="4">
        <v>7500</v>
      </c>
      <c r="H194" s="5">
        <v>4.3999999999999997E-2</v>
      </c>
      <c r="I194" s="2">
        <v>60</v>
      </c>
      <c r="J194" s="2" t="s">
        <v>16</v>
      </c>
      <c r="K194" s="2" t="s">
        <v>45</v>
      </c>
      <c r="L194" s="3">
        <v>46073</v>
      </c>
      <c r="M194" s="2" t="str">
        <f>_xlfn.XLOOKUP(Deals[[#This Row],[CustomerID]],Customers!A:A,Customers!F:F)</f>
        <v>Mass</v>
      </c>
      <c r="N194" s="2" t="str">
        <f>_xlfn.XLOOKUP(Deals[[#This Row],[CustomerID]],Customers!A:A,Customers!E:E)</f>
        <v>Kuwaiti</v>
      </c>
      <c r="O194" s="2">
        <f>2026-_xlfn.XLOOKUP(Deals[[#This Row],[CustomerID]],Customers!A:A,Customers!D:D)</f>
        <v>37</v>
      </c>
      <c r="P194" s="2" t="str" cm="1">
        <f t="array" ref="P194">_xlfn.IFS(Deals[[#This Row],[Age]]&lt;30,"Under 30",Deals[[#This Row],[Age]]&lt;45,"30-44",TRUE,"45+")</f>
        <v>30-44</v>
      </c>
      <c r="Q194" s="21">
        <f>IF(Deals[[#This Row],[Status]]="Pending","",Deals[[#This Row],[DecisionDate]]-Deals[[#This Row],[ApplicationDate]])</f>
        <v>4</v>
      </c>
      <c r="R194" s="21">
        <f>IF(Deals[[#This Row],[Status]]="Approved",1,0)</f>
        <v>0</v>
      </c>
      <c r="S194" s="21">
        <f>IF(Deals[[#This Row],[IsApproved]]=1,Deals[[#This Row],[Amount]],0)</f>
        <v>0</v>
      </c>
      <c r="T194" s="21">
        <f>Deals[[#This Row],[ApprovedAmount]]*Deals[[#This Row],[ProfitRate]]</f>
        <v>0</v>
      </c>
    </row>
    <row r="195" spans="1:20">
      <c r="A195" s="2" t="s">
        <v>437</v>
      </c>
      <c r="B195" s="3">
        <v>46069</v>
      </c>
      <c r="C195" s="2" t="s">
        <v>156</v>
      </c>
      <c r="D195" s="2" t="s">
        <v>20</v>
      </c>
      <c r="E195" s="2" t="s">
        <v>43</v>
      </c>
      <c r="F195" s="2" t="s">
        <v>3</v>
      </c>
      <c r="G195" s="4">
        <v>40600</v>
      </c>
      <c r="H195" s="5">
        <v>7.9600000000000004E-2</v>
      </c>
      <c r="I195" s="2">
        <v>36</v>
      </c>
      <c r="J195" s="2" t="s">
        <v>44</v>
      </c>
      <c r="K195" s="2" t="s">
        <v>45</v>
      </c>
      <c r="L195" s="3">
        <v>46080</v>
      </c>
      <c r="M195" s="2" t="str">
        <f>_xlfn.XLOOKUP(Deals[[#This Row],[CustomerID]],Customers!A:A,Customers!F:F)</f>
        <v>Mass</v>
      </c>
      <c r="N195" s="2" t="str">
        <f>_xlfn.XLOOKUP(Deals[[#This Row],[CustomerID]],Customers!A:A,Customers!E:E)</f>
        <v>Kuwaiti</v>
      </c>
      <c r="O195" s="2">
        <f>2026-_xlfn.XLOOKUP(Deals[[#This Row],[CustomerID]],Customers!A:A,Customers!D:D)</f>
        <v>36</v>
      </c>
      <c r="P195" s="2" t="str" cm="1">
        <f t="array" ref="P195">_xlfn.IFS(Deals[[#This Row],[Age]]&lt;30,"Under 30",Deals[[#This Row],[Age]]&lt;45,"30-44",TRUE,"45+")</f>
        <v>30-44</v>
      </c>
      <c r="Q195" s="21">
        <f>IF(Deals[[#This Row],[Status]]="Pending","",Deals[[#This Row],[DecisionDate]]-Deals[[#This Row],[ApplicationDate]])</f>
        <v>11</v>
      </c>
      <c r="R195" s="21">
        <f>IF(Deals[[#This Row],[Status]]="Approved",1,0)</f>
        <v>0</v>
      </c>
      <c r="S195" s="21">
        <f>IF(Deals[[#This Row],[IsApproved]]=1,Deals[[#This Row],[Amount]],0)</f>
        <v>0</v>
      </c>
      <c r="T195" s="21">
        <f>Deals[[#This Row],[ApprovedAmount]]*Deals[[#This Row],[ProfitRate]]</f>
        <v>0</v>
      </c>
    </row>
    <row r="196" spans="1:20">
      <c r="A196" s="2" t="s">
        <v>438</v>
      </c>
      <c r="B196" s="3">
        <v>46069</v>
      </c>
      <c r="C196" s="2" t="s">
        <v>439</v>
      </c>
      <c r="D196" s="2" t="s">
        <v>29</v>
      </c>
      <c r="E196" s="2" t="s">
        <v>30</v>
      </c>
      <c r="F196" s="2" t="s">
        <v>3</v>
      </c>
      <c r="G196" s="4">
        <v>17200</v>
      </c>
      <c r="H196" s="5">
        <v>3.5200000000000002E-2</v>
      </c>
      <c r="I196" s="2">
        <v>36</v>
      </c>
      <c r="J196" s="2" t="s">
        <v>32</v>
      </c>
      <c r="K196" s="2" t="s">
        <v>17</v>
      </c>
      <c r="L196" s="3">
        <v>46071</v>
      </c>
      <c r="M196" s="2" t="str">
        <f>_xlfn.XLOOKUP(Deals[[#This Row],[CustomerID]],Customers!A:A,Customers!F:F)</f>
        <v>Affluent</v>
      </c>
      <c r="N196" s="2" t="str">
        <f>_xlfn.XLOOKUP(Deals[[#This Row],[CustomerID]],Customers!A:A,Customers!E:E)</f>
        <v>Kuwaiti</v>
      </c>
      <c r="O196" s="2">
        <f>2026-_xlfn.XLOOKUP(Deals[[#This Row],[CustomerID]],Customers!A:A,Customers!D:D)</f>
        <v>43</v>
      </c>
      <c r="P196" s="2" t="str" cm="1">
        <f t="array" ref="P196">_xlfn.IFS(Deals[[#This Row],[Age]]&lt;30,"Under 30",Deals[[#This Row],[Age]]&lt;45,"30-44",TRUE,"45+")</f>
        <v>30-44</v>
      </c>
      <c r="Q196" s="21">
        <f>IF(Deals[[#This Row],[Status]]="Pending","",Deals[[#This Row],[DecisionDate]]-Deals[[#This Row],[ApplicationDate]])</f>
        <v>2</v>
      </c>
      <c r="R196" s="21">
        <f>IF(Deals[[#This Row],[Status]]="Approved",1,0)</f>
        <v>1</v>
      </c>
      <c r="S196" s="21">
        <f>IF(Deals[[#This Row],[IsApproved]]=1,Deals[[#This Row],[Amount]],0)</f>
        <v>17200</v>
      </c>
      <c r="T196" s="21">
        <f>Deals[[#This Row],[ApprovedAmount]]*Deals[[#This Row],[ProfitRate]]</f>
        <v>605.44000000000005</v>
      </c>
    </row>
    <row r="197" spans="1:20">
      <c r="A197" s="2" t="s">
        <v>440</v>
      </c>
      <c r="B197" s="3">
        <v>46069</v>
      </c>
      <c r="C197" s="2" t="s">
        <v>441</v>
      </c>
      <c r="D197" s="2" t="s">
        <v>14</v>
      </c>
      <c r="E197" s="2" t="s">
        <v>43</v>
      </c>
      <c r="F197" s="2" t="s">
        <v>3</v>
      </c>
      <c r="G197" s="4">
        <v>131900</v>
      </c>
      <c r="H197" s="5">
        <v>6.9500000000000006E-2</v>
      </c>
      <c r="I197" s="2">
        <v>60</v>
      </c>
      <c r="J197" s="2" t="s">
        <v>16</v>
      </c>
      <c r="K197" s="2" t="s">
        <v>17</v>
      </c>
      <c r="L197" s="3">
        <v>46082</v>
      </c>
      <c r="M197" s="2" t="str">
        <f>_xlfn.XLOOKUP(Deals[[#This Row],[CustomerID]],Customers!A:A,Customers!F:F)</f>
        <v>Affluent</v>
      </c>
      <c r="N197" s="2" t="str">
        <f>_xlfn.XLOOKUP(Deals[[#This Row],[CustomerID]],Customers!A:A,Customers!E:E)</f>
        <v>Kuwaiti</v>
      </c>
      <c r="O197" s="2">
        <f>2026-_xlfn.XLOOKUP(Deals[[#This Row],[CustomerID]],Customers!A:A,Customers!D:D)</f>
        <v>24</v>
      </c>
      <c r="P197" s="2" t="str" cm="1">
        <f t="array" ref="P197">_xlfn.IFS(Deals[[#This Row],[Age]]&lt;30,"Under 30",Deals[[#This Row],[Age]]&lt;45,"30-44",TRUE,"45+")</f>
        <v>Under 30</v>
      </c>
      <c r="Q197" s="21">
        <f>IF(Deals[[#This Row],[Status]]="Pending","",Deals[[#This Row],[DecisionDate]]-Deals[[#This Row],[ApplicationDate]])</f>
        <v>13</v>
      </c>
      <c r="R197" s="21">
        <f>IF(Deals[[#This Row],[Status]]="Approved",1,0)</f>
        <v>1</v>
      </c>
      <c r="S197" s="21">
        <f>IF(Deals[[#This Row],[IsApproved]]=1,Deals[[#This Row],[Amount]],0)</f>
        <v>131900</v>
      </c>
      <c r="T197" s="21">
        <f>Deals[[#This Row],[ApprovedAmount]]*Deals[[#This Row],[ProfitRate]]</f>
        <v>9167.0500000000011</v>
      </c>
    </row>
    <row r="198" spans="1:20">
      <c r="A198" s="2" t="s">
        <v>442</v>
      </c>
      <c r="B198" s="3">
        <v>46070</v>
      </c>
      <c r="C198" s="2" t="s">
        <v>443</v>
      </c>
      <c r="D198" s="2" t="s">
        <v>71</v>
      </c>
      <c r="E198" s="2" t="s">
        <v>21</v>
      </c>
      <c r="F198" s="2" t="s">
        <v>3</v>
      </c>
      <c r="G198" s="4">
        <v>177000</v>
      </c>
      <c r="H198" s="5">
        <v>3.44E-2</v>
      </c>
      <c r="I198" s="2">
        <v>180</v>
      </c>
      <c r="J198" s="2" t="s">
        <v>101</v>
      </c>
      <c r="K198" s="2" t="s">
        <v>17</v>
      </c>
      <c r="L198" s="3">
        <v>46094</v>
      </c>
      <c r="M198" s="2" t="str">
        <f>_xlfn.XLOOKUP(Deals[[#This Row],[CustomerID]],Customers!A:A,Customers!F:F)</f>
        <v>Affluent</v>
      </c>
      <c r="N198" s="2" t="str">
        <f>_xlfn.XLOOKUP(Deals[[#This Row],[CustomerID]],Customers!A:A,Customers!E:E)</f>
        <v>Kuwaiti</v>
      </c>
      <c r="O198" s="2">
        <f>2026-_xlfn.XLOOKUP(Deals[[#This Row],[CustomerID]],Customers!A:A,Customers!D:D)</f>
        <v>52</v>
      </c>
      <c r="P198" s="2" t="str" cm="1">
        <f t="array" ref="P198">_xlfn.IFS(Deals[[#This Row],[Age]]&lt;30,"Under 30",Deals[[#This Row],[Age]]&lt;45,"30-44",TRUE,"45+")</f>
        <v>45+</v>
      </c>
      <c r="Q198" s="21">
        <f>IF(Deals[[#This Row],[Status]]="Pending","",Deals[[#This Row],[DecisionDate]]-Deals[[#This Row],[ApplicationDate]])</f>
        <v>24</v>
      </c>
      <c r="R198" s="21">
        <f>IF(Deals[[#This Row],[Status]]="Approved",1,0)</f>
        <v>1</v>
      </c>
      <c r="S198" s="21">
        <f>IF(Deals[[#This Row],[IsApproved]]=1,Deals[[#This Row],[Amount]],0)</f>
        <v>177000</v>
      </c>
      <c r="T198" s="21">
        <f>Deals[[#This Row],[ApprovedAmount]]*Deals[[#This Row],[ProfitRate]]</f>
        <v>6088.8</v>
      </c>
    </row>
    <row r="199" spans="1:20">
      <c r="A199" s="2" t="s">
        <v>444</v>
      </c>
      <c r="B199" s="3">
        <v>46070</v>
      </c>
      <c r="C199" s="2" t="s">
        <v>445</v>
      </c>
      <c r="D199" s="2" t="s">
        <v>20</v>
      </c>
      <c r="E199" s="2" t="s">
        <v>15</v>
      </c>
      <c r="F199" s="2" t="s">
        <v>3</v>
      </c>
      <c r="G199" s="4">
        <v>13100</v>
      </c>
      <c r="H199" s="5">
        <v>6.8199999999999997E-2</v>
      </c>
      <c r="I199" s="2">
        <v>60</v>
      </c>
      <c r="J199" s="2" t="s">
        <v>22</v>
      </c>
      <c r="K199" s="2" t="s">
        <v>17</v>
      </c>
      <c r="L199" s="3">
        <v>46076</v>
      </c>
      <c r="M199" s="2" t="str">
        <f>_xlfn.XLOOKUP(Deals[[#This Row],[CustomerID]],Customers!A:A,Customers!F:F)</f>
        <v>Mass</v>
      </c>
      <c r="N199" s="2" t="str">
        <f>_xlfn.XLOOKUP(Deals[[#This Row],[CustomerID]],Customers!A:A,Customers!E:E)</f>
        <v>Kuwaiti</v>
      </c>
      <c r="O199" s="2">
        <f>2026-_xlfn.XLOOKUP(Deals[[#This Row],[CustomerID]],Customers!A:A,Customers!D:D)</f>
        <v>43</v>
      </c>
      <c r="P199" s="2" t="str" cm="1">
        <f t="array" ref="P199">_xlfn.IFS(Deals[[#This Row],[Age]]&lt;30,"Under 30",Deals[[#This Row],[Age]]&lt;45,"30-44",TRUE,"45+")</f>
        <v>30-44</v>
      </c>
      <c r="Q199" s="21">
        <f>IF(Deals[[#This Row],[Status]]="Pending","",Deals[[#This Row],[DecisionDate]]-Deals[[#This Row],[ApplicationDate]])</f>
        <v>6</v>
      </c>
      <c r="R199" s="21">
        <f>IF(Deals[[#This Row],[Status]]="Approved",1,0)</f>
        <v>1</v>
      </c>
      <c r="S199" s="21">
        <f>IF(Deals[[#This Row],[IsApproved]]=1,Deals[[#This Row],[Amount]],0)</f>
        <v>13100</v>
      </c>
      <c r="T199" s="21">
        <f>Deals[[#This Row],[ApprovedAmount]]*Deals[[#This Row],[ProfitRate]]</f>
        <v>893.42</v>
      </c>
    </row>
    <row r="200" spans="1:20">
      <c r="A200" s="2" t="s">
        <v>446</v>
      </c>
      <c r="B200" s="3">
        <v>46070</v>
      </c>
      <c r="C200" s="2" t="s">
        <v>447</v>
      </c>
      <c r="D200" s="2" t="s">
        <v>25</v>
      </c>
      <c r="E200" s="2" t="s">
        <v>15</v>
      </c>
      <c r="F200" s="2" t="s">
        <v>55</v>
      </c>
      <c r="G200" s="4">
        <v>15200</v>
      </c>
      <c r="H200" s="5">
        <v>0.05</v>
      </c>
      <c r="I200" s="2">
        <v>12</v>
      </c>
      <c r="J200" s="2" t="s">
        <v>66</v>
      </c>
      <c r="K200" s="2" t="s">
        <v>17</v>
      </c>
      <c r="L200" s="3">
        <v>46072</v>
      </c>
      <c r="M200" s="2" t="str">
        <f>_xlfn.XLOOKUP(Deals[[#This Row],[CustomerID]],Customers!A:A,Customers!F:F)</f>
        <v>Affluent</v>
      </c>
      <c r="N200" s="2" t="str">
        <f>_xlfn.XLOOKUP(Deals[[#This Row],[CustomerID]],Customers!A:A,Customers!E:E)</f>
        <v>Kuwaiti</v>
      </c>
      <c r="O200" s="2">
        <f>2026-_xlfn.XLOOKUP(Deals[[#This Row],[CustomerID]],Customers!A:A,Customers!D:D)</f>
        <v>35</v>
      </c>
      <c r="P200" s="2" t="str" cm="1">
        <f t="array" ref="P200">_xlfn.IFS(Deals[[#This Row],[Age]]&lt;30,"Under 30",Deals[[#This Row],[Age]]&lt;45,"30-44",TRUE,"45+")</f>
        <v>30-44</v>
      </c>
      <c r="Q200" s="21">
        <f>IF(Deals[[#This Row],[Status]]="Pending","",Deals[[#This Row],[DecisionDate]]-Deals[[#This Row],[ApplicationDate]])</f>
        <v>2</v>
      </c>
      <c r="R200" s="21">
        <f>IF(Deals[[#This Row],[Status]]="Approved",1,0)</f>
        <v>1</v>
      </c>
      <c r="S200" s="21">
        <f>IF(Deals[[#This Row],[IsApproved]]=1,Deals[[#This Row],[Amount]],0)</f>
        <v>15200</v>
      </c>
      <c r="T200" s="21">
        <f>Deals[[#This Row],[ApprovedAmount]]*Deals[[#This Row],[ProfitRate]]</f>
        <v>760</v>
      </c>
    </row>
    <row r="201" spans="1:20">
      <c r="A201" s="2" t="s">
        <v>448</v>
      </c>
      <c r="B201" s="3">
        <v>46071</v>
      </c>
      <c r="C201" s="2" t="s">
        <v>449</v>
      </c>
      <c r="D201" s="2" t="s">
        <v>54</v>
      </c>
      <c r="E201" s="2" t="s">
        <v>43</v>
      </c>
      <c r="F201" s="2" t="s">
        <v>55</v>
      </c>
      <c r="G201" s="4">
        <v>33500</v>
      </c>
      <c r="H201" s="5">
        <v>6.4299999999999996E-2</v>
      </c>
      <c r="I201" s="2">
        <v>60</v>
      </c>
      <c r="J201" s="2" t="s">
        <v>186</v>
      </c>
      <c r="K201" s="2" t="s">
        <v>45</v>
      </c>
      <c r="L201" s="3">
        <v>46086</v>
      </c>
      <c r="M201" s="2" t="str">
        <f>_xlfn.XLOOKUP(Deals[[#This Row],[CustomerID]],Customers!A:A,Customers!F:F)</f>
        <v>Mass</v>
      </c>
      <c r="N201" s="2" t="str">
        <f>_xlfn.XLOOKUP(Deals[[#This Row],[CustomerID]],Customers!A:A,Customers!E:E)</f>
        <v>Kuwaiti</v>
      </c>
      <c r="O201" s="2">
        <f>2026-_xlfn.XLOOKUP(Deals[[#This Row],[CustomerID]],Customers!A:A,Customers!D:D)</f>
        <v>55</v>
      </c>
      <c r="P201" s="2" t="str" cm="1">
        <f t="array" ref="P201">_xlfn.IFS(Deals[[#This Row],[Age]]&lt;30,"Under 30",Deals[[#This Row],[Age]]&lt;45,"30-44",TRUE,"45+")</f>
        <v>45+</v>
      </c>
      <c r="Q201" s="21">
        <f>IF(Deals[[#This Row],[Status]]="Pending","",Deals[[#This Row],[DecisionDate]]-Deals[[#This Row],[ApplicationDate]])</f>
        <v>15</v>
      </c>
      <c r="R201" s="21">
        <f>IF(Deals[[#This Row],[Status]]="Approved",1,0)</f>
        <v>0</v>
      </c>
      <c r="S201" s="21">
        <f>IF(Deals[[#This Row],[IsApproved]]=1,Deals[[#This Row],[Amount]],0)</f>
        <v>0</v>
      </c>
      <c r="T201" s="21">
        <f>Deals[[#This Row],[ApprovedAmount]]*Deals[[#This Row],[ProfitRate]]</f>
        <v>0</v>
      </c>
    </row>
    <row r="202" spans="1:20">
      <c r="A202" s="2" t="s">
        <v>450</v>
      </c>
      <c r="B202" s="3">
        <v>46071</v>
      </c>
      <c r="C202" s="2" t="s">
        <v>451</v>
      </c>
      <c r="D202" s="2" t="s">
        <v>25</v>
      </c>
      <c r="E202" s="2" t="s">
        <v>21</v>
      </c>
      <c r="F202" s="2" t="s">
        <v>3</v>
      </c>
      <c r="G202" s="4">
        <v>111000</v>
      </c>
      <c r="H202" s="5">
        <v>3.7999999999999999E-2</v>
      </c>
      <c r="I202" s="2">
        <v>180</v>
      </c>
      <c r="J202" s="2" t="s">
        <v>26</v>
      </c>
      <c r="K202" s="2" t="s">
        <v>17</v>
      </c>
      <c r="L202" s="3">
        <v>46084</v>
      </c>
      <c r="M202" s="2" t="str">
        <f>_xlfn.XLOOKUP(Deals[[#This Row],[CustomerID]],Customers!A:A,Customers!F:F)</f>
        <v>Mass</v>
      </c>
      <c r="N202" s="2" t="str">
        <f>_xlfn.XLOOKUP(Deals[[#This Row],[CustomerID]],Customers!A:A,Customers!E:E)</f>
        <v>Non-Kuwaiti</v>
      </c>
      <c r="O202" s="2">
        <f>2026-_xlfn.XLOOKUP(Deals[[#This Row],[CustomerID]],Customers!A:A,Customers!D:D)</f>
        <v>33</v>
      </c>
      <c r="P202" s="2" t="str" cm="1">
        <f t="array" ref="P202">_xlfn.IFS(Deals[[#This Row],[Age]]&lt;30,"Under 30",Deals[[#This Row],[Age]]&lt;45,"30-44",TRUE,"45+")</f>
        <v>30-44</v>
      </c>
      <c r="Q202" s="21">
        <f>IF(Deals[[#This Row],[Status]]="Pending","",Deals[[#This Row],[DecisionDate]]-Deals[[#This Row],[ApplicationDate]])</f>
        <v>13</v>
      </c>
      <c r="R202" s="21">
        <f>IF(Deals[[#This Row],[Status]]="Approved",1,0)</f>
        <v>1</v>
      </c>
      <c r="S202" s="21">
        <f>IF(Deals[[#This Row],[IsApproved]]=1,Deals[[#This Row],[Amount]],0)</f>
        <v>111000</v>
      </c>
      <c r="T202" s="21">
        <f>Deals[[#This Row],[ApprovedAmount]]*Deals[[#This Row],[ProfitRate]]</f>
        <v>4218</v>
      </c>
    </row>
    <row r="203" spans="1:20">
      <c r="A203" s="2" t="s">
        <v>452</v>
      </c>
      <c r="B203" s="3">
        <v>46071</v>
      </c>
      <c r="C203" s="2" t="s">
        <v>453</v>
      </c>
      <c r="D203" s="2" t="s">
        <v>54</v>
      </c>
      <c r="E203" s="2" t="s">
        <v>30</v>
      </c>
      <c r="F203" s="2" t="s">
        <v>3</v>
      </c>
      <c r="G203" s="4">
        <v>7600</v>
      </c>
      <c r="H203" s="5">
        <v>3.8300000000000001E-2</v>
      </c>
      <c r="I203" s="2">
        <v>36</v>
      </c>
      <c r="J203" s="2" t="s">
        <v>186</v>
      </c>
      <c r="K203" s="2" t="s">
        <v>17</v>
      </c>
      <c r="L203" s="3">
        <v>46073</v>
      </c>
      <c r="M203" s="2" t="str">
        <f>_xlfn.XLOOKUP(Deals[[#This Row],[CustomerID]],Customers!A:A,Customers!F:F)</f>
        <v>Mass</v>
      </c>
      <c r="N203" s="2" t="str">
        <f>_xlfn.XLOOKUP(Deals[[#This Row],[CustomerID]],Customers!A:A,Customers!E:E)</f>
        <v>Kuwaiti</v>
      </c>
      <c r="O203" s="2">
        <f>2026-_xlfn.XLOOKUP(Deals[[#This Row],[CustomerID]],Customers!A:A,Customers!D:D)</f>
        <v>56</v>
      </c>
      <c r="P203" s="2" t="str" cm="1">
        <f t="array" ref="P203">_xlfn.IFS(Deals[[#This Row],[Age]]&lt;30,"Under 30",Deals[[#This Row],[Age]]&lt;45,"30-44",TRUE,"45+")</f>
        <v>45+</v>
      </c>
      <c r="Q203" s="21">
        <f>IF(Deals[[#This Row],[Status]]="Pending","",Deals[[#This Row],[DecisionDate]]-Deals[[#This Row],[ApplicationDate]])</f>
        <v>2</v>
      </c>
      <c r="R203" s="21">
        <f>IF(Deals[[#This Row],[Status]]="Approved",1,0)</f>
        <v>1</v>
      </c>
      <c r="S203" s="21">
        <f>IF(Deals[[#This Row],[IsApproved]]=1,Deals[[#This Row],[Amount]],0)</f>
        <v>7600</v>
      </c>
      <c r="T203" s="21">
        <f>Deals[[#This Row],[ApprovedAmount]]*Deals[[#This Row],[ProfitRate]]</f>
        <v>291.08</v>
      </c>
    </row>
    <row r="204" spans="1:20">
      <c r="A204" s="2" t="s">
        <v>454</v>
      </c>
      <c r="B204" s="3">
        <v>46071</v>
      </c>
      <c r="C204" s="2" t="s">
        <v>272</v>
      </c>
      <c r="D204" s="2" t="s">
        <v>25</v>
      </c>
      <c r="E204" s="2" t="s">
        <v>30</v>
      </c>
      <c r="F204" s="2" t="s">
        <v>55</v>
      </c>
      <c r="G204" s="4">
        <v>22300</v>
      </c>
      <c r="H204" s="5">
        <v>4.2599999999999999E-2</v>
      </c>
      <c r="I204" s="2">
        <v>36</v>
      </c>
      <c r="J204" s="2" t="s">
        <v>26</v>
      </c>
      <c r="K204" s="2" t="s">
        <v>17</v>
      </c>
      <c r="L204" s="3">
        <v>46074</v>
      </c>
      <c r="M204" s="2" t="str">
        <f>_xlfn.XLOOKUP(Deals[[#This Row],[CustomerID]],Customers!A:A,Customers!F:F)</f>
        <v>Premium</v>
      </c>
      <c r="N204" s="2" t="str">
        <f>_xlfn.XLOOKUP(Deals[[#This Row],[CustomerID]],Customers!A:A,Customers!E:E)</f>
        <v>Kuwaiti</v>
      </c>
      <c r="O204" s="2">
        <f>2026-_xlfn.XLOOKUP(Deals[[#This Row],[CustomerID]],Customers!A:A,Customers!D:D)</f>
        <v>46</v>
      </c>
      <c r="P204" s="2" t="str" cm="1">
        <f t="array" ref="P204">_xlfn.IFS(Deals[[#This Row],[Age]]&lt;30,"Under 30",Deals[[#This Row],[Age]]&lt;45,"30-44",TRUE,"45+")</f>
        <v>45+</v>
      </c>
      <c r="Q204" s="21">
        <f>IF(Deals[[#This Row],[Status]]="Pending","",Deals[[#This Row],[DecisionDate]]-Deals[[#This Row],[ApplicationDate]])</f>
        <v>3</v>
      </c>
      <c r="R204" s="21">
        <f>IF(Deals[[#This Row],[Status]]="Approved",1,0)</f>
        <v>1</v>
      </c>
      <c r="S204" s="21">
        <f>IF(Deals[[#This Row],[IsApproved]]=1,Deals[[#This Row],[Amount]],0)</f>
        <v>22300</v>
      </c>
      <c r="T204" s="21">
        <f>Deals[[#This Row],[ApprovedAmount]]*Deals[[#This Row],[ProfitRate]]</f>
        <v>949.98</v>
      </c>
    </row>
    <row r="205" spans="1:20">
      <c r="A205" s="2" t="s">
        <v>455</v>
      </c>
      <c r="B205" s="3">
        <v>46071</v>
      </c>
      <c r="C205" s="2" t="s">
        <v>456</v>
      </c>
      <c r="D205" s="2" t="s">
        <v>14</v>
      </c>
      <c r="E205" s="2" t="s">
        <v>15</v>
      </c>
      <c r="F205" s="2" t="s">
        <v>31</v>
      </c>
      <c r="G205" s="4">
        <v>25000</v>
      </c>
      <c r="H205" s="5">
        <v>6.6500000000000004E-2</v>
      </c>
      <c r="I205" s="2">
        <v>24</v>
      </c>
      <c r="J205" s="2" t="s">
        <v>48</v>
      </c>
      <c r="K205" s="2" t="s">
        <v>45</v>
      </c>
      <c r="L205" s="3">
        <v>46074</v>
      </c>
      <c r="M205" s="2" t="str">
        <f>_xlfn.XLOOKUP(Deals[[#This Row],[CustomerID]],Customers!A:A,Customers!F:F)</f>
        <v>Affluent</v>
      </c>
      <c r="N205" s="2" t="str">
        <f>_xlfn.XLOOKUP(Deals[[#This Row],[CustomerID]],Customers!A:A,Customers!E:E)</f>
        <v>Non-Kuwaiti</v>
      </c>
      <c r="O205" s="2">
        <f>2026-_xlfn.XLOOKUP(Deals[[#This Row],[CustomerID]],Customers!A:A,Customers!D:D)</f>
        <v>42</v>
      </c>
      <c r="P205" s="2" t="str" cm="1">
        <f t="array" ref="P205">_xlfn.IFS(Deals[[#This Row],[Age]]&lt;30,"Under 30",Deals[[#This Row],[Age]]&lt;45,"30-44",TRUE,"45+")</f>
        <v>30-44</v>
      </c>
      <c r="Q205" s="21">
        <f>IF(Deals[[#This Row],[Status]]="Pending","",Deals[[#This Row],[DecisionDate]]-Deals[[#This Row],[ApplicationDate]])</f>
        <v>3</v>
      </c>
      <c r="R205" s="21">
        <f>IF(Deals[[#This Row],[Status]]="Approved",1,0)</f>
        <v>0</v>
      </c>
      <c r="S205" s="21">
        <f>IF(Deals[[#This Row],[IsApproved]]=1,Deals[[#This Row],[Amount]],0)</f>
        <v>0</v>
      </c>
      <c r="T205" s="21">
        <f>Deals[[#This Row],[ApprovedAmount]]*Deals[[#This Row],[ProfitRate]]</f>
        <v>0</v>
      </c>
    </row>
    <row r="206" spans="1:20">
      <c r="A206" s="2" t="s">
        <v>457</v>
      </c>
      <c r="B206" s="3">
        <v>46071</v>
      </c>
      <c r="C206" s="2" t="s">
        <v>458</v>
      </c>
      <c r="D206" s="2" t="s">
        <v>20</v>
      </c>
      <c r="E206" s="2" t="s">
        <v>30</v>
      </c>
      <c r="F206" s="2" t="s">
        <v>3</v>
      </c>
      <c r="G206" s="4">
        <v>14500</v>
      </c>
      <c r="H206" s="5">
        <v>3.9199999999999999E-2</v>
      </c>
      <c r="I206" s="2">
        <v>36</v>
      </c>
      <c r="J206" s="2" t="s">
        <v>37</v>
      </c>
      <c r="K206" s="2" t="s">
        <v>17</v>
      </c>
      <c r="L206" s="3">
        <v>46075</v>
      </c>
      <c r="M206" s="2" t="str">
        <f>_xlfn.XLOOKUP(Deals[[#This Row],[CustomerID]],Customers!A:A,Customers!F:F)</f>
        <v>Mass</v>
      </c>
      <c r="N206" s="2" t="str">
        <f>_xlfn.XLOOKUP(Deals[[#This Row],[CustomerID]],Customers!A:A,Customers!E:E)</f>
        <v>Non-Kuwaiti</v>
      </c>
      <c r="O206" s="2">
        <f>2026-_xlfn.XLOOKUP(Deals[[#This Row],[CustomerID]],Customers!A:A,Customers!D:D)</f>
        <v>56</v>
      </c>
      <c r="P206" s="2" t="str" cm="1">
        <f t="array" ref="P206">_xlfn.IFS(Deals[[#This Row],[Age]]&lt;30,"Under 30",Deals[[#This Row],[Age]]&lt;45,"30-44",TRUE,"45+")</f>
        <v>45+</v>
      </c>
      <c r="Q206" s="21">
        <f>IF(Deals[[#This Row],[Status]]="Pending","",Deals[[#This Row],[DecisionDate]]-Deals[[#This Row],[ApplicationDate]])</f>
        <v>4</v>
      </c>
      <c r="R206" s="21">
        <f>IF(Deals[[#This Row],[Status]]="Approved",1,0)</f>
        <v>1</v>
      </c>
      <c r="S206" s="21">
        <f>IF(Deals[[#This Row],[IsApproved]]=1,Deals[[#This Row],[Amount]],0)</f>
        <v>14500</v>
      </c>
      <c r="T206" s="21">
        <f>Deals[[#This Row],[ApprovedAmount]]*Deals[[#This Row],[ProfitRate]]</f>
        <v>568.4</v>
      </c>
    </row>
    <row r="207" spans="1:20">
      <c r="A207" s="2" t="s">
        <v>459</v>
      </c>
      <c r="B207" s="3">
        <v>46071</v>
      </c>
      <c r="C207" s="2" t="s">
        <v>460</v>
      </c>
      <c r="D207" s="2" t="s">
        <v>25</v>
      </c>
      <c r="E207" s="2" t="s">
        <v>30</v>
      </c>
      <c r="F207" s="2" t="s">
        <v>3</v>
      </c>
      <c r="G207" s="4">
        <v>9100</v>
      </c>
      <c r="H207" s="5">
        <v>4.5699999999999998E-2</v>
      </c>
      <c r="I207" s="2">
        <v>48</v>
      </c>
      <c r="J207" s="2" t="s">
        <v>26</v>
      </c>
      <c r="K207" s="2" t="s">
        <v>17</v>
      </c>
      <c r="L207" s="3">
        <v>46076</v>
      </c>
      <c r="M207" s="2" t="str">
        <f>_xlfn.XLOOKUP(Deals[[#This Row],[CustomerID]],Customers!A:A,Customers!F:F)</f>
        <v>Mass</v>
      </c>
      <c r="N207" s="2" t="str">
        <f>_xlfn.XLOOKUP(Deals[[#This Row],[CustomerID]],Customers!A:A,Customers!E:E)</f>
        <v>Kuwaiti</v>
      </c>
      <c r="O207" s="2">
        <f>2026-_xlfn.XLOOKUP(Deals[[#This Row],[CustomerID]],Customers!A:A,Customers!D:D)</f>
        <v>29</v>
      </c>
      <c r="P207" s="2" t="str" cm="1">
        <f t="array" ref="P207">_xlfn.IFS(Deals[[#This Row],[Age]]&lt;30,"Under 30",Deals[[#This Row],[Age]]&lt;45,"30-44",TRUE,"45+")</f>
        <v>Under 30</v>
      </c>
      <c r="Q207" s="21">
        <f>IF(Deals[[#This Row],[Status]]="Pending","",Deals[[#This Row],[DecisionDate]]-Deals[[#This Row],[ApplicationDate]])</f>
        <v>5</v>
      </c>
      <c r="R207" s="21">
        <f>IF(Deals[[#This Row],[Status]]="Approved",1,0)</f>
        <v>1</v>
      </c>
      <c r="S207" s="21">
        <f>IF(Deals[[#This Row],[IsApproved]]=1,Deals[[#This Row],[Amount]],0)</f>
        <v>9100</v>
      </c>
      <c r="T207" s="21">
        <f>Deals[[#This Row],[ApprovedAmount]]*Deals[[#This Row],[ProfitRate]]</f>
        <v>415.87</v>
      </c>
    </row>
    <row r="208" spans="1:20">
      <c r="A208" s="2" t="s">
        <v>461</v>
      </c>
      <c r="B208" s="3">
        <v>46072</v>
      </c>
      <c r="C208" s="2" t="s">
        <v>462</v>
      </c>
      <c r="D208" s="2" t="s">
        <v>14</v>
      </c>
      <c r="E208" s="2" t="s">
        <v>30</v>
      </c>
      <c r="F208" s="2" t="s">
        <v>3</v>
      </c>
      <c r="G208" s="4">
        <v>11600</v>
      </c>
      <c r="H208" s="5">
        <v>3.6600000000000001E-2</v>
      </c>
      <c r="I208" s="2">
        <v>60</v>
      </c>
      <c r="J208" s="2" t="s">
        <v>16</v>
      </c>
      <c r="K208" s="2" t="s">
        <v>17</v>
      </c>
      <c r="L208" s="3">
        <v>46076</v>
      </c>
      <c r="M208" s="2" t="str">
        <f>_xlfn.XLOOKUP(Deals[[#This Row],[CustomerID]],Customers!A:A,Customers!F:F)</f>
        <v>Mass</v>
      </c>
      <c r="N208" s="2" t="str">
        <f>_xlfn.XLOOKUP(Deals[[#This Row],[CustomerID]],Customers!A:A,Customers!E:E)</f>
        <v>Non-Kuwaiti</v>
      </c>
      <c r="O208" s="2">
        <f>2026-_xlfn.XLOOKUP(Deals[[#This Row],[CustomerID]],Customers!A:A,Customers!D:D)</f>
        <v>61</v>
      </c>
      <c r="P208" s="2" t="str" cm="1">
        <f t="array" ref="P208">_xlfn.IFS(Deals[[#This Row],[Age]]&lt;30,"Under 30",Deals[[#This Row],[Age]]&lt;45,"30-44",TRUE,"45+")</f>
        <v>45+</v>
      </c>
      <c r="Q208" s="21">
        <f>IF(Deals[[#This Row],[Status]]="Pending","",Deals[[#This Row],[DecisionDate]]-Deals[[#This Row],[ApplicationDate]])</f>
        <v>4</v>
      </c>
      <c r="R208" s="21">
        <f>IF(Deals[[#This Row],[Status]]="Approved",1,0)</f>
        <v>1</v>
      </c>
      <c r="S208" s="21">
        <f>IF(Deals[[#This Row],[IsApproved]]=1,Deals[[#This Row],[Amount]],0)</f>
        <v>11600</v>
      </c>
      <c r="T208" s="21">
        <f>Deals[[#This Row],[ApprovedAmount]]*Deals[[#This Row],[ProfitRate]]</f>
        <v>424.56</v>
      </c>
    </row>
    <row r="209" spans="1:20">
      <c r="A209" s="2" t="s">
        <v>463</v>
      </c>
      <c r="B209" s="3">
        <v>46072</v>
      </c>
      <c r="C209" s="2" t="s">
        <v>464</v>
      </c>
      <c r="D209" s="2" t="s">
        <v>14</v>
      </c>
      <c r="E209" s="2" t="s">
        <v>43</v>
      </c>
      <c r="F209" s="2" t="s">
        <v>31</v>
      </c>
      <c r="G209" s="4">
        <v>58900</v>
      </c>
      <c r="H209" s="5">
        <v>6.9699999999999998E-2</v>
      </c>
      <c r="I209" s="2">
        <v>60</v>
      </c>
      <c r="J209" s="2" t="s">
        <v>48</v>
      </c>
      <c r="K209" s="2" t="s">
        <v>45</v>
      </c>
      <c r="L209" s="3">
        <v>46083</v>
      </c>
      <c r="M209" s="2" t="str">
        <f>_xlfn.XLOOKUP(Deals[[#This Row],[CustomerID]],Customers!A:A,Customers!F:F)</f>
        <v>Affluent</v>
      </c>
      <c r="N209" s="2" t="str">
        <f>_xlfn.XLOOKUP(Deals[[#This Row],[CustomerID]],Customers!A:A,Customers!E:E)</f>
        <v>Non-Kuwaiti</v>
      </c>
      <c r="O209" s="2">
        <f>2026-_xlfn.XLOOKUP(Deals[[#This Row],[CustomerID]],Customers!A:A,Customers!D:D)</f>
        <v>50</v>
      </c>
      <c r="P209" s="2" t="str" cm="1">
        <f t="array" ref="P209">_xlfn.IFS(Deals[[#This Row],[Age]]&lt;30,"Under 30",Deals[[#This Row],[Age]]&lt;45,"30-44",TRUE,"45+")</f>
        <v>45+</v>
      </c>
      <c r="Q209" s="21">
        <f>IF(Deals[[#This Row],[Status]]="Pending","",Deals[[#This Row],[DecisionDate]]-Deals[[#This Row],[ApplicationDate]])</f>
        <v>11</v>
      </c>
      <c r="R209" s="21">
        <f>IF(Deals[[#This Row],[Status]]="Approved",1,0)</f>
        <v>0</v>
      </c>
      <c r="S209" s="21">
        <f>IF(Deals[[#This Row],[IsApproved]]=1,Deals[[#This Row],[Amount]],0)</f>
        <v>0</v>
      </c>
      <c r="T209" s="21">
        <f>Deals[[#This Row],[ApprovedAmount]]*Deals[[#This Row],[ProfitRate]]</f>
        <v>0</v>
      </c>
    </row>
    <row r="210" spans="1:20">
      <c r="A210" s="2" t="s">
        <v>465</v>
      </c>
      <c r="B210" s="3">
        <v>46072</v>
      </c>
      <c r="C210" s="2" t="s">
        <v>204</v>
      </c>
      <c r="D210" s="2" t="s">
        <v>25</v>
      </c>
      <c r="E210" s="2" t="s">
        <v>30</v>
      </c>
      <c r="F210" s="2" t="s">
        <v>3</v>
      </c>
      <c r="G210" s="4">
        <v>8300</v>
      </c>
      <c r="H210" s="5">
        <v>3.6700000000000003E-2</v>
      </c>
      <c r="I210" s="2">
        <v>48</v>
      </c>
      <c r="J210" s="2" t="s">
        <v>26</v>
      </c>
      <c r="K210" s="2" t="s">
        <v>17</v>
      </c>
      <c r="L210" s="3">
        <v>46076</v>
      </c>
      <c r="M210" s="2" t="str">
        <f>_xlfn.XLOOKUP(Deals[[#This Row],[CustomerID]],Customers!A:A,Customers!F:F)</f>
        <v>Affluent</v>
      </c>
      <c r="N210" s="2" t="str">
        <f>_xlfn.XLOOKUP(Deals[[#This Row],[CustomerID]],Customers!A:A,Customers!E:E)</f>
        <v>Kuwaiti</v>
      </c>
      <c r="O210" s="2">
        <f>2026-_xlfn.XLOOKUP(Deals[[#This Row],[CustomerID]],Customers!A:A,Customers!D:D)</f>
        <v>44</v>
      </c>
      <c r="P210" s="2" t="str" cm="1">
        <f t="array" ref="P210">_xlfn.IFS(Deals[[#This Row],[Age]]&lt;30,"Under 30",Deals[[#This Row],[Age]]&lt;45,"30-44",TRUE,"45+")</f>
        <v>30-44</v>
      </c>
      <c r="Q210" s="21">
        <f>IF(Deals[[#This Row],[Status]]="Pending","",Deals[[#This Row],[DecisionDate]]-Deals[[#This Row],[ApplicationDate]])</f>
        <v>4</v>
      </c>
      <c r="R210" s="21">
        <f>IF(Deals[[#This Row],[Status]]="Approved",1,0)</f>
        <v>1</v>
      </c>
      <c r="S210" s="21">
        <f>IF(Deals[[#This Row],[IsApproved]]=1,Deals[[#This Row],[Amount]],0)</f>
        <v>8300</v>
      </c>
      <c r="T210" s="21">
        <f>Deals[[#This Row],[ApprovedAmount]]*Deals[[#This Row],[ProfitRate]]</f>
        <v>304.61</v>
      </c>
    </row>
    <row r="211" spans="1:20">
      <c r="A211" s="2" t="s">
        <v>466</v>
      </c>
      <c r="B211" s="3">
        <v>46073</v>
      </c>
      <c r="C211" s="2" t="s">
        <v>342</v>
      </c>
      <c r="D211" s="2" t="s">
        <v>29</v>
      </c>
      <c r="E211" s="2" t="s">
        <v>43</v>
      </c>
      <c r="F211" s="2" t="s">
        <v>3</v>
      </c>
      <c r="G211" s="4">
        <v>135300</v>
      </c>
      <c r="H211" s="5">
        <v>6.8900000000000003E-2</v>
      </c>
      <c r="I211" s="2">
        <v>24</v>
      </c>
      <c r="J211" s="2" t="s">
        <v>123</v>
      </c>
      <c r="K211" s="2" t="s">
        <v>45</v>
      </c>
      <c r="L211" s="3">
        <v>46093</v>
      </c>
      <c r="M211" s="2" t="str">
        <f>_xlfn.XLOOKUP(Deals[[#This Row],[CustomerID]],Customers!A:A,Customers!F:F)</f>
        <v>Affluent</v>
      </c>
      <c r="N211" s="2" t="str">
        <f>_xlfn.XLOOKUP(Deals[[#This Row],[CustomerID]],Customers!A:A,Customers!E:E)</f>
        <v>Non-Kuwaiti</v>
      </c>
      <c r="O211" s="2">
        <f>2026-_xlfn.XLOOKUP(Deals[[#This Row],[CustomerID]],Customers!A:A,Customers!D:D)</f>
        <v>59</v>
      </c>
      <c r="P211" s="2" t="str" cm="1">
        <f t="array" ref="P211">_xlfn.IFS(Deals[[#This Row],[Age]]&lt;30,"Under 30",Deals[[#This Row],[Age]]&lt;45,"30-44",TRUE,"45+")</f>
        <v>45+</v>
      </c>
      <c r="Q211" s="21">
        <f>IF(Deals[[#This Row],[Status]]="Pending","",Deals[[#This Row],[DecisionDate]]-Deals[[#This Row],[ApplicationDate]])</f>
        <v>20</v>
      </c>
      <c r="R211" s="21">
        <f>IF(Deals[[#This Row],[Status]]="Approved",1,0)</f>
        <v>0</v>
      </c>
      <c r="S211" s="21">
        <f>IF(Deals[[#This Row],[IsApproved]]=1,Deals[[#This Row],[Amount]],0)</f>
        <v>0</v>
      </c>
      <c r="T211" s="21">
        <f>Deals[[#This Row],[ApprovedAmount]]*Deals[[#This Row],[ProfitRate]]</f>
        <v>0</v>
      </c>
    </row>
    <row r="212" spans="1:20">
      <c r="A212" s="2" t="s">
        <v>467</v>
      </c>
      <c r="B212" s="3">
        <v>46073</v>
      </c>
      <c r="C212" s="2" t="s">
        <v>468</v>
      </c>
      <c r="D212" s="2" t="s">
        <v>25</v>
      </c>
      <c r="E212" s="2" t="s">
        <v>15</v>
      </c>
      <c r="F212" s="2" t="s">
        <v>3</v>
      </c>
      <c r="G212" s="4">
        <v>25000</v>
      </c>
      <c r="H212" s="5">
        <v>6.2199999999999998E-2</v>
      </c>
      <c r="I212" s="2">
        <v>48</v>
      </c>
      <c r="J212" s="2" t="s">
        <v>181</v>
      </c>
      <c r="K212" s="2" t="s">
        <v>17</v>
      </c>
      <c r="L212" s="3">
        <v>46075</v>
      </c>
      <c r="M212" s="2" t="str">
        <f>_xlfn.XLOOKUP(Deals[[#This Row],[CustomerID]],Customers!A:A,Customers!F:F)</f>
        <v>Premium</v>
      </c>
      <c r="N212" s="2" t="str">
        <f>_xlfn.XLOOKUP(Deals[[#This Row],[CustomerID]],Customers!A:A,Customers!E:E)</f>
        <v>Kuwaiti</v>
      </c>
      <c r="O212" s="2">
        <f>2026-_xlfn.XLOOKUP(Deals[[#This Row],[CustomerID]],Customers!A:A,Customers!D:D)</f>
        <v>51</v>
      </c>
      <c r="P212" s="2" t="str" cm="1">
        <f t="array" ref="P212">_xlfn.IFS(Deals[[#This Row],[Age]]&lt;30,"Under 30",Deals[[#This Row],[Age]]&lt;45,"30-44",TRUE,"45+")</f>
        <v>45+</v>
      </c>
      <c r="Q212" s="21">
        <f>IF(Deals[[#This Row],[Status]]="Pending","",Deals[[#This Row],[DecisionDate]]-Deals[[#This Row],[ApplicationDate]])</f>
        <v>2</v>
      </c>
      <c r="R212" s="21">
        <f>IF(Deals[[#This Row],[Status]]="Approved",1,0)</f>
        <v>1</v>
      </c>
      <c r="S212" s="21">
        <f>IF(Deals[[#This Row],[IsApproved]]=1,Deals[[#This Row],[Amount]],0)</f>
        <v>25000</v>
      </c>
      <c r="T212" s="21">
        <f>Deals[[#This Row],[ApprovedAmount]]*Deals[[#This Row],[ProfitRate]]</f>
        <v>1555</v>
      </c>
    </row>
    <row r="213" spans="1:20">
      <c r="A213" s="2" t="s">
        <v>469</v>
      </c>
      <c r="B213" s="3">
        <v>46073</v>
      </c>
      <c r="C213" s="2" t="s">
        <v>53</v>
      </c>
      <c r="D213" s="2" t="s">
        <v>14</v>
      </c>
      <c r="E213" s="2" t="s">
        <v>15</v>
      </c>
      <c r="F213" s="2" t="s">
        <v>3</v>
      </c>
      <c r="G213" s="4">
        <v>25000</v>
      </c>
      <c r="H213" s="5">
        <v>5.6800000000000003E-2</v>
      </c>
      <c r="I213" s="2">
        <v>48</v>
      </c>
      <c r="J213" s="2" t="s">
        <v>40</v>
      </c>
      <c r="K213" s="2" t="s">
        <v>17</v>
      </c>
      <c r="L213" s="3">
        <v>46075</v>
      </c>
      <c r="M213" s="2" t="str">
        <f>_xlfn.XLOOKUP(Deals[[#This Row],[CustomerID]],Customers!A:A,Customers!F:F)</f>
        <v>Premium</v>
      </c>
      <c r="N213" s="2" t="str">
        <f>_xlfn.XLOOKUP(Deals[[#This Row],[CustomerID]],Customers!A:A,Customers!E:E)</f>
        <v>Kuwaiti</v>
      </c>
      <c r="O213" s="2">
        <f>2026-_xlfn.XLOOKUP(Deals[[#This Row],[CustomerID]],Customers!A:A,Customers!D:D)</f>
        <v>23</v>
      </c>
      <c r="P213" s="2" t="str" cm="1">
        <f t="array" ref="P213">_xlfn.IFS(Deals[[#This Row],[Age]]&lt;30,"Under 30",Deals[[#This Row],[Age]]&lt;45,"30-44",TRUE,"45+")</f>
        <v>Under 30</v>
      </c>
      <c r="Q213" s="21">
        <f>IF(Deals[[#This Row],[Status]]="Pending","",Deals[[#This Row],[DecisionDate]]-Deals[[#This Row],[ApplicationDate]])</f>
        <v>2</v>
      </c>
      <c r="R213" s="21">
        <f>IF(Deals[[#This Row],[Status]]="Approved",1,0)</f>
        <v>1</v>
      </c>
      <c r="S213" s="21">
        <f>IF(Deals[[#This Row],[IsApproved]]=1,Deals[[#This Row],[Amount]],0)</f>
        <v>25000</v>
      </c>
      <c r="T213" s="21">
        <f>Deals[[#This Row],[ApprovedAmount]]*Deals[[#This Row],[ProfitRate]]</f>
        <v>1420</v>
      </c>
    </row>
    <row r="214" spans="1:20">
      <c r="A214" s="2" t="s">
        <v>470</v>
      </c>
      <c r="B214" s="3">
        <v>46073</v>
      </c>
      <c r="C214" s="2" t="s">
        <v>471</v>
      </c>
      <c r="D214" s="2" t="s">
        <v>29</v>
      </c>
      <c r="E214" s="2" t="s">
        <v>30</v>
      </c>
      <c r="F214" s="2" t="s">
        <v>3</v>
      </c>
      <c r="G214" s="4">
        <v>6000</v>
      </c>
      <c r="H214" s="5">
        <v>3.8300000000000001E-2</v>
      </c>
      <c r="I214" s="2">
        <v>60</v>
      </c>
      <c r="J214" s="2" t="s">
        <v>61</v>
      </c>
      <c r="K214" s="2" t="s">
        <v>17</v>
      </c>
      <c r="L214" s="3">
        <v>46074</v>
      </c>
      <c r="M214" s="2" t="str">
        <f>_xlfn.XLOOKUP(Deals[[#This Row],[CustomerID]],Customers!A:A,Customers!F:F)</f>
        <v>Affluent</v>
      </c>
      <c r="N214" s="2" t="str">
        <f>_xlfn.XLOOKUP(Deals[[#This Row],[CustomerID]],Customers!A:A,Customers!E:E)</f>
        <v>Kuwaiti</v>
      </c>
      <c r="O214" s="2">
        <f>2026-_xlfn.XLOOKUP(Deals[[#This Row],[CustomerID]],Customers!A:A,Customers!D:D)</f>
        <v>23</v>
      </c>
      <c r="P214" s="2" t="str" cm="1">
        <f t="array" ref="P214">_xlfn.IFS(Deals[[#This Row],[Age]]&lt;30,"Under 30",Deals[[#This Row],[Age]]&lt;45,"30-44",TRUE,"45+")</f>
        <v>Under 30</v>
      </c>
      <c r="Q214" s="21">
        <f>IF(Deals[[#This Row],[Status]]="Pending","",Deals[[#This Row],[DecisionDate]]-Deals[[#This Row],[ApplicationDate]])</f>
        <v>1</v>
      </c>
      <c r="R214" s="21">
        <f>IF(Deals[[#This Row],[Status]]="Approved",1,0)</f>
        <v>1</v>
      </c>
      <c r="S214" s="21">
        <f>IF(Deals[[#This Row],[IsApproved]]=1,Deals[[#This Row],[Amount]],0)</f>
        <v>6000</v>
      </c>
      <c r="T214" s="21">
        <f>Deals[[#This Row],[ApprovedAmount]]*Deals[[#This Row],[ProfitRate]]</f>
        <v>229.8</v>
      </c>
    </row>
    <row r="215" spans="1:20">
      <c r="A215" s="2" t="s">
        <v>472</v>
      </c>
      <c r="B215" s="3">
        <v>46073</v>
      </c>
      <c r="C215" s="2" t="s">
        <v>473</v>
      </c>
      <c r="D215" s="2" t="s">
        <v>20</v>
      </c>
      <c r="E215" s="2" t="s">
        <v>15</v>
      </c>
      <c r="F215" s="2" t="s">
        <v>3</v>
      </c>
      <c r="G215" s="4">
        <v>7300</v>
      </c>
      <c r="H215" s="5">
        <v>5.1799999999999999E-2</v>
      </c>
      <c r="I215" s="2">
        <v>12</v>
      </c>
      <c r="J215" s="2" t="s">
        <v>37</v>
      </c>
      <c r="K215" s="2" t="s">
        <v>17</v>
      </c>
      <c r="L215" s="3">
        <v>46080</v>
      </c>
      <c r="M215" s="2" t="str">
        <f>_xlfn.XLOOKUP(Deals[[#This Row],[CustomerID]],Customers!A:A,Customers!F:F)</f>
        <v>Mass</v>
      </c>
      <c r="N215" s="2" t="str">
        <f>_xlfn.XLOOKUP(Deals[[#This Row],[CustomerID]],Customers!A:A,Customers!E:E)</f>
        <v>Kuwaiti</v>
      </c>
      <c r="O215" s="2">
        <f>2026-_xlfn.XLOOKUP(Deals[[#This Row],[CustomerID]],Customers!A:A,Customers!D:D)</f>
        <v>38</v>
      </c>
      <c r="P215" s="2" t="str" cm="1">
        <f t="array" ref="P215">_xlfn.IFS(Deals[[#This Row],[Age]]&lt;30,"Under 30",Deals[[#This Row],[Age]]&lt;45,"30-44",TRUE,"45+")</f>
        <v>30-44</v>
      </c>
      <c r="Q215" s="21">
        <f>IF(Deals[[#This Row],[Status]]="Pending","",Deals[[#This Row],[DecisionDate]]-Deals[[#This Row],[ApplicationDate]])</f>
        <v>7</v>
      </c>
      <c r="R215" s="21">
        <f>IF(Deals[[#This Row],[Status]]="Approved",1,0)</f>
        <v>1</v>
      </c>
      <c r="S215" s="21">
        <f>IF(Deals[[#This Row],[IsApproved]]=1,Deals[[#This Row],[Amount]],0)</f>
        <v>7300</v>
      </c>
      <c r="T215" s="21">
        <f>Deals[[#This Row],[ApprovedAmount]]*Deals[[#This Row],[ProfitRate]]</f>
        <v>378.14</v>
      </c>
    </row>
    <row r="216" spans="1:20">
      <c r="A216" s="2" t="s">
        <v>474</v>
      </c>
      <c r="B216" s="3">
        <v>46073</v>
      </c>
      <c r="C216" s="2" t="s">
        <v>475</v>
      </c>
      <c r="D216" s="2" t="s">
        <v>20</v>
      </c>
      <c r="E216" s="2" t="s">
        <v>43</v>
      </c>
      <c r="F216" s="2" t="s">
        <v>3</v>
      </c>
      <c r="G216" s="4">
        <v>33600</v>
      </c>
      <c r="H216" s="5">
        <v>6.4000000000000001E-2</v>
      </c>
      <c r="I216" s="2">
        <v>24</v>
      </c>
      <c r="J216" s="2" t="s">
        <v>44</v>
      </c>
      <c r="K216" s="2" t="s">
        <v>17</v>
      </c>
      <c r="L216" s="3">
        <v>46088</v>
      </c>
      <c r="M216" s="2" t="str">
        <f>_xlfn.XLOOKUP(Deals[[#This Row],[CustomerID]],Customers!A:A,Customers!F:F)</f>
        <v>Mass</v>
      </c>
      <c r="N216" s="2" t="str">
        <f>_xlfn.XLOOKUP(Deals[[#This Row],[CustomerID]],Customers!A:A,Customers!E:E)</f>
        <v>Kuwaiti</v>
      </c>
      <c r="O216" s="2">
        <f>2026-_xlfn.XLOOKUP(Deals[[#This Row],[CustomerID]],Customers!A:A,Customers!D:D)</f>
        <v>26</v>
      </c>
      <c r="P216" s="2" t="str" cm="1">
        <f t="array" ref="P216">_xlfn.IFS(Deals[[#This Row],[Age]]&lt;30,"Under 30",Deals[[#This Row],[Age]]&lt;45,"30-44",TRUE,"45+")</f>
        <v>Under 30</v>
      </c>
      <c r="Q216" s="21">
        <f>IF(Deals[[#This Row],[Status]]="Pending","",Deals[[#This Row],[DecisionDate]]-Deals[[#This Row],[ApplicationDate]])</f>
        <v>15</v>
      </c>
      <c r="R216" s="21">
        <f>IF(Deals[[#This Row],[Status]]="Approved",1,0)</f>
        <v>1</v>
      </c>
      <c r="S216" s="21">
        <f>IF(Deals[[#This Row],[IsApproved]]=1,Deals[[#This Row],[Amount]],0)</f>
        <v>33600</v>
      </c>
      <c r="T216" s="21">
        <f>Deals[[#This Row],[ApprovedAmount]]*Deals[[#This Row],[ProfitRate]]</f>
        <v>2150.4</v>
      </c>
    </row>
    <row r="217" spans="1:20">
      <c r="A217" s="2" t="s">
        <v>476</v>
      </c>
      <c r="B217" s="3">
        <v>46074</v>
      </c>
      <c r="C217" s="2" t="s">
        <v>477</v>
      </c>
      <c r="D217" s="2" t="s">
        <v>71</v>
      </c>
      <c r="E217" s="2" t="s">
        <v>21</v>
      </c>
      <c r="F217" s="2" t="s">
        <v>3</v>
      </c>
      <c r="G217" s="4">
        <v>61200</v>
      </c>
      <c r="H217" s="5">
        <v>3.3000000000000002E-2</v>
      </c>
      <c r="I217" s="2">
        <v>240</v>
      </c>
      <c r="J217" s="2" t="s">
        <v>101</v>
      </c>
      <c r="K217" s="2" t="s">
        <v>45</v>
      </c>
      <c r="L217" s="3">
        <v>46103</v>
      </c>
      <c r="M217" s="2" t="str">
        <f>_xlfn.XLOOKUP(Deals[[#This Row],[CustomerID]],Customers!A:A,Customers!F:F)</f>
        <v>Mass</v>
      </c>
      <c r="N217" s="2" t="str">
        <f>_xlfn.XLOOKUP(Deals[[#This Row],[CustomerID]],Customers!A:A,Customers!E:E)</f>
        <v>Kuwaiti</v>
      </c>
      <c r="O217" s="2">
        <f>2026-_xlfn.XLOOKUP(Deals[[#This Row],[CustomerID]],Customers!A:A,Customers!D:D)</f>
        <v>40</v>
      </c>
      <c r="P217" s="2" t="str" cm="1">
        <f t="array" ref="P217">_xlfn.IFS(Deals[[#This Row],[Age]]&lt;30,"Under 30",Deals[[#This Row],[Age]]&lt;45,"30-44",TRUE,"45+")</f>
        <v>30-44</v>
      </c>
      <c r="Q217" s="21">
        <f>IF(Deals[[#This Row],[Status]]="Pending","",Deals[[#This Row],[DecisionDate]]-Deals[[#This Row],[ApplicationDate]])</f>
        <v>29</v>
      </c>
      <c r="R217" s="21">
        <f>IF(Deals[[#This Row],[Status]]="Approved",1,0)</f>
        <v>0</v>
      </c>
      <c r="S217" s="21">
        <f>IF(Deals[[#This Row],[IsApproved]]=1,Deals[[#This Row],[Amount]],0)</f>
        <v>0</v>
      </c>
      <c r="T217" s="21">
        <f>Deals[[#This Row],[ApprovedAmount]]*Deals[[#This Row],[ProfitRate]]</f>
        <v>0</v>
      </c>
    </row>
    <row r="218" spans="1:20">
      <c r="A218" s="2" t="s">
        <v>478</v>
      </c>
      <c r="B218" s="3">
        <v>46074</v>
      </c>
      <c r="C218" s="2" t="s">
        <v>479</v>
      </c>
      <c r="D218" s="2" t="s">
        <v>54</v>
      </c>
      <c r="E218" s="2" t="s">
        <v>30</v>
      </c>
      <c r="F218" s="2" t="s">
        <v>3</v>
      </c>
      <c r="G218" s="4">
        <v>5100</v>
      </c>
      <c r="H218" s="5">
        <v>4.5499999999999999E-2</v>
      </c>
      <c r="I218" s="2">
        <v>60</v>
      </c>
      <c r="J218" s="2" t="s">
        <v>148</v>
      </c>
      <c r="K218" s="2" t="s">
        <v>45</v>
      </c>
      <c r="L218" s="3">
        <v>46076</v>
      </c>
      <c r="M218" s="2" t="str">
        <f>_xlfn.XLOOKUP(Deals[[#This Row],[CustomerID]],Customers!A:A,Customers!F:F)</f>
        <v>Mass</v>
      </c>
      <c r="N218" s="2" t="str">
        <f>_xlfn.XLOOKUP(Deals[[#This Row],[CustomerID]],Customers!A:A,Customers!E:E)</f>
        <v>Kuwaiti</v>
      </c>
      <c r="O218" s="2">
        <f>2026-_xlfn.XLOOKUP(Deals[[#This Row],[CustomerID]],Customers!A:A,Customers!D:D)</f>
        <v>49</v>
      </c>
      <c r="P218" s="2" t="str" cm="1">
        <f t="array" ref="P218">_xlfn.IFS(Deals[[#This Row],[Age]]&lt;30,"Under 30",Deals[[#This Row],[Age]]&lt;45,"30-44",TRUE,"45+")</f>
        <v>45+</v>
      </c>
      <c r="Q218" s="21">
        <f>IF(Deals[[#This Row],[Status]]="Pending","",Deals[[#This Row],[DecisionDate]]-Deals[[#This Row],[ApplicationDate]])</f>
        <v>2</v>
      </c>
      <c r="R218" s="21">
        <f>IF(Deals[[#This Row],[Status]]="Approved",1,0)</f>
        <v>0</v>
      </c>
      <c r="S218" s="21">
        <f>IF(Deals[[#This Row],[IsApproved]]=1,Deals[[#This Row],[Amount]],0)</f>
        <v>0</v>
      </c>
      <c r="T218" s="21">
        <f>Deals[[#This Row],[ApprovedAmount]]*Deals[[#This Row],[ProfitRate]]</f>
        <v>0</v>
      </c>
    </row>
    <row r="219" spans="1:20">
      <c r="A219" s="2" t="s">
        <v>480</v>
      </c>
      <c r="B219" s="3">
        <v>46074</v>
      </c>
      <c r="C219" s="2" t="s">
        <v>481</v>
      </c>
      <c r="D219" s="2" t="s">
        <v>14</v>
      </c>
      <c r="E219" s="2" t="s">
        <v>15</v>
      </c>
      <c r="F219" s="2" t="s">
        <v>3</v>
      </c>
      <c r="G219" s="4">
        <v>21200</v>
      </c>
      <c r="H219" s="5">
        <v>6.2E-2</v>
      </c>
      <c r="I219" s="2">
        <v>12</v>
      </c>
      <c r="J219" s="2" t="s">
        <v>48</v>
      </c>
      <c r="K219" s="2" t="s">
        <v>17</v>
      </c>
      <c r="L219" s="3">
        <v>46075</v>
      </c>
      <c r="M219" s="2" t="str">
        <f>_xlfn.XLOOKUP(Deals[[#This Row],[CustomerID]],Customers!A:A,Customers!F:F)</f>
        <v>Mass</v>
      </c>
      <c r="N219" s="2" t="str">
        <f>_xlfn.XLOOKUP(Deals[[#This Row],[CustomerID]],Customers!A:A,Customers!E:E)</f>
        <v>Non-Kuwaiti</v>
      </c>
      <c r="O219" s="2">
        <f>2026-_xlfn.XLOOKUP(Deals[[#This Row],[CustomerID]],Customers!A:A,Customers!D:D)</f>
        <v>71</v>
      </c>
      <c r="P219" s="2" t="str" cm="1">
        <f t="array" ref="P219">_xlfn.IFS(Deals[[#This Row],[Age]]&lt;30,"Under 30",Deals[[#This Row],[Age]]&lt;45,"30-44",TRUE,"45+")</f>
        <v>45+</v>
      </c>
      <c r="Q219" s="21">
        <f>IF(Deals[[#This Row],[Status]]="Pending","",Deals[[#This Row],[DecisionDate]]-Deals[[#This Row],[ApplicationDate]])</f>
        <v>1</v>
      </c>
      <c r="R219" s="21">
        <f>IF(Deals[[#This Row],[Status]]="Approved",1,0)</f>
        <v>1</v>
      </c>
      <c r="S219" s="21">
        <f>IF(Deals[[#This Row],[IsApproved]]=1,Deals[[#This Row],[Amount]],0)</f>
        <v>21200</v>
      </c>
      <c r="T219" s="21">
        <f>Deals[[#This Row],[ApprovedAmount]]*Deals[[#This Row],[ProfitRate]]</f>
        <v>1314.4</v>
      </c>
    </row>
    <row r="220" spans="1:20">
      <c r="A220" s="2" t="s">
        <v>483</v>
      </c>
      <c r="B220" s="3">
        <v>46076</v>
      </c>
      <c r="C220" s="2" t="s">
        <v>484</v>
      </c>
      <c r="D220" s="2" t="s">
        <v>71</v>
      </c>
      <c r="E220" s="2" t="s">
        <v>21</v>
      </c>
      <c r="F220" s="2" t="s">
        <v>3</v>
      </c>
      <c r="G220" s="4">
        <v>110900</v>
      </c>
      <c r="H220" s="5">
        <v>4.07E-2</v>
      </c>
      <c r="I220" s="2">
        <v>120</v>
      </c>
      <c r="J220" s="2" t="s">
        <v>94</v>
      </c>
      <c r="K220" s="2" t="s">
        <v>45</v>
      </c>
      <c r="L220" s="3">
        <v>46097</v>
      </c>
      <c r="M220" s="2" t="str">
        <f>_xlfn.XLOOKUP(Deals[[#This Row],[CustomerID]],Customers!A:A,Customers!F:F)</f>
        <v>Mass</v>
      </c>
      <c r="N220" s="2" t="str">
        <f>_xlfn.XLOOKUP(Deals[[#This Row],[CustomerID]],Customers!A:A,Customers!E:E)</f>
        <v>Kuwaiti</v>
      </c>
      <c r="O220" s="2">
        <f>2026-_xlfn.XLOOKUP(Deals[[#This Row],[CustomerID]],Customers!A:A,Customers!D:D)</f>
        <v>44</v>
      </c>
      <c r="P220" s="2" t="str" cm="1">
        <f t="array" ref="P220">_xlfn.IFS(Deals[[#This Row],[Age]]&lt;30,"Under 30",Deals[[#This Row],[Age]]&lt;45,"30-44",TRUE,"45+")</f>
        <v>30-44</v>
      </c>
      <c r="Q220" s="21">
        <f>IF(Deals[[#This Row],[Status]]="Pending","",Deals[[#This Row],[DecisionDate]]-Deals[[#This Row],[ApplicationDate]])</f>
        <v>21</v>
      </c>
      <c r="R220" s="21">
        <f>IF(Deals[[#This Row],[Status]]="Approved",1,0)</f>
        <v>0</v>
      </c>
      <c r="S220" s="21">
        <f>IF(Deals[[#This Row],[IsApproved]]=1,Deals[[#This Row],[Amount]],0)</f>
        <v>0</v>
      </c>
      <c r="T220" s="21">
        <f>Deals[[#This Row],[ApprovedAmount]]*Deals[[#This Row],[ProfitRate]]</f>
        <v>0</v>
      </c>
    </row>
    <row r="221" spans="1:20">
      <c r="A221" s="2" t="s">
        <v>486</v>
      </c>
      <c r="B221" s="3">
        <v>46076</v>
      </c>
      <c r="C221" s="2" t="s">
        <v>487</v>
      </c>
      <c r="D221" s="2" t="s">
        <v>54</v>
      </c>
      <c r="E221" s="2" t="s">
        <v>30</v>
      </c>
      <c r="F221" s="2" t="s">
        <v>3</v>
      </c>
      <c r="G221" s="4">
        <v>13300</v>
      </c>
      <c r="H221" s="5">
        <v>3.9800000000000002E-2</v>
      </c>
      <c r="I221" s="2">
        <v>36</v>
      </c>
      <c r="J221" s="2" t="s">
        <v>56</v>
      </c>
      <c r="K221" s="2" t="s">
        <v>17</v>
      </c>
      <c r="L221" s="3">
        <v>46079</v>
      </c>
      <c r="M221" s="2" t="str">
        <f>_xlfn.XLOOKUP(Deals[[#This Row],[CustomerID]],Customers!A:A,Customers!F:F)</f>
        <v>Mass</v>
      </c>
      <c r="N221" s="2" t="str">
        <f>_xlfn.XLOOKUP(Deals[[#This Row],[CustomerID]],Customers!A:A,Customers!E:E)</f>
        <v>Kuwaiti</v>
      </c>
      <c r="O221" s="2">
        <f>2026-_xlfn.XLOOKUP(Deals[[#This Row],[CustomerID]],Customers!A:A,Customers!D:D)</f>
        <v>36</v>
      </c>
      <c r="P221" s="2" t="str" cm="1">
        <f t="array" ref="P221">_xlfn.IFS(Deals[[#This Row],[Age]]&lt;30,"Under 30",Deals[[#This Row],[Age]]&lt;45,"30-44",TRUE,"45+")</f>
        <v>30-44</v>
      </c>
      <c r="Q221" s="21">
        <f>IF(Deals[[#This Row],[Status]]="Pending","",Deals[[#This Row],[DecisionDate]]-Deals[[#This Row],[ApplicationDate]])</f>
        <v>3</v>
      </c>
      <c r="R221" s="21">
        <f>IF(Deals[[#This Row],[Status]]="Approved",1,0)</f>
        <v>1</v>
      </c>
      <c r="S221" s="21">
        <f>IF(Deals[[#This Row],[IsApproved]]=1,Deals[[#This Row],[Amount]],0)</f>
        <v>13300</v>
      </c>
      <c r="T221" s="21">
        <f>Deals[[#This Row],[ApprovedAmount]]*Deals[[#This Row],[ProfitRate]]</f>
        <v>529.34</v>
      </c>
    </row>
    <row r="222" spans="1:20">
      <c r="A222" s="2" t="s">
        <v>488</v>
      </c>
      <c r="B222" s="3">
        <v>46076</v>
      </c>
      <c r="C222" s="2" t="s">
        <v>344</v>
      </c>
      <c r="D222" s="2" t="s">
        <v>20</v>
      </c>
      <c r="E222" s="2" t="s">
        <v>21</v>
      </c>
      <c r="F222" s="2" t="s">
        <v>55</v>
      </c>
      <c r="G222" s="4">
        <v>131700</v>
      </c>
      <c r="H222" s="5">
        <v>3.9800000000000002E-2</v>
      </c>
      <c r="I222" s="2">
        <v>180</v>
      </c>
      <c r="J222" s="2" t="s">
        <v>44</v>
      </c>
      <c r="K222" s="2" t="s">
        <v>45</v>
      </c>
      <c r="L222" s="3">
        <v>46092</v>
      </c>
      <c r="M222" s="2" t="str">
        <f>_xlfn.XLOOKUP(Deals[[#This Row],[CustomerID]],Customers!A:A,Customers!F:F)</f>
        <v>Mass</v>
      </c>
      <c r="N222" s="2" t="str">
        <f>_xlfn.XLOOKUP(Deals[[#This Row],[CustomerID]],Customers!A:A,Customers!E:E)</f>
        <v>Kuwaiti</v>
      </c>
      <c r="O222" s="2">
        <f>2026-_xlfn.XLOOKUP(Deals[[#This Row],[CustomerID]],Customers!A:A,Customers!D:D)</f>
        <v>27</v>
      </c>
      <c r="P222" s="2" t="str" cm="1">
        <f t="array" ref="P222">_xlfn.IFS(Deals[[#This Row],[Age]]&lt;30,"Under 30",Deals[[#This Row],[Age]]&lt;45,"30-44",TRUE,"45+")</f>
        <v>Under 30</v>
      </c>
      <c r="Q222" s="21">
        <f>IF(Deals[[#This Row],[Status]]="Pending","",Deals[[#This Row],[DecisionDate]]-Deals[[#This Row],[ApplicationDate]])</f>
        <v>16</v>
      </c>
      <c r="R222" s="21">
        <f>IF(Deals[[#This Row],[Status]]="Approved",1,0)</f>
        <v>0</v>
      </c>
      <c r="S222" s="21">
        <f>IF(Deals[[#This Row],[IsApproved]]=1,Deals[[#This Row],[Amount]],0)</f>
        <v>0</v>
      </c>
      <c r="T222" s="21">
        <f>Deals[[#This Row],[ApprovedAmount]]*Deals[[#This Row],[ProfitRate]]</f>
        <v>0</v>
      </c>
    </row>
    <row r="223" spans="1:20">
      <c r="A223" s="2" t="s">
        <v>489</v>
      </c>
      <c r="B223" s="3">
        <v>46076</v>
      </c>
      <c r="C223" s="2" t="s">
        <v>105</v>
      </c>
      <c r="D223" s="2" t="s">
        <v>25</v>
      </c>
      <c r="E223" s="2" t="s">
        <v>15</v>
      </c>
      <c r="F223" s="2" t="s">
        <v>31</v>
      </c>
      <c r="G223" s="4">
        <v>25000</v>
      </c>
      <c r="H223" s="5">
        <v>5.9400000000000001E-2</v>
      </c>
      <c r="I223" s="2">
        <v>12</v>
      </c>
      <c r="J223" s="2" t="s">
        <v>26</v>
      </c>
      <c r="K223" s="2" t="s">
        <v>17</v>
      </c>
      <c r="L223" s="3">
        <v>46079</v>
      </c>
      <c r="M223" s="2" t="str">
        <f>_xlfn.XLOOKUP(Deals[[#This Row],[CustomerID]],Customers!A:A,Customers!F:F)</f>
        <v>Premium</v>
      </c>
      <c r="N223" s="2" t="str">
        <f>_xlfn.XLOOKUP(Deals[[#This Row],[CustomerID]],Customers!A:A,Customers!E:E)</f>
        <v>Kuwaiti</v>
      </c>
      <c r="O223" s="2">
        <f>2026-_xlfn.XLOOKUP(Deals[[#This Row],[CustomerID]],Customers!A:A,Customers!D:D)</f>
        <v>48</v>
      </c>
      <c r="P223" s="2" t="str" cm="1">
        <f t="array" ref="P223">_xlfn.IFS(Deals[[#This Row],[Age]]&lt;30,"Under 30",Deals[[#This Row],[Age]]&lt;45,"30-44",TRUE,"45+")</f>
        <v>45+</v>
      </c>
      <c r="Q223" s="21">
        <f>IF(Deals[[#This Row],[Status]]="Pending","",Deals[[#This Row],[DecisionDate]]-Deals[[#This Row],[ApplicationDate]])</f>
        <v>3</v>
      </c>
      <c r="R223" s="21">
        <f>IF(Deals[[#This Row],[Status]]="Approved",1,0)</f>
        <v>1</v>
      </c>
      <c r="S223" s="21">
        <f>IF(Deals[[#This Row],[IsApproved]]=1,Deals[[#This Row],[Amount]],0)</f>
        <v>25000</v>
      </c>
      <c r="T223" s="21">
        <f>Deals[[#This Row],[ApprovedAmount]]*Deals[[#This Row],[ProfitRate]]</f>
        <v>1485</v>
      </c>
    </row>
    <row r="224" spans="1:20">
      <c r="A224" s="2" t="s">
        <v>490</v>
      </c>
      <c r="B224" s="3">
        <v>46076</v>
      </c>
      <c r="C224" s="2" t="s">
        <v>491</v>
      </c>
      <c r="D224" s="2" t="s">
        <v>29</v>
      </c>
      <c r="E224" s="2" t="s">
        <v>15</v>
      </c>
      <c r="F224" s="2" t="s">
        <v>3</v>
      </c>
      <c r="G224" s="4">
        <v>11500</v>
      </c>
      <c r="H224" s="5">
        <v>6.4899999999999999E-2</v>
      </c>
      <c r="I224" s="2">
        <v>36</v>
      </c>
      <c r="J224" s="2" t="s">
        <v>61</v>
      </c>
      <c r="K224" s="2" t="s">
        <v>17</v>
      </c>
      <c r="L224" s="3">
        <v>46078</v>
      </c>
      <c r="M224" s="2" t="str">
        <f>_xlfn.XLOOKUP(Deals[[#This Row],[CustomerID]],Customers!A:A,Customers!F:F)</f>
        <v>Mass</v>
      </c>
      <c r="N224" s="2" t="str">
        <f>_xlfn.XLOOKUP(Deals[[#This Row],[CustomerID]],Customers!A:A,Customers!E:E)</f>
        <v>Kuwaiti</v>
      </c>
      <c r="O224" s="2">
        <f>2026-_xlfn.XLOOKUP(Deals[[#This Row],[CustomerID]],Customers!A:A,Customers!D:D)</f>
        <v>36</v>
      </c>
      <c r="P224" s="2" t="str" cm="1">
        <f t="array" ref="P224">_xlfn.IFS(Deals[[#This Row],[Age]]&lt;30,"Under 30",Deals[[#This Row],[Age]]&lt;45,"30-44",TRUE,"45+")</f>
        <v>30-44</v>
      </c>
      <c r="Q224" s="21">
        <f>IF(Deals[[#This Row],[Status]]="Pending","",Deals[[#This Row],[DecisionDate]]-Deals[[#This Row],[ApplicationDate]])</f>
        <v>2</v>
      </c>
      <c r="R224" s="21">
        <f>IF(Deals[[#This Row],[Status]]="Approved",1,0)</f>
        <v>1</v>
      </c>
      <c r="S224" s="21">
        <f>IF(Deals[[#This Row],[IsApproved]]=1,Deals[[#This Row],[Amount]],0)</f>
        <v>11500</v>
      </c>
      <c r="T224" s="21">
        <f>Deals[[#This Row],[ApprovedAmount]]*Deals[[#This Row],[ProfitRate]]</f>
        <v>746.35</v>
      </c>
    </row>
    <row r="225" spans="1:20">
      <c r="A225" s="2" t="s">
        <v>492</v>
      </c>
      <c r="B225" s="3">
        <v>46077</v>
      </c>
      <c r="C225" s="2" t="s">
        <v>493</v>
      </c>
      <c r="D225" s="2" t="s">
        <v>29</v>
      </c>
      <c r="E225" s="2" t="s">
        <v>43</v>
      </c>
      <c r="F225" s="2" t="s">
        <v>3</v>
      </c>
      <c r="G225" s="4">
        <v>26400</v>
      </c>
      <c r="H225" s="5">
        <v>6.9199999999999998E-2</v>
      </c>
      <c r="I225" s="2">
        <v>84</v>
      </c>
      <c r="J225" s="2" t="s">
        <v>61</v>
      </c>
      <c r="K225" s="2" t="s">
        <v>45</v>
      </c>
      <c r="L225" s="3">
        <v>46085</v>
      </c>
      <c r="M225" s="2" t="str">
        <f>_xlfn.XLOOKUP(Deals[[#This Row],[CustomerID]],Customers!A:A,Customers!F:F)</f>
        <v>Affluent</v>
      </c>
      <c r="N225" s="2" t="str">
        <f>_xlfn.XLOOKUP(Deals[[#This Row],[CustomerID]],Customers!A:A,Customers!E:E)</f>
        <v>Kuwaiti</v>
      </c>
      <c r="O225" s="2">
        <f>2026-_xlfn.XLOOKUP(Deals[[#This Row],[CustomerID]],Customers!A:A,Customers!D:D)</f>
        <v>50</v>
      </c>
      <c r="P225" s="2" t="str" cm="1">
        <f t="array" ref="P225">_xlfn.IFS(Deals[[#This Row],[Age]]&lt;30,"Under 30",Deals[[#This Row],[Age]]&lt;45,"30-44",TRUE,"45+")</f>
        <v>45+</v>
      </c>
      <c r="Q225" s="21">
        <f>IF(Deals[[#This Row],[Status]]="Pending","",Deals[[#This Row],[DecisionDate]]-Deals[[#This Row],[ApplicationDate]])</f>
        <v>8</v>
      </c>
      <c r="R225" s="21">
        <f>IF(Deals[[#This Row],[Status]]="Approved",1,0)</f>
        <v>0</v>
      </c>
      <c r="S225" s="21">
        <f>IF(Deals[[#This Row],[IsApproved]]=1,Deals[[#This Row],[Amount]],0)</f>
        <v>0</v>
      </c>
      <c r="T225" s="21">
        <f>Deals[[#This Row],[ApprovedAmount]]*Deals[[#This Row],[ProfitRate]]</f>
        <v>0</v>
      </c>
    </row>
    <row r="226" spans="1:20">
      <c r="A226" s="2" t="s">
        <v>494</v>
      </c>
      <c r="B226" s="3">
        <v>46077</v>
      </c>
      <c r="C226" s="2" t="s">
        <v>495</v>
      </c>
      <c r="D226" s="2" t="s">
        <v>25</v>
      </c>
      <c r="E226" s="2" t="s">
        <v>30</v>
      </c>
      <c r="F226" s="2" t="s">
        <v>3</v>
      </c>
      <c r="G226" s="4">
        <v>6700</v>
      </c>
      <c r="H226" s="5">
        <v>4.1799999999999997E-2</v>
      </c>
      <c r="I226" s="2">
        <v>36</v>
      </c>
      <c r="J226" s="2" t="s">
        <v>26</v>
      </c>
      <c r="K226" s="2" t="s">
        <v>17</v>
      </c>
      <c r="L226" s="3">
        <v>46081</v>
      </c>
      <c r="M226" s="2" t="str">
        <f>_xlfn.XLOOKUP(Deals[[#This Row],[CustomerID]],Customers!A:A,Customers!F:F)</f>
        <v>Affluent</v>
      </c>
      <c r="N226" s="2" t="str">
        <f>_xlfn.XLOOKUP(Deals[[#This Row],[CustomerID]],Customers!A:A,Customers!E:E)</f>
        <v>Kuwaiti</v>
      </c>
      <c r="O226" s="2">
        <f>2026-_xlfn.XLOOKUP(Deals[[#This Row],[CustomerID]],Customers!A:A,Customers!D:D)</f>
        <v>31</v>
      </c>
      <c r="P226" s="2" t="str" cm="1">
        <f t="array" ref="P226">_xlfn.IFS(Deals[[#This Row],[Age]]&lt;30,"Under 30",Deals[[#This Row],[Age]]&lt;45,"30-44",TRUE,"45+")</f>
        <v>30-44</v>
      </c>
      <c r="Q226" s="21">
        <f>IF(Deals[[#This Row],[Status]]="Pending","",Deals[[#This Row],[DecisionDate]]-Deals[[#This Row],[ApplicationDate]])</f>
        <v>4</v>
      </c>
      <c r="R226" s="21">
        <f>IF(Deals[[#This Row],[Status]]="Approved",1,0)</f>
        <v>1</v>
      </c>
      <c r="S226" s="21">
        <f>IF(Deals[[#This Row],[IsApproved]]=1,Deals[[#This Row],[Amount]],0)</f>
        <v>6700</v>
      </c>
      <c r="T226" s="21">
        <f>Deals[[#This Row],[ApprovedAmount]]*Deals[[#This Row],[ProfitRate]]</f>
        <v>280.06</v>
      </c>
    </row>
    <row r="227" spans="1:20">
      <c r="A227" s="2" t="s">
        <v>496</v>
      </c>
      <c r="B227" s="3">
        <v>46077</v>
      </c>
      <c r="C227" s="2" t="s">
        <v>114</v>
      </c>
      <c r="D227" s="2" t="s">
        <v>71</v>
      </c>
      <c r="E227" s="2" t="s">
        <v>43</v>
      </c>
      <c r="F227" s="2" t="s">
        <v>3</v>
      </c>
      <c r="G227" s="4">
        <v>50700</v>
      </c>
      <c r="H227" s="5">
        <v>5.9499999999999997E-2</v>
      </c>
      <c r="I227" s="2">
        <v>60</v>
      </c>
      <c r="J227" s="2" t="s">
        <v>94</v>
      </c>
      <c r="K227" s="2" t="s">
        <v>45</v>
      </c>
      <c r="L227" s="3">
        <v>46096</v>
      </c>
      <c r="M227" s="2" t="str">
        <f>_xlfn.XLOOKUP(Deals[[#This Row],[CustomerID]],Customers!A:A,Customers!F:F)</f>
        <v>Mass</v>
      </c>
      <c r="N227" s="2" t="str">
        <f>_xlfn.XLOOKUP(Deals[[#This Row],[CustomerID]],Customers!A:A,Customers!E:E)</f>
        <v>Kuwaiti</v>
      </c>
      <c r="O227" s="2">
        <f>2026-_xlfn.XLOOKUP(Deals[[#This Row],[CustomerID]],Customers!A:A,Customers!D:D)</f>
        <v>40</v>
      </c>
      <c r="P227" s="2" t="str" cm="1">
        <f t="array" ref="P227">_xlfn.IFS(Deals[[#This Row],[Age]]&lt;30,"Under 30",Deals[[#This Row],[Age]]&lt;45,"30-44",TRUE,"45+")</f>
        <v>30-44</v>
      </c>
      <c r="Q227" s="21">
        <f>IF(Deals[[#This Row],[Status]]="Pending","",Deals[[#This Row],[DecisionDate]]-Deals[[#This Row],[ApplicationDate]])</f>
        <v>19</v>
      </c>
      <c r="R227" s="21">
        <f>IF(Deals[[#This Row],[Status]]="Approved",1,0)</f>
        <v>0</v>
      </c>
      <c r="S227" s="21">
        <f>IF(Deals[[#This Row],[IsApproved]]=1,Deals[[#This Row],[Amount]],0)</f>
        <v>0</v>
      </c>
      <c r="T227" s="21">
        <f>Deals[[#This Row],[ApprovedAmount]]*Deals[[#This Row],[ProfitRate]]</f>
        <v>0</v>
      </c>
    </row>
    <row r="228" spans="1:20">
      <c r="A228" s="2" t="s">
        <v>497</v>
      </c>
      <c r="B228" s="3">
        <v>46078</v>
      </c>
      <c r="C228" s="2" t="s">
        <v>498</v>
      </c>
      <c r="D228" s="2" t="s">
        <v>25</v>
      </c>
      <c r="E228" s="2" t="s">
        <v>43</v>
      </c>
      <c r="F228" s="2" t="s">
        <v>31</v>
      </c>
      <c r="G228" s="4">
        <v>101400</v>
      </c>
      <c r="H228" s="5">
        <v>7.6399999999999996E-2</v>
      </c>
      <c r="I228" s="2">
        <v>24</v>
      </c>
      <c r="J228" s="2" t="s">
        <v>26</v>
      </c>
      <c r="K228" s="2" t="s">
        <v>45</v>
      </c>
      <c r="L228" s="3">
        <v>46091</v>
      </c>
      <c r="M228" s="2" t="str">
        <f>_xlfn.XLOOKUP(Deals[[#This Row],[CustomerID]],Customers!A:A,Customers!F:F)</f>
        <v>Affluent</v>
      </c>
      <c r="N228" s="2" t="str">
        <f>_xlfn.XLOOKUP(Deals[[#This Row],[CustomerID]],Customers!A:A,Customers!E:E)</f>
        <v>Kuwaiti</v>
      </c>
      <c r="O228" s="2">
        <f>2026-_xlfn.XLOOKUP(Deals[[#This Row],[CustomerID]],Customers!A:A,Customers!D:D)</f>
        <v>53</v>
      </c>
      <c r="P228" s="2" t="str" cm="1">
        <f t="array" ref="P228">_xlfn.IFS(Deals[[#This Row],[Age]]&lt;30,"Under 30",Deals[[#This Row],[Age]]&lt;45,"30-44",TRUE,"45+")</f>
        <v>45+</v>
      </c>
      <c r="Q228" s="21">
        <f>IF(Deals[[#This Row],[Status]]="Pending","",Deals[[#This Row],[DecisionDate]]-Deals[[#This Row],[ApplicationDate]])</f>
        <v>13</v>
      </c>
      <c r="R228" s="21">
        <f>IF(Deals[[#This Row],[Status]]="Approved",1,0)</f>
        <v>0</v>
      </c>
      <c r="S228" s="21">
        <f>IF(Deals[[#This Row],[IsApproved]]=1,Deals[[#This Row],[Amount]],0)</f>
        <v>0</v>
      </c>
      <c r="T228" s="21">
        <f>Deals[[#This Row],[ApprovedAmount]]*Deals[[#This Row],[ProfitRate]]</f>
        <v>0</v>
      </c>
    </row>
    <row r="229" spans="1:20">
      <c r="A229" s="2" t="s">
        <v>499</v>
      </c>
      <c r="B229" s="3">
        <v>46078</v>
      </c>
      <c r="C229" s="2" t="s">
        <v>500</v>
      </c>
      <c r="D229" s="2" t="s">
        <v>54</v>
      </c>
      <c r="E229" s="2" t="s">
        <v>43</v>
      </c>
      <c r="F229" s="2" t="s">
        <v>3</v>
      </c>
      <c r="G229" s="4">
        <v>215800</v>
      </c>
      <c r="H229" s="5">
        <v>6.0199999999999997E-2</v>
      </c>
      <c r="I229" s="2">
        <v>24</v>
      </c>
      <c r="J229" s="2" t="s">
        <v>186</v>
      </c>
      <c r="K229" s="2" t="s">
        <v>17</v>
      </c>
      <c r="L229" s="3">
        <v>46091</v>
      </c>
      <c r="M229" s="2" t="str">
        <f>_xlfn.XLOOKUP(Deals[[#This Row],[CustomerID]],Customers!A:A,Customers!F:F)</f>
        <v>Premium</v>
      </c>
      <c r="N229" s="2" t="str">
        <f>_xlfn.XLOOKUP(Deals[[#This Row],[CustomerID]],Customers!A:A,Customers!E:E)</f>
        <v>Non-Kuwaiti</v>
      </c>
      <c r="O229" s="2">
        <f>2026-_xlfn.XLOOKUP(Deals[[#This Row],[CustomerID]],Customers!A:A,Customers!D:D)</f>
        <v>24</v>
      </c>
      <c r="P229" s="2" t="str" cm="1">
        <f t="array" ref="P229">_xlfn.IFS(Deals[[#This Row],[Age]]&lt;30,"Under 30",Deals[[#This Row],[Age]]&lt;45,"30-44",TRUE,"45+")</f>
        <v>Under 30</v>
      </c>
      <c r="Q229" s="21">
        <f>IF(Deals[[#This Row],[Status]]="Pending","",Deals[[#This Row],[DecisionDate]]-Deals[[#This Row],[ApplicationDate]])</f>
        <v>13</v>
      </c>
      <c r="R229" s="21">
        <f>IF(Deals[[#This Row],[Status]]="Approved",1,0)</f>
        <v>1</v>
      </c>
      <c r="S229" s="21">
        <f>IF(Deals[[#This Row],[IsApproved]]=1,Deals[[#This Row],[Amount]],0)</f>
        <v>215800</v>
      </c>
      <c r="T229" s="21">
        <f>Deals[[#This Row],[ApprovedAmount]]*Deals[[#This Row],[ProfitRate]]</f>
        <v>12991.16</v>
      </c>
    </row>
    <row r="230" spans="1:20">
      <c r="A230" s="2" t="s">
        <v>501</v>
      </c>
      <c r="B230" s="3">
        <v>46078</v>
      </c>
      <c r="C230" s="2" t="s">
        <v>370</v>
      </c>
      <c r="D230" s="2" t="s">
        <v>25</v>
      </c>
      <c r="E230" s="2" t="s">
        <v>30</v>
      </c>
      <c r="F230" s="2" t="s">
        <v>3</v>
      </c>
      <c r="G230" s="4">
        <v>6500</v>
      </c>
      <c r="H230" s="5">
        <v>4.6699999999999998E-2</v>
      </c>
      <c r="I230" s="2">
        <v>48</v>
      </c>
      <c r="J230" s="2" t="s">
        <v>181</v>
      </c>
      <c r="K230" s="2" t="s">
        <v>17</v>
      </c>
      <c r="L230" s="3">
        <v>46079</v>
      </c>
      <c r="M230" s="2" t="str">
        <f>_xlfn.XLOOKUP(Deals[[#This Row],[CustomerID]],Customers!A:A,Customers!F:F)</f>
        <v>Mass</v>
      </c>
      <c r="N230" s="2" t="str">
        <f>_xlfn.XLOOKUP(Deals[[#This Row],[CustomerID]],Customers!A:A,Customers!E:E)</f>
        <v>Kuwaiti</v>
      </c>
      <c r="O230" s="2">
        <f>2026-_xlfn.XLOOKUP(Deals[[#This Row],[CustomerID]],Customers!A:A,Customers!D:D)</f>
        <v>68</v>
      </c>
      <c r="P230" s="2" t="str" cm="1">
        <f t="array" ref="P230">_xlfn.IFS(Deals[[#This Row],[Age]]&lt;30,"Under 30",Deals[[#This Row],[Age]]&lt;45,"30-44",TRUE,"45+")</f>
        <v>45+</v>
      </c>
      <c r="Q230" s="21">
        <f>IF(Deals[[#This Row],[Status]]="Pending","",Deals[[#This Row],[DecisionDate]]-Deals[[#This Row],[ApplicationDate]])</f>
        <v>1</v>
      </c>
      <c r="R230" s="21">
        <f>IF(Deals[[#This Row],[Status]]="Approved",1,0)</f>
        <v>1</v>
      </c>
      <c r="S230" s="21">
        <f>IF(Deals[[#This Row],[IsApproved]]=1,Deals[[#This Row],[Amount]],0)</f>
        <v>6500</v>
      </c>
      <c r="T230" s="21">
        <f>Deals[[#This Row],[ApprovedAmount]]*Deals[[#This Row],[ProfitRate]]</f>
        <v>303.55</v>
      </c>
    </row>
    <row r="231" spans="1:20">
      <c r="A231" s="2" t="s">
        <v>502</v>
      </c>
      <c r="B231" s="3">
        <v>46078</v>
      </c>
      <c r="C231" s="2" t="s">
        <v>503</v>
      </c>
      <c r="D231" s="2" t="s">
        <v>25</v>
      </c>
      <c r="E231" s="2" t="s">
        <v>43</v>
      </c>
      <c r="F231" s="2" t="s">
        <v>3</v>
      </c>
      <c r="G231" s="4">
        <v>30200</v>
      </c>
      <c r="H231" s="5">
        <v>7.6899999999999996E-2</v>
      </c>
      <c r="I231" s="2">
        <v>36</v>
      </c>
      <c r="J231" s="2" t="s">
        <v>181</v>
      </c>
      <c r="K231" s="2" t="s">
        <v>17</v>
      </c>
      <c r="L231" s="3">
        <v>46098</v>
      </c>
      <c r="M231" s="2" t="str">
        <f>_xlfn.XLOOKUP(Deals[[#This Row],[CustomerID]],Customers!A:A,Customers!F:F)</f>
        <v>Mass</v>
      </c>
      <c r="N231" s="2" t="str">
        <f>_xlfn.XLOOKUP(Deals[[#This Row],[CustomerID]],Customers!A:A,Customers!E:E)</f>
        <v>Kuwaiti</v>
      </c>
      <c r="O231" s="2">
        <f>2026-_xlfn.XLOOKUP(Deals[[#This Row],[CustomerID]],Customers!A:A,Customers!D:D)</f>
        <v>34</v>
      </c>
      <c r="P231" s="2" t="str" cm="1">
        <f t="array" ref="P231">_xlfn.IFS(Deals[[#This Row],[Age]]&lt;30,"Under 30",Deals[[#This Row],[Age]]&lt;45,"30-44",TRUE,"45+")</f>
        <v>30-44</v>
      </c>
      <c r="Q231" s="21">
        <f>IF(Deals[[#This Row],[Status]]="Pending","",Deals[[#This Row],[DecisionDate]]-Deals[[#This Row],[ApplicationDate]])</f>
        <v>20</v>
      </c>
      <c r="R231" s="21">
        <f>IF(Deals[[#This Row],[Status]]="Approved",1,0)</f>
        <v>1</v>
      </c>
      <c r="S231" s="21">
        <f>IF(Deals[[#This Row],[IsApproved]]=1,Deals[[#This Row],[Amount]],0)</f>
        <v>30200</v>
      </c>
      <c r="T231" s="21">
        <f>Deals[[#This Row],[ApprovedAmount]]*Deals[[#This Row],[ProfitRate]]</f>
        <v>2322.38</v>
      </c>
    </row>
    <row r="232" spans="1:20">
      <c r="A232" s="2" t="s">
        <v>504</v>
      </c>
      <c r="B232" s="3">
        <v>46078</v>
      </c>
      <c r="C232" s="2" t="s">
        <v>280</v>
      </c>
      <c r="D232" s="2" t="s">
        <v>71</v>
      </c>
      <c r="E232" s="2" t="s">
        <v>30</v>
      </c>
      <c r="F232" s="2" t="s">
        <v>55</v>
      </c>
      <c r="G232" s="4">
        <v>14000</v>
      </c>
      <c r="H232" s="5">
        <v>4.9399999999999999E-2</v>
      </c>
      <c r="I232" s="2">
        <v>48</v>
      </c>
      <c r="J232" s="2" t="s">
        <v>101</v>
      </c>
      <c r="K232" s="2" t="s">
        <v>45</v>
      </c>
      <c r="L232" s="3">
        <v>46081</v>
      </c>
      <c r="M232" s="2" t="str">
        <f>_xlfn.XLOOKUP(Deals[[#This Row],[CustomerID]],Customers!A:A,Customers!F:F)</f>
        <v>Mass</v>
      </c>
      <c r="N232" s="2" t="str">
        <f>_xlfn.XLOOKUP(Deals[[#This Row],[CustomerID]],Customers!A:A,Customers!E:E)</f>
        <v>Kuwaiti</v>
      </c>
      <c r="O232" s="2">
        <f>2026-_xlfn.XLOOKUP(Deals[[#This Row],[CustomerID]],Customers!A:A,Customers!D:D)</f>
        <v>31</v>
      </c>
      <c r="P232" s="2" t="str" cm="1">
        <f t="array" ref="P232">_xlfn.IFS(Deals[[#This Row],[Age]]&lt;30,"Under 30",Deals[[#This Row],[Age]]&lt;45,"30-44",TRUE,"45+")</f>
        <v>30-44</v>
      </c>
      <c r="Q232" s="21">
        <f>IF(Deals[[#This Row],[Status]]="Pending","",Deals[[#This Row],[DecisionDate]]-Deals[[#This Row],[ApplicationDate]])</f>
        <v>3</v>
      </c>
      <c r="R232" s="21">
        <f>IF(Deals[[#This Row],[Status]]="Approved",1,0)</f>
        <v>0</v>
      </c>
      <c r="S232" s="21">
        <f>IF(Deals[[#This Row],[IsApproved]]=1,Deals[[#This Row],[Amount]],0)</f>
        <v>0</v>
      </c>
      <c r="T232" s="21">
        <f>Deals[[#This Row],[ApprovedAmount]]*Deals[[#This Row],[ProfitRate]]</f>
        <v>0</v>
      </c>
    </row>
    <row r="233" spans="1:20">
      <c r="A233" s="2" t="s">
        <v>505</v>
      </c>
      <c r="B233" s="3">
        <v>46078</v>
      </c>
      <c r="C233" s="2" t="s">
        <v>322</v>
      </c>
      <c r="D233" s="2" t="s">
        <v>71</v>
      </c>
      <c r="E233" s="2" t="s">
        <v>30</v>
      </c>
      <c r="F233" s="2" t="s">
        <v>3</v>
      </c>
      <c r="G233" s="4">
        <v>16400</v>
      </c>
      <c r="H233" s="5">
        <v>4.24E-2</v>
      </c>
      <c r="I233" s="2">
        <v>60</v>
      </c>
      <c r="J233" s="2" t="s">
        <v>94</v>
      </c>
      <c r="K233" s="2" t="s">
        <v>17</v>
      </c>
      <c r="L233" s="3">
        <v>46080</v>
      </c>
      <c r="M233" s="2" t="str">
        <f>_xlfn.XLOOKUP(Deals[[#This Row],[CustomerID]],Customers!A:A,Customers!F:F)</f>
        <v>Affluent</v>
      </c>
      <c r="N233" s="2" t="str">
        <f>_xlfn.XLOOKUP(Deals[[#This Row],[CustomerID]],Customers!A:A,Customers!E:E)</f>
        <v>Kuwaiti</v>
      </c>
      <c r="O233" s="2">
        <f>2026-_xlfn.XLOOKUP(Deals[[#This Row],[CustomerID]],Customers!A:A,Customers!D:D)</f>
        <v>35</v>
      </c>
      <c r="P233" s="2" t="str" cm="1">
        <f t="array" ref="P233">_xlfn.IFS(Deals[[#This Row],[Age]]&lt;30,"Under 30",Deals[[#This Row],[Age]]&lt;45,"30-44",TRUE,"45+")</f>
        <v>30-44</v>
      </c>
      <c r="Q233" s="21">
        <f>IF(Deals[[#This Row],[Status]]="Pending","",Deals[[#This Row],[DecisionDate]]-Deals[[#This Row],[ApplicationDate]])</f>
        <v>2</v>
      </c>
      <c r="R233" s="21">
        <f>IF(Deals[[#This Row],[Status]]="Approved",1,0)</f>
        <v>1</v>
      </c>
      <c r="S233" s="21">
        <f>IF(Deals[[#This Row],[IsApproved]]=1,Deals[[#This Row],[Amount]],0)</f>
        <v>16400</v>
      </c>
      <c r="T233" s="21">
        <f>Deals[[#This Row],[ApprovedAmount]]*Deals[[#This Row],[ProfitRate]]</f>
        <v>695.36</v>
      </c>
    </row>
    <row r="234" spans="1:20">
      <c r="A234" s="2" t="s">
        <v>506</v>
      </c>
      <c r="B234" s="3">
        <v>46078</v>
      </c>
      <c r="C234" s="2" t="s">
        <v>507</v>
      </c>
      <c r="D234" s="2" t="s">
        <v>71</v>
      </c>
      <c r="E234" s="2" t="s">
        <v>30</v>
      </c>
      <c r="F234" s="2" t="s">
        <v>55</v>
      </c>
      <c r="G234" s="4">
        <v>11900</v>
      </c>
      <c r="H234" s="5">
        <v>4.3999999999999997E-2</v>
      </c>
      <c r="I234" s="2">
        <v>48</v>
      </c>
      <c r="J234" s="2" t="s">
        <v>101</v>
      </c>
      <c r="K234" s="2" t="s">
        <v>17</v>
      </c>
      <c r="L234" s="3">
        <v>46080</v>
      </c>
      <c r="M234" s="2" t="str">
        <f>_xlfn.XLOOKUP(Deals[[#This Row],[CustomerID]],Customers!A:A,Customers!F:F)</f>
        <v>Mass</v>
      </c>
      <c r="N234" s="2" t="str">
        <f>_xlfn.XLOOKUP(Deals[[#This Row],[CustomerID]],Customers!A:A,Customers!E:E)</f>
        <v>Non-Kuwaiti</v>
      </c>
      <c r="O234" s="2">
        <f>2026-_xlfn.XLOOKUP(Deals[[#This Row],[CustomerID]],Customers!A:A,Customers!D:D)</f>
        <v>44</v>
      </c>
      <c r="P234" s="2" t="str" cm="1">
        <f t="array" ref="P234">_xlfn.IFS(Deals[[#This Row],[Age]]&lt;30,"Under 30",Deals[[#This Row],[Age]]&lt;45,"30-44",TRUE,"45+")</f>
        <v>30-44</v>
      </c>
      <c r="Q234" s="21">
        <f>IF(Deals[[#This Row],[Status]]="Pending","",Deals[[#This Row],[DecisionDate]]-Deals[[#This Row],[ApplicationDate]])</f>
        <v>2</v>
      </c>
      <c r="R234" s="21">
        <f>IF(Deals[[#This Row],[Status]]="Approved",1,0)</f>
        <v>1</v>
      </c>
      <c r="S234" s="21">
        <f>IF(Deals[[#This Row],[IsApproved]]=1,Deals[[#This Row],[Amount]],0)</f>
        <v>11900</v>
      </c>
      <c r="T234" s="21">
        <f>Deals[[#This Row],[ApprovedAmount]]*Deals[[#This Row],[ProfitRate]]</f>
        <v>523.6</v>
      </c>
    </row>
    <row r="235" spans="1:20">
      <c r="A235" s="2" t="s">
        <v>508</v>
      </c>
      <c r="B235" s="3">
        <v>46079</v>
      </c>
      <c r="C235" s="2" t="s">
        <v>509</v>
      </c>
      <c r="D235" s="2" t="s">
        <v>20</v>
      </c>
      <c r="E235" s="2" t="s">
        <v>30</v>
      </c>
      <c r="F235" s="2" t="s">
        <v>3</v>
      </c>
      <c r="G235" s="4">
        <v>12200</v>
      </c>
      <c r="H235" s="5">
        <v>4.82E-2</v>
      </c>
      <c r="I235" s="2">
        <v>48</v>
      </c>
      <c r="J235" s="2" t="s">
        <v>22</v>
      </c>
      <c r="K235" s="2" t="s">
        <v>17</v>
      </c>
      <c r="L235" s="3">
        <v>46084</v>
      </c>
      <c r="M235" s="2" t="str">
        <f>_xlfn.XLOOKUP(Deals[[#This Row],[CustomerID]],Customers!A:A,Customers!F:F)</f>
        <v>Mass</v>
      </c>
      <c r="N235" s="2" t="str">
        <f>_xlfn.XLOOKUP(Deals[[#This Row],[CustomerID]],Customers!A:A,Customers!E:E)</f>
        <v>Kuwaiti</v>
      </c>
      <c r="O235" s="2">
        <f>2026-_xlfn.XLOOKUP(Deals[[#This Row],[CustomerID]],Customers!A:A,Customers!D:D)</f>
        <v>40</v>
      </c>
      <c r="P235" s="2" t="str" cm="1">
        <f t="array" ref="P235">_xlfn.IFS(Deals[[#This Row],[Age]]&lt;30,"Under 30",Deals[[#This Row],[Age]]&lt;45,"30-44",TRUE,"45+")</f>
        <v>30-44</v>
      </c>
      <c r="Q235" s="21">
        <f>IF(Deals[[#This Row],[Status]]="Pending","",Deals[[#This Row],[DecisionDate]]-Deals[[#This Row],[ApplicationDate]])</f>
        <v>5</v>
      </c>
      <c r="R235" s="21">
        <f>IF(Deals[[#This Row],[Status]]="Approved",1,0)</f>
        <v>1</v>
      </c>
      <c r="S235" s="21">
        <f>IF(Deals[[#This Row],[IsApproved]]=1,Deals[[#This Row],[Amount]],0)</f>
        <v>12200</v>
      </c>
      <c r="T235" s="21">
        <f>Deals[[#This Row],[ApprovedAmount]]*Deals[[#This Row],[ProfitRate]]</f>
        <v>588.04</v>
      </c>
    </row>
    <row r="236" spans="1:20">
      <c r="A236" s="2" t="s">
        <v>510</v>
      </c>
      <c r="B236" s="3">
        <v>46079</v>
      </c>
      <c r="C236" s="2" t="s">
        <v>511</v>
      </c>
      <c r="D236" s="2" t="s">
        <v>29</v>
      </c>
      <c r="E236" s="2" t="s">
        <v>21</v>
      </c>
      <c r="F236" s="2" t="s">
        <v>31</v>
      </c>
      <c r="G236" s="4">
        <v>153900</v>
      </c>
      <c r="H236" s="5">
        <v>4.1000000000000002E-2</v>
      </c>
      <c r="I236" s="2">
        <v>180</v>
      </c>
      <c r="J236" s="2" t="s">
        <v>61</v>
      </c>
      <c r="K236" s="2" t="s">
        <v>17</v>
      </c>
      <c r="L236" s="3">
        <v>46095</v>
      </c>
      <c r="M236" s="2" t="str">
        <f>_xlfn.XLOOKUP(Deals[[#This Row],[CustomerID]],Customers!A:A,Customers!F:F)</f>
        <v>Mass</v>
      </c>
      <c r="N236" s="2" t="str">
        <f>_xlfn.XLOOKUP(Deals[[#This Row],[CustomerID]],Customers!A:A,Customers!E:E)</f>
        <v>Kuwaiti</v>
      </c>
      <c r="O236" s="2">
        <f>2026-_xlfn.XLOOKUP(Deals[[#This Row],[CustomerID]],Customers!A:A,Customers!D:D)</f>
        <v>41</v>
      </c>
      <c r="P236" s="2" t="str" cm="1">
        <f t="array" ref="P236">_xlfn.IFS(Deals[[#This Row],[Age]]&lt;30,"Under 30",Deals[[#This Row],[Age]]&lt;45,"30-44",TRUE,"45+")</f>
        <v>30-44</v>
      </c>
      <c r="Q236" s="21">
        <f>IF(Deals[[#This Row],[Status]]="Pending","",Deals[[#This Row],[DecisionDate]]-Deals[[#This Row],[ApplicationDate]])</f>
        <v>16</v>
      </c>
      <c r="R236" s="21">
        <f>IF(Deals[[#This Row],[Status]]="Approved",1,0)</f>
        <v>1</v>
      </c>
      <c r="S236" s="21">
        <f>IF(Deals[[#This Row],[IsApproved]]=1,Deals[[#This Row],[Amount]],0)</f>
        <v>153900</v>
      </c>
      <c r="T236" s="21">
        <f>Deals[[#This Row],[ApprovedAmount]]*Deals[[#This Row],[ProfitRate]]</f>
        <v>6309.9000000000005</v>
      </c>
    </row>
    <row r="237" spans="1:20">
      <c r="A237" s="2" t="s">
        <v>512</v>
      </c>
      <c r="B237" s="3">
        <v>46080</v>
      </c>
      <c r="C237" s="2" t="s">
        <v>513</v>
      </c>
      <c r="D237" s="2" t="s">
        <v>20</v>
      </c>
      <c r="E237" s="2" t="s">
        <v>30</v>
      </c>
      <c r="F237" s="2" t="s">
        <v>3</v>
      </c>
      <c r="G237" s="4">
        <v>10600</v>
      </c>
      <c r="H237" s="5">
        <v>4.6699999999999998E-2</v>
      </c>
      <c r="I237" s="2">
        <v>60</v>
      </c>
      <c r="J237" s="2" t="s">
        <v>37</v>
      </c>
      <c r="K237" s="2" t="s">
        <v>17</v>
      </c>
      <c r="L237" s="3">
        <v>46083</v>
      </c>
      <c r="M237" s="2" t="str">
        <f>_xlfn.XLOOKUP(Deals[[#This Row],[CustomerID]],Customers!A:A,Customers!F:F)</f>
        <v>Mass</v>
      </c>
      <c r="N237" s="2" t="str">
        <f>_xlfn.XLOOKUP(Deals[[#This Row],[CustomerID]],Customers!A:A,Customers!E:E)</f>
        <v>Kuwaiti</v>
      </c>
      <c r="O237" s="2">
        <f>2026-_xlfn.XLOOKUP(Deals[[#This Row],[CustomerID]],Customers!A:A,Customers!D:D)</f>
        <v>71</v>
      </c>
      <c r="P237" s="2" t="str" cm="1">
        <f t="array" ref="P237">_xlfn.IFS(Deals[[#This Row],[Age]]&lt;30,"Under 30",Deals[[#This Row],[Age]]&lt;45,"30-44",TRUE,"45+")</f>
        <v>45+</v>
      </c>
      <c r="Q237" s="21">
        <f>IF(Deals[[#This Row],[Status]]="Pending","",Deals[[#This Row],[DecisionDate]]-Deals[[#This Row],[ApplicationDate]])</f>
        <v>3</v>
      </c>
      <c r="R237" s="21">
        <f>IF(Deals[[#This Row],[Status]]="Approved",1,0)</f>
        <v>1</v>
      </c>
      <c r="S237" s="21">
        <f>IF(Deals[[#This Row],[IsApproved]]=1,Deals[[#This Row],[Amount]],0)</f>
        <v>10600</v>
      </c>
      <c r="T237" s="21">
        <f>Deals[[#This Row],[ApprovedAmount]]*Deals[[#This Row],[ProfitRate]]</f>
        <v>495.02</v>
      </c>
    </row>
    <row r="238" spans="1:20">
      <c r="A238" s="2" t="s">
        <v>514</v>
      </c>
      <c r="B238" s="3">
        <v>46080</v>
      </c>
      <c r="C238" s="2" t="s">
        <v>515</v>
      </c>
      <c r="D238" s="2" t="s">
        <v>25</v>
      </c>
      <c r="E238" s="2" t="s">
        <v>43</v>
      </c>
      <c r="F238" s="2" t="s">
        <v>3</v>
      </c>
      <c r="G238" s="4">
        <v>90100</v>
      </c>
      <c r="H238" s="5">
        <v>6.7199999999999996E-2</v>
      </c>
      <c r="I238" s="2">
        <v>36</v>
      </c>
      <c r="J238" s="2" t="s">
        <v>181</v>
      </c>
      <c r="K238" s="2" t="s">
        <v>45</v>
      </c>
      <c r="L238" s="3">
        <v>46098</v>
      </c>
      <c r="M238" s="2" t="str">
        <f>_xlfn.XLOOKUP(Deals[[#This Row],[CustomerID]],Customers!A:A,Customers!F:F)</f>
        <v>Mass</v>
      </c>
      <c r="N238" s="2" t="str">
        <f>_xlfn.XLOOKUP(Deals[[#This Row],[CustomerID]],Customers!A:A,Customers!E:E)</f>
        <v>Kuwaiti</v>
      </c>
      <c r="O238" s="2">
        <f>2026-_xlfn.XLOOKUP(Deals[[#This Row],[CustomerID]],Customers!A:A,Customers!D:D)</f>
        <v>54</v>
      </c>
      <c r="P238" s="2" t="str" cm="1">
        <f t="array" ref="P238">_xlfn.IFS(Deals[[#This Row],[Age]]&lt;30,"Under 30",Deals[[#This Row],[Age]]&lt;45,"30-44",TRUE,"45+")</f>
        <v>45+</v>
      </c>
      <c r="Q238" s="21">
        <f>IF(Deals[[#This Row],[Status]]="Pending","",Deals[[#This Row],[DecisionDate]]-Deals[[#This Row],[ApplicationDate]])</f>
        <v>18</v>
      </c>
      <c r="R238" s="21">
        <f>IF(Deals[[#This Row],[Status]]="Approved",1,0)</f>
        <v>0</v>
      </c>
      <c r="S238" s="21">
        <f>IF(Deals[[#This Row],[IsApproved]]=1,Deals[[#This Row],[Amount]],0)</f>
        <v>0</v>
      </c>
      <c r="T238" s="21">
        <f>Deals[[#This Row],[ApprovedAmount]]*Deals[[#This Row],[ProfitRate]]</f>
        <v>0</v>
      </c>
    </row>
    <row r="239" spans="1:20">
      <c r="A239" s="2" t="s">
        <v>516</v>
      </c>
      <c r="B239" s="3">
        <v>46080</v>
      </c>
      <c r="C239" s="2" t="s">
        <v>517</v>
      </c>
      <c r="D239" s="2" t="s">
        <v>14</v>
      </c>
      <c r="E239" s="2" t="s">
        <v>43</v>
      </c>
      <c r="F239" s="2" t="s">
        <v>3</v>
      </c>
      <c r="G239" s="4">
        <v>43400</v>
      </c>
      <c r="H239" s="5">
        <v>6.6600000000000006E-2</v>
      </c>
      <c r="I239" s="2">
        <v>84</v>
      </c>
      <c r="J239" s="2" t="s">
        <v>16</v>
      </c>
      <c r="K239" s="2" t="s">
        <v>45</v>
      </c>
      <c r="L239" s="3">
        <v>46101</v>
      </c>
      <c r="M239" s="2" t="str">
        <f>_xlfn.XLOOKUP(Deals[[#This Row],[CustomerID]],Customers!A:A,Customers!F:F)</f>
        <v>Mass</v>
      </c>
      <c r="N239" s="2" t="str">
        <f>_xlfn.XLOOKUP(Deals[[#This Row],[CustomerID]],Customers!A:A,Customers!E:E)</f>
        <v>Non-Kuwaiti</v>
      </c>
      <c r="O239" s="2">
        <f>2026-_xlfn.XLOOKUP(Deals[[#This Row],[CustomerID]],Customers!A:A,Customers!D:D)</f>
        <v>57</v>
      </c>
      <c r="P239" s="2" t="str" cm="1">
        <f t="array" ref="P239">_xlfn.IFS(Deals[[#This Row],[Age]]&lt;30,"Under 30",Deals[[#This Row],[Age]]&lt;45,"30-44",TRUE,"45+")</f>
        <v>45+</v>
      </c>
      <c r="Q239" s="21">
        <f>IF(Deals[[#This Row],[Status]]="Pending","",Deals[[#This Row],[DecisionDate]]-Deals[[#This Row],[ApplicationDate]])</f>
        <v>21</v>
      </c>
      <c r="R239" s="21">
        <f>IF(Deals[[#This Row],[Status]]="Approved",1,0)</f>
        <v>0</v>
      </c>
      <c r="S239" s="21">
        <f>IF(Deals[[#This Row],[IsApproved]]=1,Deals[[#This Row],[Amount]],0)</f>
        <v>0</v>
      </c>
      <c r="T239" s="21">
        <f>Deals[[#This Row],[ApprovedAmount]]*Deals[[#This Row],[ProfitRate]]</f>
        <v>0</v>
      </c>
    </row>
    <row r="240" spans="1:20">
      <c r="A240" s="2" t="s">
        <v>518</v>
      </c>
      <c r="B240" s="3">
        <v>46081</v>
      </c>
      <c r="C240" s="2" t="s">
        <v>519</v>
      </c>
      <c r="D240" s="2" t="s">
        <v>25</v>
      </c>
      <c r="E240" s="2" t="s">
        <v>15</v>
      </c>
      <c r="F240" s="2" t="s">
        <v>3</v>
      </c>
      <c r="G240" s="4">
        <v>8300</v>
      </c>
      <c r="H240" s="5">
        <v>6.7699999999999996E-2</v>
      </c>
      <c r="I240" s="2">
        <v>12</v>
      </c>
      <c r="J240" s="2" t="s">
        <v>66</v>
      </c>
      <c r="K240" s="2" t="s">
        <v>45</v>
      </c>
      <c r="L240" s="3">
        <v>46084</v>
      </c>
      <c r="M240" s="2" t="str">
        <f>_xlfn.XLOOKUP(Deals[[#This Row],[CustomerID]],Customers!A:A,Customers!F:F)</f>
        <v>Mass</v>
      </c>
      <c r="N240" s="2" t="str">
        <f>_xlfn.XLOOKUP(Deals[[#This Row],[CustomerID]],Customers!A:A,Customers!E:E)</f>
        <v>Kuwaiti</v>
      </c>
      <c r="O240" s="2">
        <f>2026-_xlfn.XLOOKUP(Deals[[#This Row],[CustomerID]],Customers!A:A,Customers!D:D)</f>
        <v>57</v>
      </c>
      <c r="P240" s="2" t="str" cm="1">
        <f t="array" ref="P240">_xlfn.IFS(Deals[[#This Row],[Age]]&lt;30,"Under 30",Deals[[#This Row],[Age]]&lt;45,"30-44",TRUE,"45+")</f>
        <v>45+</v>
      </c>
      <c r="Q240" s="21">
        <f>IF(Deals[[#This Row],[Status]]="Pending","",Deals[[#This Row],[DecisionDate]]-Deals[[#This Row],[ApplicationDate]])</f>
        <v>3</v>
      </c>
      <c r="R240" s="21">
        <f>IF(Deals[[#This Row],[Status]]="Approved",1,0)</f>
        <v>0</v>
      </c>
      <c r="S240" s="21">
        <f>IF(Deals[[#This Row],[IsApproved]]=1,Deals[[#This Row],[Amount]],0)</f>
        <v>0</v>
      </c>
      <c r="T240" s="21">
        <f>Deals[[#This Row],[ApprovedAmount]]*Deals[[#This Row],[ProfitRate]]</f>
        <v>0</v>
      </c>
    </row>
    <row r="241" spans="1:20">
      <c r="A241" s="2" t="s">
        <v>520</v>
      </c>
      <c r="B241" s="3">
        <v>46081</v>
      </c>
      <c r="C241" s="2" t="s">
        <v>521</v>
      </c>
      <c r="D241" s="2" t="s">
        <v>25</v>
      </c>
      <c r="E241" s="2" t="s">
        <v>43</v>
      </c>
      <c r="F241" s="2" t="s">
        <v>3</v>
      </c>
      <c r="G241" s="4">
        <v>44900</v>
      </c>
      <c r="H241" s="5">
        <v>7.8E-2</v>
      </c>
      <c r="I241" s="2">
        <v>84</v>
      </c>
      <c r="J241" s="2" t="s">
        <v>181</v>
      </c>
      <c r="K241" s="2" t="s">
        <v>17</v>
      </c>
      <c r="L241" s="3">
        <v>46090</v>
      </c>
      <c r="M241" s="2" t="str">
        <f>_xlfn.XLOOKUP(Deals[[#This Row],[CustomerID]],Customers!A:A,Customers!F:F)</f>
        <v>Affluent</v>
      </c>
      <c r="N241" s="2" t="str">
        <f>_xlfn.XLOOKUP(Deals[[#This Row],[CustomerID]],Customers!A:A,Customers!E:E)</f>
        <v>Kuwaiti</v>
      </c>
      <c r="O241" s="2">
        <f>2026-_xlfn.XLOOKUP(Deals[[#This Row],[CustomerID]],Customers!A:A,Customers!D:D)</f>
        <v>31</v>
      </c>
      <c r="P241" s="2" t="str" cm="1">
        <f t="array" ref="P241">_xlfn.IFS(Deals[[#This Row],[Age]]&lt;30,"Under 30",Deals[[#This Row],[Age]]&lt;45,"30-44",TRUE,"45+")</f>
        <v>30-44</v>
      </c>
      <c r="Q241" s="21">
        <f>IF(Deals[[#This Row],[Status]]="Pending","",Deals[[#This Row],[DecisionDate]]-Deals[[#This Row],[ApplicationDate]])</f>
        <v>9</v>
      </c>
      <c r="R241" s="21">
        <f>IF(Deals[[#This Row],[Status]]="Approved",1,0)</f>
        <v>1</v>
      </c>
      <c r="S241" s="21">
        <f>IF(Deals[[#This Row],[IsApproved]]=1,Deals[[#This Row],[Amount]],0)</f>
        <v>44900</v>
      </c>
      <c r="T241" s="21">
        <f>Deals[[#This Row],[ApprovedAmount]]*Deals[[#This Row],[ProfitRate]]</f>
        <v>3502.2</v>
      </c>
    </row>
    <row r="242" spans="1:20">
      <c r="A242" s="2" t="s">
        <v>524</v>
      </c>
      <c r="B242" s="3">
        <v>46081</v>
      </c>
      <c r="C242" s="2" t="s">
        <v>479</v>
      </c>
      <c r="D242" s="2" t="s">
        <v>25</v>
      </c>
      <c r="E242" s="2" t="s">
        <v>15</v>
      </c>
      <c r="F242" s="2" t="s">
        <v>3</v>
      </c>
      <c r="G242" s="4">
        <v>15000</v>
      </c>
      <c r="H242" s="5">
        <v>5.1499999999999997E-2</v>
      </c>
      <c r="I242" s="2">
        <v>60</v>
      </c>
      <c r="J242" s="2" t="s">
        <v>26</v>
      </c>
      <c r="K242" s="2" t="s">
        <v>17</v>
      </c>
      <c r="L242" s="3">
        <v>46084</v>
      </c>
      <c r="M242" s="2" t="str">
        <f>_xlfn.XLOOKUP(Deals[[#This Row],[CustomerID]],Customers!A:A,Customers!F:F)</f>
        <v>Mass</v>
      </c>
      <c r="N242" s="2" t="str">
        <f>_xlfn.XLOOKUP(Deals[[#This Row],[CustomerID]],Customers!A:A,Customers!E:E)</f>
        <v>Kuwaiti</v>
      </c>
      <c r="O242" s="2">
        <f>2026-_xlfn.XLOOKUP(Deals[[#This Row],[CustomerID]],Customers!A:A,Customers!D:D)</f>
        <v>49</v>
      </c>
      <c r="P242" s="2" t="str" cm="1">
        <f t="array" ref="P242">_xlfn.IFS(Deals[[#This Row],[Age]]&lt;30,"Under 30",Deals[[#This Row],[Age]]&lt;45,"30-44",TRUE,"45+")</f>
        <v>45+</v>
      </c>
      <c r="Q242" s="21">
        <f>IF(Deals[[#This Row],[Status]]="Pending","",Deals[[#This Row],[DecisionDate]]-Deals[[#This Row],[ApplicationDate]])</f>
        <v>3</v>
      </c>
      <c r="R242" s="21">
        <f>IF(Deals[[#This Row],[Status]]="Approved",1,0)</f>
        <v>1</v>
      </c>
      <c r="S242" s="21">
        <f>IF(Deals[[#This Row],[IsApproved]]=1,Deals[[#This Row],[Amount]],0)</f>
        <v>15000</v>
      </c>
      <c r="T242" s="21">
        <f>Deals[[#This Row],[ApprovedAmount]]*Deals[[#This Row],[ProfitRate]]</f>
        <v>772.5</v>
      </c>
    </row>
    <row r="243" spans="1:20">
      <c r="A243" s="2" t="s">
        <v>525</v>
      </c>
      <c r="B243" s="3">
        <v>46081</v>
      </c>
      <c r="C243" s="2" t="s">
        <v>526</v>
      </c>
      <c r="D243" s="2" t="s">
        <v>54</v>
      </c>
      <c r="E243" s="2" t="s">
        <v>43</v>
      </c>
      <c r="F243" s="2" t="s">
        <v>3</v>
      </c>
      <c r="G243" s="4">
        <v>52500</v>
      </c>
      <c r="H243" s="5">
        <v>6.5100000000000005E-2</v>
      </c>
      <c r="I243" s="2">
        <v>36</v>
      </c>
      <c r="J243" s="2" t="s">
        <v>186</v>
      </c>
      <c r="K243" s="2" t="s">
        <v>17</v>
      </c>
      <c r="L243" s="3">
        <v>46094</v>
      </c>
      <c r="M243" s="2" t="str">
        <f>_xlfn.XLOOKUP(Deals[[#This Row],[CustomerID]],Customers!A:A,Customers!F:F)</f>
        <v>Affluent</v>
      </c>
      <c r="N243" s="2" t="str">
        <f>_xlfn.XLOOKUP(Deals[[#This Row],[CustomerID]],Customers!A:A,Customers!E:E)</f>
        <v>Non-Kuwaiti</v>
      </c>
      <c r="O243" s="2">
        <f>2026-_xlfn.XLOOKUP(Deals[[#This Row],[CustomerID]],Customers!A:A,Customers!D:D)</f>
        <v>29</v>
      </c>
      <c r="P243" s="2" t="str" cm="1">
        <f t="array" ref="P243">_xlfn.IFS(Deals[[#This Row],[Age]]&lt;30,"Under 30",Deals[[#This Row],[Age]]&lt;45,"30-44",TRUE,"45+")</f>
        <v>Under 30</v>
      </c>
      <c r="Q243" s="21">
        <f>IF(Deals[[#This Row],[Status]]="Pending","",Deals[[#This Row],[DecisionDate]]-Deals[[#This Row],[ApplicationDate]])</f>
        <v>13</v>
      </c>
      <c r="R243" s="21">
        <f>IF(Deals[[#This Row],[Status]]="Approved",1,0)</f>
        <v>1</v>
      </c>
      <c r="S243" s="21">
        <f>IF(Deals[[#This Row],[IsApproved]]=1,Deals[[#This Row],[Amount]],0)</f>
        <v>52500</v>
      </c>
      <c r="T243" s="21">
        <f>Deals[[#This Row],[ApprovedAmount]]*Deals[[#This Row],[ProfitRate]]</f>
        <v>3417.7500000000005</v>
      </c>
    </row>
    <row r="244" spans="1:20">
      <c r="A244" s="2" t="s">
        <v>527</v>
      </c>
      <c r="B244" s="3">
        <v>46081</v>
      </c>
      <c r="C244" s="2" t="s">
        <v>528</v>
      </c>
      <c r="D244" s="2" t="s">
        <v>20</v>
      </c>
      <c r="E244" s="2" t="s">
        <v>30</v>
      </c>
      <c r="F244" s="2" t="s">
        <v>3</v>
      </c>
      <c r="G244" s="4">
        <v>14900</v>
      </c>
      <c r="H244" s="5">
        <v>4.4600000000000001E-2</v>
      </c>
      <c r="I244" s="2">
        <v>48</v>
      </c>
      <c r="J244" s="2" t="s">
        <v>22</v>
      </c>
      <c r="K244" s="2" t="s">
        <v>17</v>
      </c>
      <c r="L244" s="3">
        <v>46086</v>
      </c>
      <c r="M244" s="2" t="str">
        <f>_xlfn.XLOOKUP(Deals[[#This Row],[CustomerID]],Customers!A:A,Customers!F:F)</f>
        <v>Mass</v>
      </c>
      <c r="N244" s="2" t="str">
        <f>_xlfn.XLOOKUP(Deals[[#This Row],[CustomerID]],Customers!A:A,Customers!E:E)</f>
        <v>Kuwaiti</v>
      </c>
      <c r="O244" s="2">
        <f>2026-_xlfn.XLOOKUP(Deals[[#This Row],[CustomerID]],Customers!A:A,Customers!D:D)</f>
        <v>51</v>
      </c>
      <c r="P244" s="2" t="str" cm="1">
        <f t="array" ref="P244">_xlfn.IFS(Deals[[#This Row],[Age]]&lt;30,"Under 30",Deals[[#This Row],[Age]]&lt;45,"30-44",TRUE,"45+")</f>
        <v>45+</v>
      </c>
      <c r="Q244" s="21">
        <f>IF(Deals[[#This Row],[Status]]="Pending","",Deals[[#This Row],[DecisionDate]]-Deals[[#This Row],[ApplicationDate]])</f>
        <v>5</v>
      </c>
      <c r="R244" s="21">
        <f>IF(Deals[[#This Row],[Status]]="Approved",1,0)</f>
        <v>1</v>
      </c>
      <c r="S244" s="21">
        <f>IF(Deals[[#This Row],[IsApproved]]=1,Deals[[#This Row],[Amount]],0)</f>
        <v>14900</v>
      </c>
      <c r="T244" s="21">
        <f>Deals[[#This Row],[ApprovedAmount]]*Deals[[#This Row],[ProfitRate]]</f>
        <v>664.54</v>
      </c>
    </row>
    <row r="245" spans="1:20">
      <c r="A245" s="2" t="s">
        <v>529</v>
      </c>
      <c r="B245" s="3">
        <v>46082</v>
      </c>
      <c r="C245" s="2" t="s">
        <v>530</v>
      </c>
      <c r="D245" s="2" t="s">
        <v>14</v>
      </c>
      <c r="E245" s="2" t="s">
        <v>15</v>
      </c>
      <c r="F245" s="2" t="s">
        <v>31</v>
      </c>
      <c r="G245" s="4">
        <v>4600</v>
      </c>
      <c r="H245" s="5">
        <v>6.7599999999999993E-2</v>
      </c>
      <c r="I245" s="2">
        <v>36</v>
      </c>
      <c r="J245" s="2" t="s">
        <v>48</v>
      </c>
      <c r="K245" s="2" t="s">
        <v>17</v>
      </c>
      <c r="L245" s="3">
        <v>46083</v>
      </c>
      <c r="M245" s="2" t="str">
        <f>_xlfn.XLOOKUP(Deals[[#This Row],[CustomerID]],Customers!A:A,Customers!F:F)</f>
        <v>Affluent</v>
      </c>
      <c r="N245" s="2" t="str">
        <f>_xlfn.XLOOKUP(Deals[[#This Row],[CustomerID]],Customers!A:A,Customers!E:E)</f>
        <v>Kuwaiti</v>
      </c>
      <c r="O245" s="2">
        <f>2026-_xlfn.XLOOKUP(Deals[[#This Row],[CustomerID]],Customers!A:A,Customers!D:D)</f>
        <v>45</v>
      </c>
      <c r="P245" s="2" t="str" cm="1">
        <f t="array" ref="P245">_xlfn.IFS(Deals[[#This Row],[Age]]&lt;30,"Under 30",Deals[[#This Row],[Age]]&lt;45,"30-44",TRUE,"45+")</f>
        <v>45+</v>
      </c>
      <c r="Q245" s="21">
        <f>IF(Deals[[#This Row],[Status]]="Pending","",Deals[[#This Row],[DecisionDate]]-Deals[[#This Row],[ApplicationDate]])</f>
        <v>1</v>
      </c>
      <c r="R245" s="21">
        <f>IF(Deals[[#This Row],[Status]]="Approved",1,0)</f>
        <v>1</v>
      </c>
      <c r="S245" s="21">
        <f>IF(Deals[[#This Row],[IsApproved]]=1,Deals[[#This Row],[Amount]],0)</f>
        <v>4600</v>
      </c>
      <c r="T245" s="21">
        <f>Deals[[#This Row],[ApprovedAmount]]*Deals[[#This Row],[ProfitRate]]</f>
        <v>310.95999999999998</v>
      </c>
    </row>
    <row r="246" spans="1:20">
      <c r="A246" s="2" t="s">
        <v>531</v>
      </c>
      <c r="B246" s="3">
        <v>46082</v>
      </c>
      <c r="C246" s="2" t="s">
        <v>276</v>
      </c>
      <c r="D246" s="2" t="s">
        <v>71</v>
      </c>
      <c r="E246" s="2" t="s">
        <v>15</v>
      </c>
      <c r="F246" s="2" t="s">
        <v>3</v>
      </c>
      <c r="G246" s="4">
        <v>5400</v>
      </c>
      <c r="H246" s="5">
        <v>6.0999999999999999E-2</v>
      </c>
      <c r="I246" s="2">
        <v>24</v>
      </c>
      <c r="J246" s="2" t="s">
        <v>72</v>
      </c>
      <c r="K246" s="2" t="s">
        <v>17</v>
      </c>
      <c r="L246" s="3">
        <v>46087</v>
      </c>
      <c r="M246" s="2" t="str">
        <f>_xlfn.XLOOKUP(Deals[[#This Row],[CustomerID]],Customers!A:A,Customers!F:F)</f>
        <v>Mass</v>
      </c>
      <c r="N246" s="2" t="str">
        <f>_xlfn.XLOOKUP(Deals[[#This Row],[CustomerID]],Customers!A:A,Customers!E:E)</f>
        <v>Kuwaiti</v>
      </c>
      <c r="O246" s="2">
        <f>2026-_xlfn.XLOOKUP(Deals[[#This Row],[CustomerID]],Customers!A:A,Customers!D:D)</f>
        <v>32</v>
      </c>
      <c r="P246" s="2" t="str" cm="1">
        <f t="array" ref="P246">_xlfn.IFS(Deals[[#This Row],[Age]]&lt;30,"Under 30",Deals[[#This Row],[Age]]&lt;45,"30-44",TRUE,"45+")</f>
        <v>30-44</v>
      </c>
      <c r="Q246" s="21">
        <f>IF(Deals[[#This Row],[Status]]="Pending","",Deals[[#This Row],[DecisionDate]]-Deals[[#This Row],[ApplicationDate]])</f>
        <v>5</v>
      </c>
      <c r="R246" s="21">
        <f>IF(Deals[[#This Row],[Status]]="Approved",1,0)</f>
        <v>1</v>
      </c>
      <c r="S246" s="21">
        <f>IF(Deals[[#This Row],[IsApproved]]=1,Deals[[#This Row],[Amount]],0)</f>
        <v>5400</v>
      </c>
      <c r="T246" s="21">
        <f>Deals[[#This Row],[ApprovedAmount]]*Deals[[#This Row],[ProfitRate]]</f>
        <v>329.4</v>
      </c>
    </row>
    <row r="247" spans="1:20">
      <c r="A247" s="2" t="s">
        <v>532</v>
      </c>
      <c r="B247" s="3">
        <v>46082</v>
      </c>
      <c r="C247" s="2" t="s">
        <v>533</v>
      </c>
      <c r="D247" s="2" t="s">
        <v>14</v>
      </c>
      <c r="E247" s="2" t="s">
        <v>15</v>
      </c>
      <c r="F247" s="2" t="s">
        <v>55</v>
      </c>
      <c r="G247" s="4">
        <v>11200</v>
      </c>
      <c r="H247" s="5">
        <v>6.9000000000000006E-2</v>
      </c>
      <c r="I247" s="2">
        <v>60</v>
      </c>
      <c r="J247" s="2" t="s">
        <v>16</v>
      </c>
      <c r="K247" s="2" t="s">
        <v>17</v>
      </c>
      <c r="L247" s="3">
        <v>46088</v>
      </c>
      <c r="M247" s="2" t="str">
        <f>_xlfn.XLOOKUP(Deals[[#This Row],[CustomerID]],Customers!A:A,Customers!F:F)</f>
        <v>Mass</v>
      </c>
      <c r="N247" s="2" t="str">
        <f>_xlfn.XLOOKUP(Deals[[#This Row],[CustomerID]],Customers!A:A,Customers!E:E)</f>
        <v>Non-Kuwaiti</v>
      </c>
      <c r="O247" s="2">
        <f>2026-_xlfn.XLOOKUP(Deals[[#This Row],[CustomerID]],Customers!A:A,Customers!D:D)</f>
        <v>62</v>
      </c>
      <c r="P247" s="2" t="str" cm="1">
        <f t="array" ref="P247">_xlfn.IFS(Deals[[#This Row],[Age]]&lt;30,"Under 30",Deals[[#This Row],[Age]]&lt;45,"30-44",TRUE,"45+")</f>
        <v>45+</v>
      </c>
      <c r="Q247" s="21">
        <f>IF(Deals[[#This Row],[Status]]="Pending","",Deals[[#This Row],[DecisionDate]]-Deals[[#This Row],[ApplicationDate]])</f>
        <v>6</v>
      </c>
      <c r="R247" s="21">
        <f>IF(Deals[[#This Row],[Status]]="Approved",1,0)</f>
        <v>1</v>
      </c>
      <c r="S247" s="21">
        <f>IF(Deals[[#This Row],[IsApproved]]=1,Deals[[#This Row],[Amount]],0)</f>
        <v>11200</v>
      </c>
      <c r="T247" s="21">
        <f>Deals[[#This Row],[ApprovedAmount]]*Deals[[#This Row],[ProfitRate]]</f>
        <v>772.80000000000007</v>
      </c>
    </row>
    <row r="248" spans="1:20">
      <c r="A248" s="2" t="s">
        <v>534</v>
      </c>
      <c r="B248" s="3">
        <v>46083</v>
      </c>
      <c r="C248" s="2" t="s">
        <v>74</v>
      </c>
      <c r="D248" s="2" t="s">
        <v>29</v>
      </c>
      <c r="E248" s="2" t="s">
        <v>30</v>
      </c>
      <c r="F248" s="2" t="s">
        <v>3</v>
      </c>
      <c r="G248" s="4">
        <v>12400</v>
      </c>
      <c r="H248" s="5">
        <v>3.7999999999999999E-2</v>
      </c>
      <c r="I248" s="2">
        <v>60</v>
      </c>
      <c r="J248" s="2" t="s">
        <v>123</v>
      </c>
      <c r="K248" s="2" t="s">
        <v>17</v>
      </c>
      <c r="L248" s="3">
        <v>46085</v>
      </c>
      <c r="M248" s="2" t="str">
        <f>_xlfn.XLOOKUP(Deals[[#This Row],[CustomerID]],Customers!A:A,Customers!F:F)</f>
        <v>Mass</v>
      </c>
      <c r="N248" s="2" t="str">
        <f>_xlfn.XLOOKUP(Deals[[#This Row],[CustomerID]],Customers!A:A,Customers!E:E)</f>
        <v>Non-Kuwaiti</v>
      </c>
      <c r="O248" s="2">
        <f>2026-_xlfn.XLOOKUP(Deals[[#This Row],[CustomerID]],Customers!A:A,Customers!D:D)</f>
        <v>37</v>
      </c>
      <c r="P248" s="2" t="str" cm="1">
        <f t="array" ref="P248">_xlfn.IFS(Deals[[#This Row],[Age]]&lt;30,"Under 30",Deals[[#This Row],[Age]]&lt;45,"30-44",TRUE,"45+")</f>
        <v>30-44</v>
      </c>
      <c r="Q248" s="21">
        <f>IF(Deals[[#This Row],[Status]]="Pending","",Deals[[#This Row],[DecisionDate]]-Deals[[#This Row],[ApplicationDate]])</f>
        <v>2</v>
      </c>
      <c r="R248" s="21">
        <f>IF(Deals[[#This Row],[Status]]="Approved",1,0)</f>
        <v>1</v>
      </c>
      <c r="S248" s="21">
        <f>IF(Deals[[#This Row],[IsApproved]]=1,Deals[[#This Row],[Amount]],0)</f>
        <v>12400</v>
      </c>
      <c r="T248" s="21">
        <f>Deals[[#This Row],[ApprovedAmount]]*Deals[[#This Row],[ProfitRate]]</f>
        <v>471.2</v>
      </c>
    </row>
    <row r="249" spans="1:20">
      <c r="A249" s="2" t="s">
        <v>535</v>
      </c>
      <c r="B249" s="3">
        <v>46083</v>
      </c>
      <c r="C249" s="2" t="s">
        <v>232</v>
      </c>
      <c r="D249" s="2" t="s">
        <v>29</v>
      </c>
      <c r="E249" s="2" t="s">
        <v>15</v>
      </c>
      <c r="F249" s="2" t="s">
        <v>3</v>
      </c>
      <c r="G249" s="4">
        <v>24500</v>
      </c>
      <c r="H249" s="5">
        <v>6.7900000000000002E-2</v>
      </c>
      <c r="I249" s="2">
        <v>24</v>
      </c>
      <c r="J249" s="2" t="s">
        <v>123</v>
      </c>
      <c r="K249" s="2" t="s">
        <v>17</v>
      </c>
      <c r="L249" s="3">
        <v>46088</v>
      </c>
      <c r="M249" s="2" t="str">
        <f>_xlfn.XLOOKUP(Deals[[#This Row],[CustomerID]],Customers!A:A,Customers!F:F)</f>
        <v>Affluent</v>
      </c>
      <c r="N249" s="2" t="str">
        <f>_xlfn.XLOOKUP(Deals[[#This Row],[CustomerID]],Customers!A:A,Customers!E:E)</f>
        <v>Kuwaiti</v>
      </c>
      <c r="O249" s="2">
        <f>2026-_xlfn.XLOOKUP(Deals[[#This Row],[CustomerID]],Customers!A:A,Customers!D:D)</f>
        <v>30</v>
      </c>
      <c r="P249" s="2" t="str" cm="1">
        <f t="array" ref="P249">_xlfn.IFS(Deals[[#This Row],[Age]]&lt;30,"Under 30",Deals[[#This Row],[Age]]&lt;45,"30-44",TRUE,"45+")</f>
        <v>30-44</v>
      </c>
      <c r="Q249" s="21">
        <f>IF(Deals[[#This Row],[Status]]="Pending","",Deals[[#This Row],[DecisionDate]]-Deals[[#This Row],[ApplicationDate]])</f>
        <v>5</v>
      </c>
      <c r="R249" s="21">
        <f>IF(Deals[[#This Row],[Status]]="Approved",1,0)</f>
        <v>1</v>
      </c>
      <c r="S249" s="21">
        <f>IF(Deals[[#This Row],[IsApproved]]=1,Deals[[#This Row],[Amount]],0)</f>
        <v>24500</v>
      </c>
      <c r="T249" s="21">
        <f>Deals[[#This Row],[ApprovedAmount]]*Deals[[#This Row],[ProfitRate]]</f>
        <v>1663.55</v>
      </c>
    </row>
    <row r="250" spans="1:20">
      <c r="A250" s="2" t="s">
        <v>536</v>
      </c>
      <c r="B250" s="3">
        <v>46083</v>
      </c>
      <c r="C250" s="2" t="s">
        <v>537</v>
      </c>
      <c r="D250" s="2" t="s">
        <v>29</v>
      </c>
      <c r="E250" s="2" t="s">
        <v>21</v>
      </c>
      <c r="F250" s="2" t="s">
        <v>31</v>
      </c>
      <c r="G250" s="4">
        <v>123300</v>
      </c>
      <c r="H250" s="5">
        <v>4.2900000000000001E-2</v>
      </c>
      <c r="I250" s="2">
        <v>120</v>
      </c>
      <c r="J250" s="2" t="s">
        <v>61</v>
      </c>
      <c r="K250" s="2" t="s">
        <v>17</v>
      </c>
      <c r="L250" s="3">
        <v>46096</v>
      </c>
      <c r="M250" s="2" t="str">
        <f>_xlfn.XLOOKUP(Deals[[#This Row],[CustomerID]],Customers!A:A,Customers!F:F)</f>
        <v>Mass</v>
      </c>
      <c r="N250" s="2" t="str">
        <f>_xlfn.XLOOKUP(Deals[[#This Row],[CustomerID]],Customers!A:A,Customers!E:E)</f>
        <v>Kuwaiti</v>
      </c>
      <c r="O250" s="2">
        <f>2026-_xlfn.XLOOKUP(Deals[[#This Row],[CustomerID]],Customers!A:A,Customers!D:D)</f>
        <v>30</v>
      </c>
      <c r="P250" s="2" t="str" cm="1">
        <f t="array" ref="P250">_xlfn.IFS(Deals[[#This Row],[Age]]&lt;30,"Under 30",Deals[[#This Row],[Age]]&lt;45,"30-44",TRUE,"45+")</f>
        <v>30-44</v>
      </c>
      <c r="Q250" s="21">
        <f>IF(Deals[[#This Row],[Status]]="Pending","",Deals[[#This Row],[DecisionDate]]-Deals[[#This Row],[ApplicationDate]])</f>
        <v>13</v>
      </c>
      <c r="R250" s="21">
        <f>IF(Deals[[#This Row],[Status]]="Approved",1,0)</f>
        <v>1</v>
      </c>
      <c r="S250" s="21">
        <f>IF(Deals[[#This Row],[IsApproved]]=1,Deals[[#This Row],[Amount]],0)</f>
        <v>123300</v>
      </c>
      <c r="T250" s="21">
        <f>Deals[[#This Row],[ApprovedAmount]]*Deals[[#This Row],[ProfitRate]]</f>
        <v>5289.57</v>
      </c>
    </row>
    <row r="251" spans="1:20">
      <c r="A251" s="2" t="s">
        <v>538</v>
      </c>
      <c r="B251" s="3">
        <v>46083</v>
      </c>
      <c r="C251" s="2" t="s">
        <v>230</v>
      </c>
      <c r="D251" s="2" t="s">
        <v>25</v>
      </c>
      <c r="E251" s="2" t="s">
        <v>15</v>
      </c>
      <c r="F251" s="2" t="s">
        <v>31</v>
      </c>
      <c r="G251" s="4">
        <v>11300</v>
      </c>
      <c r="H251" s="5">
        <v>6.2100000000000002E-2</v>
      </c>
      <c r="I251" s="2">
        <v>36</v>
      </c>
      <c r="J251" s="2" t="s">
        <v>66</v>
      </c>
      <c r="K251" s="2" t="s">
        <v>45</v>
      </c>
      <c r="L251" s="3">
        <v>46086</v>
      </c>
      <c r="M251" s="2" t="str">
        <f>_xlfn.XLOOKUP(Deals[[#This Row],[CustomerID]],Customers!A:A,Customers!F:F)</f>
        <v>Affluent</v>
      </c>
      <c r="N251" s="2" t="str">
        <f>_xlfn.XLOOKUP(Deals[[#This Row],[CustomerID]],Customers!A:A,Customers!E:E)</f>
        <v>Kuwaiti</v>
      </c>
      <c r="O251" s="2">
        <f>2026-_xlfn.XLOOKUP(Deals[[#This Row],[CustomerID]],Customers!A:A,Customers!D:D)</f>
        <v>24</v>
      </c>
      <c r="P251" s="2" t="str" cm="1">
        <f t="array" ref="P251">_xlfn.IFS(Deals[[#This Row],[Age]]&lt;30,"Under 30",Deals[[#This Row],[Age]]&lt;45,"30-44",TRUE,"45+")</f>
        <v>Under 30</v>
      </c>
      <c r="Q251" s="21">
        <f>IF(Deals[[#This Row],[Status]]="Pending","",Deals[[#This Row],[DecisionDate]]-Deals[[#This Row],[ApplicationDate]])</f>
        <v>3</v>
      </c>
      <c r="R251" s="21">
        <f>IF(Deals[[#This Row],[Status]]="Approved",1,0)</f>
        <v>0</v>
      </c>
      <c r="S251" s="21">
        <f>IF(Deals[[#This Row],[IsApproved]]=1,Deals[[#This Row],[Amount]],0)</f>
        <v>0</v>
      </c>
      <c r="T251" s="21">
        <f>Deals[[#This Row],[ApprovedAmount]]*Deals[[#This Row],[ProfitRate]]</f>
        <v>0</v>
      </c>
    </row>
    <row r="252" spans="1:20">
      <c r="A252" s="2" t="s">
        <v>539</v>
      </c>
      <c r="B252" s="3">
        <v>46083</v>
      </c>
      <c r="C252" s="2" t="s">
        <v>390</v>
      </c>
      <c r="D252" s="2" t="s">
        <v>20</v>
      </c>
      <c r="E252" s="2" t="s">
        <v>43</v>
      </c>
      <c r="F252" s="2" t="s">
        <v>55</v>
      </c>
      <c r="G252" s="4">
        <v>139000</v>
      </c>
      <c r="H252" s="5">
        <v>7.8700000000000006E-2</v>
      </c>
      <c r="I252" s="2">
        <v>24</v>
      </c>
      <c r="J252" s="2" t="s">
        <v>22</v>
      </c>
      <c r="K252" s="2" t="s">
        <v>45</v>
      </c>
      <c r="L252" s="3">
        <v>46091</v>
      </c>
      <c r="M252" s="2" t="str">
        <f>_xlfn.XLOOKUP(Deals[[#This Row],[CustomerID]],Customers!A:A,Customers!F:F)</f>
        <v>Mass</v>
      </c>
      <c r="N252" s="2" t="str">
        <f>_xlfn.XLOOKUP(Deals[[#This Row],[CustomerID]],Customers!A:A,Customers!E:E)</f>
        <v>Kuwaiti</v>
      </c>
      <c r="O252" s="2">
        <f>2026-_xlfn.XLOOKUP(Deals[[#This Row],[CustomerID]],Customers!A:A,Customers!D:D)</f>
        <v>40</v>
      </c>
      <c r="P252" s="2" t="str" cm="1">
        <f t="array" ref="P252">_xlfn.IFS(Deals[[#This Row],[Age]]&lt;30,"Under 30",Deals[[#This Row],[Age]]&lt;45,"30-44",TRUE,"45+")</f>
        <v>30-44</v>
      </c>
      <c r="Q252" s="21">
        <f>IF(Deals[[#This Row],[Status]]="Pending","",Deals[[#This Row],[DecisionDate]]-Deals[[#This Row],[ApplicationDate]])</f>
        <v>8</v>
      </c>
      <c r="R252" s="21">
        <f>IF(Deals[[#This Row],[Status]]="Approved",1,0)</f>
        <v>0</v>
      </c>
      <c r="S252" s="21">
        <f>IF(Deals[[#This Row],[IsApproved]]=1,Deals[[#This Row],[Amount]],0)</f>
        <v>0</v>
      </c>
      <c r="T252" s="21">
        <f>Deals[[#This Row],[ApprovedAmount]]*Deals[[#This Row],[ProfitRate]]</f>
        <v>0</v>
      </c>
    </row>
    <row r="253" spans="1:20">
      <c r="A253" s="2" t="s">
        <v>540</v>
      </c>
      <c r="B253" s="3">
        <v>46084</v>
      </c>
      <c r="C253" s="2" t="s">
        <v>541</v>
      </c>
      <c r="D253" s="2" t="s">
        <v>14</v>
      </c>
      <c r="E253" s="2" t="s">
        <v>30</v>
      </c>
      <c r="F253" s="2" t="s">
        <v>3</v>
      </c>
      <c r="G253" s="4">
        <v>6900</v>
      </c>
      <c r="H253" s="5">
        <v>4.5499999999999999E-2</v>
      </c>
      <c r="I253" s="2">
        <v>36</v>
      </c>
      <c r="J253" s="2" t="s">
        <v>48</v>
      </c>
      <c r="K253" s="2" t="s">
        <v>17</v>
      </c>
      <c r="L253" s="3">
        <v>46087</v>
      </c>
      <c r="M253" s="2" t="str">
        <f>_xlfn.XLOOKUP(Deals[[#This Row],[CustomerID]],Customers!A:A,Customers!F:F)</f>
        <v>Mass</v>
      </c>
      <c r="N253" s="2" t="str">
        <f>_xlfn.XLOOKUP(Deals[[#This Row],[CustomerID]],Customers!A:A,Customers!E:E)</f>
        <v>Non-Kuwaiti</v>
      </c>
      <c r="O253" s="2">
        <f>2026-_xlfn.XLOOKUP(Deals[[#This Row],[CustomerID]],Customers!A:A,Customers!D:D)</f>
        <v>36</v>
      </c>
      <c r="P253" s="2" t="str" cm="1">
        <f t="array" ref="P253">_xlfn.IFS(Deals[[#This Row],[Age]]&lt;30,"Under 30",Deals[[#This Row],[Age]]&lt;45,"30-44",TRUE,"45+")</f>
        <v>30-44</v>
      </c>
      <c r="Q253" s="21">
        <f>IF(Deals[[#This Row],[Status]]="Pending","",Deals[[#This Row],[DecisionDate]]-Deals[[#This Row],[ApplicationDate]])</f>
        <v>3</v>
      </c>
      <c r="R253" s="21">
        <f>IF(Deals[[#This Row],[Status]]="Approved",1,0)</f>
        <v>1</v>
      </c>
      <c r="S253" s="21">
        <f>IF(Deals[[#This Row],[IsApproved]]=1,Deals[[#This Row],[Amount]],0)</f>
        <v>6900</v>
      </c>
      <c r="T253" s="21">
        <f>Deals[[#This Row],[ApprovedAmount]]*Deals[[#This Row],[ProfitRate]]</f>
        <v>313.95</v>
      </c>
    </row>
    <row r="254" spans="1:20">
      <c r="A254" s="2" t="s">
        <v>542</v>
      </c>
      <c r="B254" s="3">
        <v>46084</v>
      </c>
      <c r="C254" s="2" t="s">
        <v>543</v>
      </c>
      <c r="D254" s="2" t="s">
        <v>14</v>
      </c>
      <c r="E254" s="2" t="s">
        <v>30</v>
      </c>
      <c r="F254" s="2" t="s">
        <v>3</v>
      </c>
      <c r="G254" s="4">
        <v>7300</v>
      </c>
      <c r="H254" s="5">
        <v>4.7699999999999999E-2</v>
      </c>
      <c r="I254" s="2">
        <v>48</v>
      </c>
      <c r="J254" s="2" t="s">
        <v>48</v>
      </c>
      <c r="K254" s="2" t="s">
        <v>17</v>
      </c>
      <c r="L254" s="3">
        <v>46087</v>
      </c>
      <c r="M254" s="2" t="str">
        <f>_xlfn.XLOOKUP(Deals[[#This Row],[CustomerID]],Customers!A:A,Customers!F:F)</f>
        <v>Mass</v>
      </c>
      <c r="N254" s="2" t="str">
        <f>_xlfn.XLOOKUP(Deals[[#This Row],[CustomerID]],Customers!A:A,Customers!E:E)</f>
        <v>Kuwaiti</v>
      </c>
      <c r="O254" s="2">
        <f>2026-_xlfn.XLOOKUP(Deals[[#This Row],[CustomerID]],Customers!A:A,Customers!D:D)</f>
        <v>27</v>
      </c>
      <c r="P254" s="2" t="str" cm="1">
        <f t="array" ref="P254">_xlfn.IFS(Deals[[#This Row],[Age]]&lt;30,"Under 30",Deals[[#This Row],[Age]]&lt;45,"30-44",TRUE,"45+")</f>
        <v>Under 30</v>
      </c>
      <c r="Q254" s="21">
        <f>IF(Deals[[#This Row],[Status]]="Pending","",Deals[[#This Row],[DecisionDate]]-Deals[[#This Row],[ApplicationDate]])</f>
        <v>3</v>
      </c>
      <c r="R254" s="21">
        <f>IF(Deals[[#This Row],[Status]]="Approved",1,0)</f>
        <v>1</v>
      </c>
      <c r="S254" s="21">
        <f>IF(Deals[[#This Row],[IsApproved]]=1,Deals[[#This Row],[Amount]],0)</f>
        <v>7300</v>
      </c>
      <c r="T254" s="21">
        <f>Deals[[#This Row],[ApprovedAmount]]*Deals[[#This Row],[ProfitRate]]</f>
        <v>348.21</v>
      </c>
    </row>
    <row r="255" spans="1:20">
      <c r="A255" s="2" t="s">
        <v>544</v>
      </c>
      <c r="B255" s="3">
        <v>46084</v>
      </c>
      <c r="C255" s="2" t="s">
        <v>545</v>
      </c>
      <c r="D255" s="2" t="s">
        <v>25</v>
      </c>
      <c r="E255" s="2" t="s">
        <v>30</v>
      </c>
      <c r="F255" s="2" t="s">
        <v>3</v>
      </c>
      <c r="G255" s="4">
        <v>9600</v>
      </c>
      <c r="H255" s="5">
        <v>3.8600000000000002E-2</v>
      </c>
      <c r="I255" s="2">
        <v>60</v>
      </c>
      <c r="J255" s="2" t="s">
        <v>26</v>
      </c>
      <c r="K255" s="2" t="s">
        <v>17</v>
      </c>
      <c r="L255" s="3">
        <v>46087</v>
      </c>
      <c r="M255" s="2" t="str">
        <f>_xlfn.XLOOKUP(Deals[[#This Row],[CustomerID]],Customers!A:A,Customers!F:F)</f>
        <v>Affluent</v>
      </c>
      <c r="N255" s="2" t="str">
        <f>_xlfn.XLOOKUP(Deals[[#This Row],[CustomerID]],Customers!A:A,Customers!E:E)</f>
        <v>Kuwaiti</v>
      </c>
      <c r="O255" s="2">
        <f>2026-_xlfn.XLOOKUP(Deals[[#This Row],[CustomerID]],Customers!A:A,Customers!D:D)</f>
        <v>39</v>
      </c>
      <c r="P255" s="2" t="str" cm="1">
        <f t="array" ref="P255">_xlfn.IFS(Deals[[#This Row],[Age]]&lt;30,"Under 30",Deals[[#This Row],[Age]]&lt;45,"30-44",TRUE,"45+")</f>
        <v>30-44</v>
      </c>
      <c r="Q255" s="21">
        <f>IF(Deals[[#This Row],[Status]]="Pending","",Deals[[#This Row],[DecisionDate]]-Deals[[#This Row],[ApplicationDate]])</f>
        <v>3</v>
      </c>
      <c r="R255" s="21">
        <f>IF(Deals[[#This Row],[Status]]="Approved",1,0)</f>
        <v>1</v>
      </c>
      <c r="S255" s="21">
        <f>IF(Deals[[#This Row],[IsApproved]]=1,Deals[[#This Row],[Amount]],0)</f>
        <v>9600</v>
      </c>
      <c r="T255" s="21">
        <f>Deals[[#This Row],[ApprovedAmount]]*Deals[[#This Row],[ProfitRate]]</f>
        <v>370.56</v>
      </c>
    </row>
    <row r="256" spans="1:20">
      <c r="A256" s="2" t="s">
        <v>547</v>
      </c>
      <c r="B256" s="3">
        <v>46085</v>
      </c>
      <c r="C256" s="2" t="s">
        <v>443</v>
      </c>
      <c r="D256" s="2" t="s">
        <v>14</v>
      </c>
      <c r="E256" s="2" t="s">
        <v>15</v>
      </c>
      <c r="F256" s="2" t="s">
        <v>31</v>
      </c>
      <c r="G256" s="4">
        <v>20100</v>
      </c>
      <c r="H256" s="5">
        <v>5.4600000000000003E-2</v>
      </c>
      <c r="I256" s="2">
        <v>48</v>
      </c>
      <c r="J256" s="2" t="s">
        <v>48</v>
      </c>
      <c r="K256" s="2" t="s">
        <v>17</v>
      </c>
      <c r="L256" s="3">
        <v>46086</v>
      </c>
      <c r="M256" s="2" t="str">
        <f>_xlfn.XLOOKUP(Deals[[#This Row],[CustomerID]],Customers!A:A,Customers!F:F)</f>
        <v>Affluent</v>
      </c>
      <c r="N256" s="2" t="str">
        <f>_xlfn.XLOOKUP(Deals[[#This Row],[CustomerID]],Customers!A:A,Customers!E:E)</f>
        <v>Kuwaiti</v>
      </c>
      <c r="O256" s="2">
        <f>2026-_xlfn.XLOOKUP(Deals[[#This Row],[CustomerID]],Customers!A:A,Customers!D:D)</f>
        <v>52</v>
      </c>
      <c r="P256" s="2" t="str" cm="1">
        <f t="array" ref="P256">_xlfn.IFS(Deals[[#This Row],[Age]]&lt;30,"Under 30",Deals[[#This Row],[Age]]&lt;45,"30-44",TRUE,"45+")</f>
        <v>45+</v>
      </c>
      <c r="Q256" s="21">
        <f>IF(Deals[[#This Row],[Status]]="Pending","",Deals[[#This Row],[DecisionDate]]-Deals[[#This Row],[ApplicationDate]])</f>
        <v>1</v>
      </c>
      <c r="R256" s="21">
        <f>IF(Deals[[#This Row],[Status]]="Approved",1,0)</f>
        <v>1</v>
      </c>
      <c r="S256" s="21">
        <f>IF(Deals[[#This Row],[IsApproved]]=1,Deals[[#This Row],[Amount]],0)</f>
        <v>20100</v>
      </c>
      <c r="T256" s="21">
        <f>Deals[[#This Row],[ApprovedAmount]]*Deals[[#This Row],[ProfitRate]]</f>
        <v>1097.46</v>
      </c>
    </row>
    <row r="257" spans="1:20">
      <c r="A257" s="2" t="s">
        <v>548</v>
      </c>
      <c r="B257" s="3">
        <v>46085</v>
      </c>
      <c r="C257" s="2" t="s">
        <v>549</v>
      </c>
      <c r="D257" s="2" t="s">
        <v>29</v>
      </c>
      <c r="E257" s="2" t="s">
        <v>30</v>
      </c>
      <c r="F257" s="2" t="s">
        <v>3</v>
      </c>
      <c r="G257" s="4">
        <v>12000</v>
      </c>
      <c r="H257" s="5">
        <v>3.7400000000000003E-2</v>
      </c>
      <c r="I257" s="2">
        <v>36</v>
      </c>
      <c r="J257" s="2" t="s">
        <v>32</v>
      </c>
      <c r="K257" s="2" t="s">
        <v>17</v>
      </c>
      <c r="L257" s="3">
        <v>46086</v>
      </c>
      <c r="M257" s="2" t="str">
        <f>_xlfn.XLOOKUP(Deals[[#This Row],[CustomerID]],Customers!A:A,Customers!F:F)</f>
        <v>Mass</v>
      </c>
      <c r="N257" s="2" t="str">
        <f>_xlfn.XLOOKUP(Deals[[#This Row],[CustomerID]],Customers!A:A,Customers!E:E)</f>
        <v>Non-Kuwaiti</v>
      </c>
      <c r="O257" s="2">
        <f>2026-_xlfn.XLOOKUP(Deals[[#This Row],[CustomerID]],Customers!A:A,Customers!D:D)</f>
        <v>35</v>
      </c>
      <c r="P257" s="2" t="str" cm="1">
        <f t="array" ref="P257">_xlfn.IFS(Deals[[#This Row],[Age]]&lt;30,"Under 30",Deals[[#This Row],[Age]]&lt;45,"30-44",TRUE,"45+")</f>
        <v>30-44</v>
      </c>
      <c r="Q257" s="21">
        <f>IF(Deals[[#This Row],[Status]]="Pending","",Deals[[#This Row],[DecisionDate]]-Deals[[#This Row],[ApplicationDate]])</f>
        <v>1</v>
      </c>
      <c r="R257" s="21">
        <f>IF(Deals[[#This Row],[Status]]="Approved",1,0)</f>
        <v>1</v>
      </c>
      <c r="S257" s="21">
        <f>IF(Deals[[#This Row],[IsApproved]]=1,Deals[[#This Row],[Amount]],0)</f>
        <v>12000</v>
      </c>
      <c r="T257" s="21">
        <f>Deals[[#This Row],[ApprovedAmount]]*Deals[[#This Row],[ProfitRate]]</f>
        <v>448.8</v>
      </c>
    </row>
    <row r="258" spans="1:20">
      <c r="A258" s="2" t="s">
        <v>550</v>
      </c>
      <c r="B258" s="3">
        <v>46085</v>
      </c>
      <c r="C258" s="2" t="s">
        <v>216</v>
      </c>
      <c r="D258" s="2" t="s">
        <v>29</v>
      </c>
      <c r="E258" s="2" t="s">
        <v>30</v>
      </c>
      <c r="F258" s="2" t="s">
        <v>55</v>
      </c>
      <c r="G258" s="4">
        <v>13600</v>
      </c>
      <c r="H258" s="5">
        <v>4.82E-2</v>
      </c>
      <c r="I258" s="2">
        <v>60</v>
      </c>
      <c r="J258" s="2" t="s">
        <v>32</v>
      </c>
      <c r="K258" s="2" t="s">
        <v>17</v>
      </c>
      <c r="L258" s="3">
        <v>46089</v>
      </c>
      <c r="M258" s="2" t="str">
        <f>_xlfn.XLOOKUP(Deals[[#This Row],[CustomerID]],Customers!A:A,Customers!F:F)</f>
        <v>Mass</v>
      </c>
      <c r="N258" s="2" t="str">
        <f>_xlfn.XLOOKUP(Deals[[#This Row],[CustomerID]],Customers!A:A,Customers!E:E)</f>
        <v>Kuwaiti</v>
      </c>
      <c r="O258" s="2">
        <f>2026-_xlfn.XLOOKUP(Deals[[#This Row],[CustomerID]],Customers!A:A,Customers!D:D)</f>
        <v>30</v>
      </c>
      <c r="P258" s="2" t="str" cm="1">
        <f t="array" ref="P258">_xlfn.IFS(Deals[[#This Row],[Age]]&lt;30,"Under 30",Deals[[#This Row],[Age]]&lt;45,"30-44",TRUE,"45+")</f>
        <v>30-44</v>
      </c>
      <c r="Q258" s="21">
        <f>IF(Deals[[#This Row],[Status]]="Pending","",Deals[[#This Row],[DecisionDate]]-Deals[[#This Row],[ApplicationDate]])</f>
        <v>4</v>
      </c>
      <c r="R258" s="21">
        <f>IF(Deals[[#This Row],[Status]]="Approved",1,0)</f>
        <v>1</v>
      </c>
      <c r="S258" s="21">
        <f>IF(Deals[[#This Row],[IsApproved]]=1,Deals[[#This Row],[Amount]],0)</f>
        <v>13600</v>
      </c>
      <c r="T258" s="21">
        <f>Deals[[#This Row],[ApprovedAmount]]*Deals[[#This Row],[ProfitRate]]</f>
        <v>655.52</v>
      </c>
    </row>
    <row r="259" spans="1:20">
      <c r="A259" s="2" t="s">
        <v>551</v>
      </c>
      <c r="B259" s="3">
        <v>46085</v>
      </c>
      <c r="C259" s="2" t="s">
        <v>552</v>
      </c>
      <c r="D259" s="2" t="s">
        <v>29</v>
      </c>
      <c r="E259" s="2" t="s">
        <v>43</v>
      </c>
      <c r="F259" s="2" t="s">
        <v>3</v>
      </c>
      <c r="G259" s="4">
        <v>147800</v>
      </c>
      <c r="H259" s="5">
        <v>5.7500000000000002E-2</v>
      </c>
      <c r="I259" s="2">
        <v>24</v>
      </c>
      <c r="J259" s="2" t="s">
        <v>32</v>
      </c>
      <c r="K259" s="2" t="s">
        <v>45</v>
      </c>
      <c r="L259" s="3">
        <v>46095</v>
      </c>
      <c r="M259" s="2" t="str">
        <f>_xlfn.XLOOKUP(Deals[[#This Row],[CustomerID]],Customers!A:A,Customers!F:F)</f>
        <v>Mass</v>
      </c>
      <c r="N259" s="2" t="str">
        <f>_xlfn.XLOOKUP(Deals[[#This Row],[CustomerID]],Customers!A:A,Customers!E:E)</f>
        <v>Kuwaiti</v>
      </c>
      <c r="O259" s="2">
        <f>2026-_xlfn.XLOOKUP(Deals[[#This Row],[CustomerID]],Customers!A:A,Customers!D:D)</f>
        <v>50</v>
      </c>
      <c r="P259" s="2" t="str" cm="1">
        <f t="array" ref="P259">_xlfn.IFS(Deals[[#This Row],[Age]]&lt;30,"Under 30",Deals[[#This Row],[Age]]&lt;45,"30-44",TRUE,"45+")</f>
        <v>45+</v>
      </c>
      <c r="Q259" s="21">
        <f>IF(Deals[[#This Row],[Status]]="Pending","",Deals[[#This Row],[DecisionDate]]-Deals[[#This Row],[ApplicationDate]])</f>
        <v>10</v>
      </c>
      <c r="R259" s="21">
        <f>IF(Deals[[#This Row],[Status]]="Approved",1,0)</f>
        <v>0</v>
      </c>
      <c r="S259" s="21">
        <f>IF(Deals[[#This Row],[IsApproved]]=1,Deals[[#This Row],[Amount]],0)</f>
        <v>0</v>
      </c>
      <c r="T259" s="21">
        <f>Deals[[#This Row],[ApprovedAmount]]*Deals[[#This Row],[ProfitRate]]</f>
        <v>0</v>
      </c>
    </row>
    <row r="260" spans="1:20">
      <c r="A260" s="2" t="s">
        <v>553</v>
      </c>
      <c r="B260" s="3">
        <v>46086</v>
      </c>
      <c r="C260" s="2" t="s">
        <v>554</v>
      </c>
      <c r="D260" s="2" t="s">
        <v>25</v>
      </c>
      <c r="E260" s="2" t="s">
        <v>30</v>
      </c>
      <c r="F260" s="2" t="s">
        <v>3</v>
      </c>
      <c r="G260" s="4">
        <v>13300</v>
      </c>
      <c r="H260" s="5">
        <v>3.7699999999999997E-2</v>
      </c>
      <c r="I260" s="2">
        <v>48</v>
      </c>
      <c r="J260" s="2" t="s">
        <v>26</v>
      </c>
      <c r="K260" s="2" t="s">
        <v>17</v>
      </c>
      <c r="L260" s="3">
        <v>46088</v>
      </c>
      <c r="M260" s="2" t="str">
        <f>_xlfn.XLOOKUP(Deals[[#This Row],[CustomerID]],Customers!A:A,Customers!F:F)</f>
        <v>Affluent</v>
      </c>
      <c r="N260" s="2" t="str">
        <f>_xlfn.XLOOKUP(Deals[[#This Row],[CustomerID]],Customers!A:A,Customers!E:E)</f>
        <v>Kuwaiti</v>
      </c>
      <c r="O260" s="2">
        <f>2026-_xlfn.XLOOKUP(Deals[[#This Row],[CustomerID]],Customers!A:A,Customers!D:D)</f>
        <v>33</v>
      </c>
      <c r="P260" s="2" t="str" cm="1">
        <f t="array" ref="P260">_xlfn.IFS(Deals[[#This Row],[Age]]&lt;30,"Under 30",Deals[[#This Row],[Age]]&lt;45,"30-44",TRUE,"45+")</f>
        <v>30-44</v>
      </c>
      <c r="Q260" s="21">
        <f>IF(Deals[[#This Row],[Status]]="Pending","",Deals[[#This Row],[DecisionDate]]-Deals[[#This Row],[ApplicationDate]])</f>
        <v>2</v>
      </c>
      <c r="R260" s="21">
        <f>IF(Deals[[#This Row],[Status]]="Approved",1,0)</f>
        <v>1</v>
      </c>
      <c r="S260" s="21">
        <f>IF(Deals[[#This Row],[IsApproved]]=1,Deals[[#This Row],[Amount]],0)</f>
        <v>13300</v>
      </c>
      <c r="T260" s="21">
        <f>Deals[[#This Row],[ApprovedAmount]]*Deals[[#This Row],[ProfitRate]]</f>
        <v>501.40999999999997</v>
      </c>
    </row>
    <row r="261" spans="1:20">
      <c r="A261" s="2" t="s">
        <v>555</v>
      </c>
      <c r="B261" s="3">
        <v>46086</v>
      </c>
      <c r="C261" s="2" t="s">
        <v>65</v>
      </c>
      <c r="D261" s="2" t="s">
        <v>29</v>
      </c>
      <c r="E261" s="2" t="s">
        <v>21</v>
      </c>
      <c r="F261" s="2" t="s">
        <v>31</v>
      </c>
      <c r="G261" s="4">
        <v>73700</v>
      </c>
      <c r="H261" s="5">
        <v>3.6400000000000002E-2</v>
      </c>
      <c r="I261" s="2">
        <v>300</v>
      </c>
      <c r="J261" s="2" t="s">
        <v>123</v>
      </c>
      <c r="K261" s="2" t="s">
        <v>17</v>
      </c>
      <c r="L261" s="3">
        <v>46113</v>
      </c>
      <c r="M261" s="2" t="str">
        <f>_xlfn.XLOOKUP(Deals[[#This Row],[CustomerID]],Customers!A:A,Customers!F:F)</f>
        <v>Mass</v>
      </c>
      <c r="N261" s="2" t="str">
        <f>_xlfn.XLOOKUP(Deals[[#This Row],[CustomerID]],Customers!A:A,Customers!E:E)</f>
        <v>Non-Kuwaiti</v>
      </c>
      <c r="O261" s="2">
        <f>2026-_xlfn.XLOOKUP(Deals[[#This Row],[CustomerID]],Customers!A:A,Customers!D:D)</f>
        <v>25</v>
      </c>
      <c r="P261" s="2" t="str" cm="1">
        <f t="array" ref="P261">_xlfn.IFS(Deals[[#This Row],[Age]]&lt;30,"Under 30",Deals[[#This Row],[Age]]&lt;45,"30-44",TRUE,"45+")</f>
        <v>Under 30</v>
      </c>
      <c r="Q261" s="21">
        <f>IF(Deals[[#This Row],[Status]]="Pending","",Deals[[#This Row],[DecisionDate]]-Deals[[#This Row],[ApplicationDate]])</f>
        <v>27</v>
      </c>
      <c r="R261" s="21">
        <f>IF(Deals[[#This Row],[Status]]="Approved",1,0)</f>
        <v>1</v>
      </c>
      <c r="S261" s="21">
        <f>IF(Deals[[#This Row],[IsApproved]]=1,Deals[[#This Row],[Amount]],0)</f>
        <v>73700</v>
      </c>
      <c r="T261" s="21">
        <f>Deals[[#This Row],[ApprovedAmount]]*Deals[[#This Row],[ProfitRate]]</f>
        <v>2682.6800000000003</v>
      </c>
    </row>
    <row r="262" spans="1:20">
      <c r="A262" s="2" t="s">
        <v>556</v>
      </c>
      <c r="B262" s="3">
        <v>46087</v>
      </c>
      <c r="C262" s="2" t="s">
        <v>557</v>
      </c>
      <c r="D262" s="2" t="s">
        <v>29</v>
      </c>
      <c r="E262" s="2" t="s">
        <v>15</v>
      </c>
      <c r="F262" s="2" t="s">
        <v>3</v>
      </c>
      <c r="G262" s="4">
        <v>22900</v>
      </c>
      <c r="H262" s="5">
        <v>5.4699999999999999E-2</v>
      </c>
      <c r="I262" s="2">
        <v>48</v>
      </c>
      <c r="J262" s="2" t="s">
        <v>61</v>
      </c>
      <c r="K262" s="2" t="s">
        <v>17</v>
      </c>
      <c r="L262" s="3">
        <v>46089</v>
      </c>
      <c r="M262" s="2" t="str">
        <f>_xlfn.XLOOKUP(Deals[[#This Row],[CustomerID]],Customers!A:A,Customers!F:F)</f>
        <v>Mass</v>
      </c>
      <c r="N262" s="2" t="str">
        <f>_xlfn.XLOOKUP(Deals[[#This Row],[CustomerID]],Customers!A:A,Customers!E:E)</f>
        <v>Non-Kuwaiti</v>
      </c>
      <c r="O262" s="2">
        <f>2026-_xlfn.XLOOKUP(Deals[[#This Row],[CustomerID]],Customers!A:A,Customers!D:D)</f>
        <v>29</v>
      </c>
      <c r="P262" s="2" t="str" cm="1">
        <f t="array" ref="P262">_xlfn.IFS(Deals[[#This Row],[Age]]&lt;30,"Under 30",Deals[[#This Row],[Age]]&lt;45,"30-44",TRUE,"45+")</f>
        <v>Under 30</v>
      </c>
      <c r="Q262" s="21">
        <f>IF(Deals[[#This Row],[Status]]="Pending","",Deals[[#This Row],[DecisionDate]]-Deals[[#This Row],[ApplicationDate]])</f>
        <v>2</v>
      </c>
      <c r="R262" s="21">
        <f>IF(Deals[[#This Row],[Status]]="Approved",1,0)</f>
        <v>1</v>
      </c>
      <c r="S262" s="21">
        <f>IF(Deals[[#This Row],[IsApproved]]=1,Deals[[#This Row],[Amount]],0)</f>
        <v>22900</v>
      </c>
      <c r="T262" s="21">
        <f>Deals[[#This Row],[ApprovedAmount]]*Deals[[#This Row],[ProfitRate]]</f>
        <v>1252.6299999999999</v>
      </c>
    </row>
    <row r="263" spans="1:20">
      <c r="A263" s="2" t="s">
        <v>558</v>
      </c>
      <c r="B263" s="3">
        <v>46087</v>
      </c>
      <c r="C263" s="2" t="s">
        <v>328</v>
      </c>
      <c r="D263" s="2" t="s">
        <v>29</v>
      </c>
      <c r="E263" s="2" t="s">
        <v>15</v>
      </c>
      <c r="F263" s="2" t="s">
        <v>31</v>
      </c>
      <c r="G263" s="4">
        <v>4000</v>
      </c>
      <c r="H263" s="5">
        <v>5.8299999999999998E-2</v>
      </c>
      <c r="I263" s="2">
        <v>60</v>
      </c>
      <c r="J263" s="2" t="s">
        <v>123</v>
      </c>
      <c r="K263" s="2" t="s">
        <v>17</v>
      </c>
      <c r="L263" s="3">
        <v>46091</v>
      </c>
      <c r="M263" s="2" t="str">
        <f>_xlfn.XLOOKUP(Deals[[#This Row],[CustomerID]],Customers!A:A,Customers!F:F)</f>
        <v>Affluent</v>
      </c>
      <c r="N263" s="2" t="str">
        <f>_xlfn.XLOOKUP(Deals[[#This Row],[CustomerID]],Customers!A:A,Customers!E:E)</f>
        <v>Kuwaiti</v>
      </c>
      <c r="O263" s="2">
        <f>2026-_xlfn.XLOOKUP(Deals[[#This Row],[CustomerID]],Customers!A:A,Customers!D:D)</f>
        <v>63</v>
      </c>
      <c r="P263" s="2" t="str" cm="1">
        <f t="array" ref="P263">_xlfn.IFS(Deals[[#This Row],[Age]]&lt;30,"Under 30",Deals[[#This Row],[Age]]&lt;45,"30-44",TRUE,"45+")</f>
        <v>45+</v>
      </c>
      <c r="Q263" s="21">
        <f>IF(Deals[[#This Row],[Status]]="Pending","",Deals[[#This Row],[DecisionDate]]-Deals[[#This Row],[ApplicationDate]])</f>
        <v>4</v>
      </c>
      <c r="R263" s="21">
        <f>IF(Deals[[#This Row],[Status]]="Approved",1,0)</f>
        <v>1</v>
      </c>
      <c r="S263" s="21">
        <f>IF(Deals[[#This Row],[IsApproved]]=1,Deals[[#This Row],[Amount]],0)</f>
        <v>4000</v>
      </c>
      <c r="T263" s="21">
        <f>Deals[[#This Row],[ApprovedAmount]]*Deals[[#This Row],[ProfitRate]]</f>
        <v>233.2</v>
      </c>
    </row>
    <row r="264" spans="1:20">
      <c r="A264" s="2" t="s">
        <v>559</v>
      </c>
      <c r="B264" s="3">
        <v>46087</v>
      </c>
      <c r="C264" s="2" t="s">
        <v>560</v>
      </c>
      <c r="D264" s="2" t="s">
        <v>20</v>
      </c>
      <c r="E264" s="2" t="s">
        <v>30</v>
      </c>
      <c r="F264" s="2" t="s">
        <v>31</v>
      </c>
      <c r="G264" s="4">
        <v>10400</v>
      </c>
      <c r="H264" s="5">
        <v>3.6400000000000002E-2</v>
      </c>
      <c r="I264" s="2">
        <v>36</v>
      </c>
      <c r="J264" s="2" t="s">
        <v>37</v>
      </c>
      <c r="K264" s="2" t="s">
        <v>17</v>
      </c>
      <c r="L264" s="3">
        <v>46090</v>
      </c>
      <c r="M264" s="2" t="str">
        <f>_xlfn.XLOOKUP(Deals[[#This Row],[CustomerID]],Customers!A:A,Customers!F:F)</f>
        <v>Mass</v>
      </c>
      <c r="N264" s="2" t="str">
        <f>_xlfn.XLOOKUP(Deals[[#This Row],[CustomerID]],Customers!A:A,Customers!E:E)</f>
        <v>Kuwaiti</v>
      </c>
      <c r="O264" s="2">
        <f>2026-_xlfn.XLOOKUP(Deals[[#This Row],[CustomerID]],Customers!A:A,Customers!D:D)</f>
        <v>29</v>
      </c>
      <c r="P264" s="2" t="str" cm="1">
        <f t="array" ref="P264">_xlfn.IFS(Deals[[#This Row],[Age]]&lt;30,"Under 30",Deals[[#This Row],[Age]]&lt;45,"30-44",TRUE,"45+")</f>
        <v>Under 30</v>
      </c>
      <c r="Q264" s="21">
        <f>IF(Deals[[#This Row],[Status]]="Pending","",Deals[[#This Row],[DecisionDate]]-Deals[[#This Row],[ApplicationDate]])</f>
        <v>3</v>
      </c>
      <c r="R264" s="21">
        <f>IF(Deals[[#This Row],[Status]]="Approved",1,0)</f>
        <v>1</v>
      </c>
      <c r="S264" s="21">
        <f>IF(Deals[[#This Row],[IsApproved]]=1,Deals[[#This Row],[Amount]],0)</f>
        <v>10400</v>
      </c>
      <c r="T264" s="21">
        <f>Deals[[#This Row],[ApprovedAmount]]*Deals[[#This Row],[ProfitRate]]</f>
        <v>378.56</v>
      </c>
    </row>
    <row r="265" spans="1:20">
      <c r="A265" s="2" t="s">
        <v>561</v>
      </c>
      <c r="B265" s="3">
        <v>46088</v>
      </c>
      <c r="C265" s="2" t="s">
        <v>562</v>
      </c>
      <c r="D265" s="2" t="s">
        <v>20</v>
      </c>
      <c r="E265" s="2" t="s">
        <v>15</v>
      </c>
      <c r="F265" s="2" t="s">
        <v>31</v>
      </c>
      <c r="G265" s="4">
        <v>7300</v>
      </c>
      <c r="H265" s="5">
        <v>6.2700000000000006E-2</v>
      </c>
      <c r="I265" s="2">
        <v>60</v>
      </c>
      <c r="J265" s="2" t="s">
        <v>44</v>
      </c>
      <c r="K265" s="2" t="s">
        <v>17</v>
      </c>
      <c r="L265" s="3">
        <v>46088</v>
      </c>
      <c r="M265" s="2" t="str">
        <f>_xlfn.XLOOKUP(Deals[[#This Row],[CustomerID]],Customers!A:A,Customers!F:F)</f>
        <v>Mass</v>
      </c>
      <c r="N265" s="2" t="str">
        <f>_xlfn.XLOOKUP(Deals[[#This Row],[CustomerID]],Customers!A:A,Customers!E:E)</f>
        <v>Kuwaiti</v>
      </c>
      <c r="O265" s="2">
        <f>2026-_xlfn.XLOOKUP(Deals[[#This Row],[CustomerID]],Customers!A:A,Customers!D:D)</f>
        <v>31</v>
      </c>
      <c r="P265" s="2" t="str" cm="1">
        <f t="array" ref="P265">_xlfn.IFS(Deals[[#This Row],[Age]]&lt;30,"Under 30",Deals[[#This Row],[Age]]&lt;45,"30-44",TRUE,"45+")</f>
        <v>30-44</v>
      </c>
      <c r="Q265" s="21">
        <f>IF(Deals[[#This Row],[Status]]="Pending","",Deals[[#This Row],[DecisionDate]]-Deals[[#This Row],[ApplicationDate]])</f>
        <v>0</v>
      </c>
      <c r="R265" s="21">
        <f>IF(Deals[[#This Row],[Status]]="Approved",1,0)</f>
        <v>1</v>
      </c>
      <c r="S265" s="21">
        <f>IF(Deals[[#This Row],[IsApproved]]=1,Deals[[#This Row],[Amount]],0)</f>
        <v>7300</v>
      </c>
      <c r="T265" s="21">
        <f>Deals[[#This Row],[ApprovedAmount]]*Deals[[#This Row],[ProfitRate]]</f>
        <v>457.71000000000004</v>
      </c>
    </row>
    <row r="266" spans="1:20">
      <c r="A266" s="2" t="s">
        <v>563</v>
      </c>
      <c r="B266" s="3">
        <v>46088</v>
      </c>
      <c r="C266" s="2" t="s">
        <v>290</v>
      </c>
      <c r="D266" s="2" t="s">
        <v>54</v>
      </c>
      <c r="E266" s="2" t="s">
        <v>15</v>
      </c>
      <c r="F266" s="2" t="s">
        <v>3</v>
      </c>
      <c r="G266" s="4">
        <v>13300</v>
      </c>
      <c r="H266" s="5">
        <v>6.6600000000000006E-2</v>
      </c>
      <c r="I266" s="2">
        <v>48</v>
      </c>
      <c r="J266" s="2" t="s">
        <v>186</v>
      </c>
      <c r="K266" s="2" t="s">
        <v>17</v>
      </c>
      <c r="L266" s="3">
        <v>46089</v>
      </c>
      <c r="M266" s="2" t="str">
        <f>_xlfn.XLOOKUP(Deals[[#This Row],[CustomerID]],Customers!A:A,Customers!F:F)</f>
        <v>Affluent</v>
      </c>
      <c r="N266" s="2" t="str">
        <f>_xlfn.XLOOKUP(Deals[[#This Row],[CustomerID]],Customers!A:A,Customers!E:E)</f>
        <v>Non-Kuwaiti</v>
      </c>
      <c r="O266" s="2">
        <f>2026-_xlfn.XLOOKUP(Deals[[#This Row],[CustomerID]],Customers!A:A,Customers!D:D)</f>
        <v>29</v>
      </c>
      <c r="P266" s="2" t="str" cm="1">
        <f t="array" ref="P266">_xlfn.IFS(Deals[[#This Row],[Age]]&lt;30,"Under 30",Deals[[#This Row],[Age]]&lt;45,"30-44",TRUE,"45+")</f>
        <v>Under 30</v>
      </c>
      <c r="Q266" s="21">
        <f>IF(Deals[[#This Row],[Status]]="Pending","",Deals[[#This Row],[DecisionDate]]-Deals[[#This Row],[ApplicationDate]])</f>
        <v>1</v>
      </c>
      <c r="R266" s="21">
        <f>IF(Deals[[#This Row],[Status]]="Approved",1,0)</f>
        <v>1</v>
      </c>
      <c r="S266" s="21">
        <f>IF(Deals[[#This Row],[IsApproved]]=1,Deals[[#This Row],[Amount]],0)</f>
        <v>13300</v>
      </c>
      <c r="T266" s="21">
        <f>Deals[[#This Row],[ApprovedAmount]]*Deals[[#This Row],[ProfitRate]]</f>
        <v>885.78000000000009</v>
      </c>
    </row>
    <row r="267" spans="1:20">
      <c r="A267" s="2" t="s">
        <v>564</v>
      </c>
      <c r="B267" s="3">
        <v>46088</v>
      </c>
      <c r="C267" s="2" t="s">
        <v>324</v>
      </c>
      <c r="D267" s="2" t="s">
        <v>54</v>
      </c>
      <c r="E267" s="2" t="s">
        <v>15</v>
      </c>
      <c r="F267" s="2" t="s">
        <v>55</v>
      </c>
      <c r="G267" s="4">
        <v>25000</v>
      </c>
      <c r="H267" s="5">
        <v>5.6500000000000002E-2</v>
      </c>
      <c r="I267" s="2">
        <v>48</v>
      </c>
      <c r="J267" s="2" t="s">
        <v>148</v>
      </c>
      <c r="K267" s="2" t="s">
        <v>17</v>
      </c>
      <c r="L267" s="3">
        <v>46093</v>
      </c>
      <c r="M267" s="2" t="str">
        <f>_xlfn.XLOOKUP(Deals[[#This Row],[CustomerID]],Customers!A:A,Customers!F:F)</f>
        <v>Affluent</v>
      </c>
      <c r="N267" s="2" t="str">
        <f>_xlfn.XLOOKUP(Deals[[#This Row],[CustomerID]],Customers!A:A,Customers!E:E)</f>
        <v>Kuwaiti</v>
      </c>
      <c r="O267" s="2">
        <f>2026-_xlfn.XLOOKUP(Deals[[#This Row],[CustomerID]],Customers!A:A,Customers!D:D)</f>
        <v>66</v>
      </c>
      <c r="P267" s="2" t="str" cm="1">
        <f t="array" ref="P267">_xlfn.IFS(Deals[[#This Row],[Age]]&lt;30,"Under 30",Deals[[#This Row],[Age]]&lt;45,"30-44",TRUE,"45+")</f>
        <v>45+</v>
      </c>
      <c r="Q267" s="21">
        <f>IF(Deals[[#This Row],[Status]]="Pending","",Deals[[#This Row],[DecisionDate]]-Deals[[#This Row],[ApplicationDate]])</f>
        <v>5</v>
      </c>
      <c r="R267" s="21">
        <f>IF(Deals[[#This Row],[Status]]="Approved",1,0)</f>
        <v>1</v>
      </c>
      <c r="S267" s="21">
        <f>IF(Deals[[#This Row],[IsApproved]]=1,Deals[[#This Row],[Amount]],0)</f>
        <v>25000</v>
      </c>
      <c r="T267" s="21">
        <f>Deals[[#This Row],[ApprovedAmount]]*Deals[[#This Row],[ProfitRate]]</f>
        <v>1412.5</v>
      </c>
    </row>
    <row r="268" spans="1:20">
      <c r="A268" s="2" t="s">
        <v>565</v>
      </c>
      <c r="B268" s="3">
        <v>46088</v>
      </c>
      <c r="C268" s="2" t="s">
        <v>566</v>
      </c>
      <c r="D268" s="2" t="s">
        <v>14</v>
      </c>
      <c r="E268" s="2" t="s">
        <v>21</v>
      </c>
      <c r="F268" s="2" t="s">
        <v>3</v>
      </c>
      <c r="G268" s="4">
        <v>216800</v>
      </c>
      <c r="H268" s="5">
        <v>4.41E-2</v>
      </c>
      <c r="I268" s="2">
        <v>300</v>
      </c>
      <c r="J268" s="2" t="s">
        <v>48</v>
      </c>
      <c r="K268" s="2" t="s">
        <v>17</v>
      </c>
      <c r="L268" s="3">
        <v>46110</v>
      </c>
      <c r="M268" s="2" t="str">
        <f>_xlfn.XLOOKUP(Deals[[#This Row],[CustomerID]],Customers!A:A,Customers!F:F)</f>
        <v>Affluent</v>
      </c>
      <c r="N268" s="2" t="str">
        <f>_xlfn.XLOOKUP(Deals[[#This Row],[CustomerID]],Customers!A:A,Customers!E:E)</f>
        <v>Kuwaiti</v>
      </c>
      <c r="O268" s="2">
        <f>2026-_xlfn.XLOOKUP(Deals[[#This Row],[CustomerID]],Customers!A:A,Customers!D:D)</f>
        <v>30</v>
      </c>
      <c r="P268" s="2" t="str" cm="1">
        <f t="array" ref="P268">_xlfn.IFS(Deals[[#This Row],[Age]]&lt;30,"Under 30",Deals[[#This Row],[Age]]&lt;45,"30-44",TRUE,"45+")</f>
        <v>30-44</v>
      </c>
      <c r="Q268" s="21">
        <f>IF(Deals[[#This Row],[Status]]="Pending","",Deals[[#This Row],[DecisionDate]]-Deals[[#This Row],[ApplicationDate]])</f>
        <v>22</v>
      </c>
      <c r="R268" s="21">
        <f>IF(Deals[[#This Row],[Status]]="Approved",1,0)</f>
        <v>1</v>
      </c>
      <c r="S268" s="21">
        <f>IF(Deals[[#This Row],[IsApproved]]=1,Deals[[#This Row],[Amount]],0)</f>
        <v>216800</v>
      </c>
      <c r="T268" s="21">
        <f>Deals[[#This Row],[ApprovedAmount]]*Deals[[#This Row],[ProfitRate]]</f>
        <v>9560.8799999999992</v>
      </c>
    </row>
    <row r="269" spans="1:20">
      <c r="A269" s="2" t="s">
        <v>567</v>
      </c>
      <c r="B269" s="3">
        <v>46088</v>
      </c>
      <c r="C269" s="2" t="s">
        <v>290</v>
      </c>
      <c r="D269" s="2" t="s">
        <v>20</v>
      </c>
      <c r="E269" s="2" t="s">
        <v>15</v>
      </c>
      <c r="F269" s="2" t="s">
        <v>55</v>
      </c>
      <c r="G269" s="4">
        <v>15500</v>
      </c>
      <c r="H269" s="5">
        <v>6.7900000000000002E-2</v>
      </c>
      <c r="I269" s="2">
        <v>60</v>
      </c>
      <c r="J269" s="2" t="s">
        <v>22</v>
      </c>
      <c r="K269" s="2" t="s">
        <v>17</v>
      </c>
      <c r="L269" s="3">
        <v>46091</v>
      </c>
      <c r="M269" s="2" t="str">
        <f>_xlfn.XLOOKUP(Deals[[#This Row],[CustomerID]],Customers!A:A,Customers!F:F)</f>
        <v>Affluent</v>
      </c>
      <c r="N269" s="2" t="str">
        <f>_xlfn.XLOOKUP(Deals[[#This Row],[CustomerID]],Customers!A:A,Customers!E:E)</f>
        <v>Non-Kuwaiti</v>
      </c>
      <c r="O269" s="2">
        <f>2026-_xlfn.XLOOKUP(Deals[[#This Row],[CustomerID]],Customers!A:A,Customers!D:D)</f>
        <v>29</v>
      </c>
      <c r="P269" s="2" t="str" cm="1">
        <f t="array" ref="P269">_xlfn.IFS(Deals[[#This Row],[Age]]&lt;30,"Under 30",Deals[[#This Row],[Age]]&lt;45,"30-44",TRUE,"45+")</f>
        <v>Under 30</v>
      </c>
      <c r="Q269" s="21">
        <f>IF(Deals[[#This Row],[Status]]="Pending","",Deals[[#This Row],[DecisionDate]]-Deals[[#This Row],[ApplicationDate]])</f>
        <v>3</v>
      </c>
      <c r="R269" s="21">
        <f>IF(Deals[[#This Row],[Status]]="Approved",1,0)</f>
        <v>1</v>
      </c>
      <c r="S269" s="21">
        <f>IF(Deals[[#This Row],[IsApproved]]=1,Deals[[#This Row],[Amount]],0)</f>
        <v>15500</v>
      </c>
      <c r="T269" s="21">
        <f>Deals[[#This Row],[ApprovedAmount]]*Deals[[#This Row],[ProfitRate]]</f>
        <v>1052.45</v>
      </c>
    </row>
    <row r="270" spans="1:20">
      <c r="A270" s="2" t="s">
        <v>568</v>
      </c>
      <c r="B270" s="3">
        <v>46088</v>
      </c>
      <c r="C270" s="2" t="s">
        <v>569</v>
      </c>
      <c r="D270" s="2" t="s">
        <v>14</v>
      </c>
      <c r="E270" s="2" t="s">
        <v>21</v>
      </c>
      <c r="F270" s="2" t="s">
        <v>3</v>
      </c>
      <c r="G270" s="4">
        <v>62300</v>
      </c>
      <c r="H270" s="5">
        <v>4.2700000000000002E-2</v>
      </c>
      <c r="I270" s="2">
        <v>120</v>
      </c>
      <c r="J270" s="2" t="s">
        <v>16</v>
      </c>
      <c r="K270" s="2" t="s">
        <v>17</v>
      </c>
      <c r="L270" s="3">
        <v>46111</v>
      </c>
      <c r="M270" s="2" t="str">
        <f>_xlfn.XLOOKUP(Deals[[#This Row],[CustomerID]],Customers!A:A,Customers!F:F)</f>
        <v>Mass</v>
      </c>
      <c r="N270" s="2" t="str">
        <f>_xlfn.XLOOKUP(Deals[[#This Row],[CustomerID]],Customers!A:A,Customers!E:E)</f>
        <v>Non-Kuwaiti</v>
      </c>
      <c r="O270" s="2">
        <f>2026-_xlfn.XLOOKUP(Deals[[#This Row],[CustomerID]],Customers!A:A,Customers!D:D)</f>
        <v>54</v>
      </c>
      <c r="P270" s="2" t="str" cm="1">
        <f t="array" ref="P270">_xlfn.IFS(Deals[[#This Row],[Age]]&lt;30,"Under 30",Deals[[#This Row],[Age]]&lt;45,"30-44",TRUE,"45+")</f>
        <v>45+</v>
      </c>
      <c r="Q270" s="21">
        <f>IF(Deals[[#This Row],[Status]]="Pending","",Deals[[#This Row],[DecisionDate]]-Deals[[#This Row],[ApplicationDate]])</f>
        <v>23</v>
      </c>
      <c r="R270" s="21">
        <f>IF(Deals[[#This Row],[Status]]="Approved",1,0)</f>
        <v>1</v>
      </c>
      <c r="S270" s="21">
        <f>IF(Deals[[#This Row],[IsApproved]]=1,Deals[[#This Row],[Amount]],0)</f>
        <v>62300</v>
      </c>
      <c r="T270" s="21">
        <f>Deals[[#This Row],[ApprovedAmount]]*Deals[[#This Row],[ProfitRate]]</f>
        <v>2660.21</v>
      </c>
    </row>
    <row r="271" spans="1:20">
      <c r="A271" s="2" t="s">
        <v>570</v>
      </c>
      <c r="B271" s="3">
        <v>46089</v>
      </c>
      <c r="C271" s="2" t="s">
        <v>571</v>
      </c>
      <c r="D271" s="2" t="s">
        <v>20</v>
      </c>
      <c r="E271" s="2" t="s">
        <v>15</v>
      </c>
      <c r="F271" s="2" t="s">
        <v>3</v>
      </c>
      <c r="G271" s="4">
        <v>24400</v>
      </c>
      <c r="H271" s="5">
        <v>5.8400000000000001E-2</v>
      </c>
      <c r="I271" s="2">
        <v>24</v>
      </c>
      <c r="J271" s="2" t="s">
        <v>44</v>
      </c>
      <c r="K271" s="2" t="s">
        <v>17</v>
      </c>
      <c r="L271" s="3">
        <v>46093</v>
      </c>
      <c r="M271" s="2" t="str">
        <f>_xlfn.XLOOKUP(Deals[[#This Row],[CustomerID]],Customers!A:A,Customers!F:F)</f>
        <v>Mass</v>
      </c>
      <c r="N271" s="2" t="str">
        <f>_xlfn.XLOOKUP(Deals[[#This Row],[CustomerID]],Customers!A:A,Customers!E:E)</f>
        <v>Non-Kuwaiti</v>
      </c>
      <c r="O271" s="2">
        <f>2026-_xlfn.XLOOKUP(Deals[[#This Row],[CustomerID]],Customers!A:A,Customers!D:D)</f>
        <v>69</v>
      </c>
      <c r="P271" s="2" t="str" cm="1">
        <f t="array" ref="P271">_xlfn.IFS(Deals[[#This Row],[Age]]&lt;30,"Under 30",Deals[[#This Row],[Age]]&lt;45,"30-44",TRUE,"45+")</f>
        <v>45+</v>
      </c>
      <c r="Q271" s="21">
        <f>IF(Deals[[#This Row],[Status]]="Pending","",Deals[[#This Row],[DecisionDate]]-Deals[[#This Row],[ApplicationDate]])</f>
        <v>4</v>
      </c>
      <c r="R271" s="21">
        <f>IF(Deals[[#This Row],[Status]]="Approved",1,0)</f>
        <v>1</v>
      </c>
      <c r="S271" s="21">
        <f>IF(Deals[[#This Row],[IsApproved]]=1,Deals[[#This Row],[Amount]],0)</f>
        <v>24400</v>
      </c>
      <c r="T271" s="21">
        <f>Deals[[#This Row],[ApprovedAmount]]*Deals[[#This Row],[ProfitRate]]</f>
        <v>1424.96</v>
      </c>
    </row>
    <row r="272" spans="1:20">
      <c r="A272" s="2" t="s">
        <v>572</v>
      </c>
      <c r="B272" s="3">
        <v>46089</v>
      </c>
      <c r="C272" s="2" t="s">
        <v>200</v>
      </c>
      <c r="D272" s="2" t="s">
        <v>29</v>
      </c>
      <c r="E272" s="2" t="s">
        <v>43</v>
      </c>
      <c r="F272" s="2" t="s">
        <v>3</v>
      </c>
      <c r="G272" s="4">
        <v>106100</v>
      </c>
      <c r="H272" s="5">
        <v>6.7299999999999999E-2</v>
      </c>
      <c r="I272" s="2">
        <v>60</v>
      </c>
      <c r="J272" s="2" t="s">
        <v>123</v>
      </c>
      <c r="K272" s="2" t="s">
        <v>17</v>
      </c>
      <c r="L272" s="3">
        <v>46101</v>
      </c>
      <c r="M272" s="2" t="str">
        <f>_xlfn.XLOOKUP(Deals[[#This Row],[CustomerID]],Customers!A:A,Customers!F:F)</f>
        <v>Mass</v>
      </c>
      <c r="N272" s="2" t="str">
        <f>_xlfn.XLOOKUP(Deals[[#This Row],[CustomerID]],Customers!A:A,Customers!E:E)</f>
        <v>Kuwaiti</v>
      </c>
      <c r="O272" s="2">
        <f>2026-_xlfn.XLOOKUP(Deals[[#This Row],[CustomerID]],Customers!A:A,Customers!D:D)</f>
        <v>50</v>
      </c>
      <c r="P272" s="2" t="str" cm="1">
        <f t="array" ref="P272">_xlfn.IFS(Deals[[#This Row],[Age]]&lt;30,"Under 30",Deals[[#This Row],[Age]]&lt;45,"30-44",TRUE,"45+")</f>
        <v>45+</v>
      </c>
      <c r="Q272" s="21">
        <f>IF(Deals[[#This Row],[Status]]="Pending","",Deals[[#This Row],[DecisionDate]]-Deals[[#This Row],[ApplicationDate]])</f>
        <v>12</v>
      </c>
      <c r="R272" s="21">
        <f>IF(Deals[[#This Row],[Status]]="Approved",1,0)</f>
        <v>1</v>
      </c>
      <c r="S272" s="21">
        <f>IF(Deals[[#This Row],[IsApproved]]=1,Deals[[#This Row],[Amount]],0)</f>
        <v>106100</v>
      </c>
      <c r="T272" s="21">
        <f>Deals[[#This Row],[ApprovedAmount]]*Deals[[#This Row],[ProfitRate]]</f>
        <v>7140.53</v>
      </c>
    </row>
    <row r="273" spans="1:20">
      <c r="A273" s="2" t="s">
        <v>573</v>
      </c>
      <c r="B273" s="3">
        <v>46089</v>
      </c>
      <c r="C273" s="2" t="s">
        <v>500</v>
      </c>
      <c r="D273" s="2" t="s">
        <v>71</v>
      </c>
      <c r="E273" s="2" t="s">
        <v>15</v>
      </c>
      <c r="F273" s="2" t="s">
        <v>3</v>
      </c>
      <c r="G273" s="4">
        <v>25000</v>
      </c>
      <c r="H273" s="5">
        <v>5.5300000000000002E-2</v>
      </c>
      <c r="I273" s="2">
        <v>48</v>
      </c>
      <c r="J273" s="2" t="s">
        <v>94</v>
      </c>
      <c r="K273" s="2" t="s">
        <v>17</v>
      </c>
      <c r="L273" s="3">
        <v>46090</v>
      </c>
      <c r="M273" s="2" t="str">
        <f>_xlfn.XLOOKUP(Deals[[#This Row],[CustomerID]],Customers!A:A,Customers!F:F)</f>
        <v>Premium</v>
      </c>
      <c r="N273" s="2" t="str">
        <f>_xlfn.XLOOKUP(Deals[[#This Row],[CustomerID]],Customers!A:A,Customers!E:E)</f>
        <v>Non-Kuwaiti</v>
      </c>
      <c r="O273" s="2">
        <f>2026-_xlfn.XLOOKUP(Deals[[#This Row],[CustomerID]],Customers!A:A,Customers!D:D)</f>
        <v>24</v>
      </c>
      <c r="P273" s="2" t="str" cm="1">
        <f t="array" ref="P273">_xlfn.IFS(Deals[[#This Row],[Age]]&lt;30,"Under 30",Deals[[#This Row],[Age]]&lt;45,"30-44",TRUE,"45+")</f>
        <v>Under 30</v>
      </c>
      <c r="Q273" s="21">
        <f>IF(Deals[[#This Row],[Status]]="Pending","",Deals[[#This Row],[DecisionDate]]-Deals[[#This Row],[ApplicationDate]])</f>
        <v>1</v>
      </c>
      <c r="R273" s="21">
        <f>IF(Deals[[#This Row],[Status]]="Approved",1,0)</f>
        <v>1</v>
      </c>
      <c r="S273" s="21">
        <f>IF(Deals[[#This Row],[IsApproved]]=1,Deals[[#This Row],[Amount]],0)</f>
        <v>25000</v>
      </c>
      <c r="T273" s="21">
        <f>Deals[[#This Row],[ApprovedAmount]]*Deals[[#This Row],[ProfitRate]]</f>
        <v>1382.5</v>
      </c>
    </row>
    <row r="274" spans="1:20">
      <c r="A274" s="2" t="s">
        <v>574</v>
      </c>
      <c r="B274" s="3">
        <v>46089</v>
      </c>
      <c r="C274" s="2" t="s">
        <v>575</v>
      </c>
      <c r="D274" s="2" t="s">
        <v>14</v>
      </c>
      <c r="E274" s="2" t="s">
        <v>15</v>
      </c>
      <c r="F274" s="2" t="s">
        <v>55</v>
      </c>
      <c r="G274" s="4">
        <v>2500</v>
      </c>
      <c r="H274" s="5">
        <v>5.4600000000000003E-2</v>
      </c>
      <c r="I274" s="2">
        <v>48</v>
      </c>
      <c r="J274" s="2" t="s">
        <v>48</v>
      </c>
      <c r="K274" s="2" t="s">
        <v>17</v>
      </c>
      <c r="L274" s="3">
        <v>46096</v>
      </c>
      <c r="M274" s="2" t="str">
        <f>_xlfn.XLOOKUP(Deals[[#This Row],[CustomerID]],Customers!A:A,Customers!F:F)</f>
        <v>Mass</v>
      </c>
      <c r="N274" s="2" t="str">
        <f>_xlfn.XLOOKUP(Deals[[#This Row],[CustomerID]],Customers!A:A,Customers!E:E)</f>
        <v>Non-Kuwaiti</v>
      </c>
      <c r="O274" s="2">
        <f>2026-_xlfn.XLOOKUP(Deals[[#This Row],[CustomerID]],Customers!A:A,Customers!D:D)</f>
        <v>34</v>
      </c>
      <c r="P274" s="2" t="str" cm="1">
        <f t="array" ref="P274">_xlfn.IFS(Deals[[#This Row],[Age]]&lt;30,"Under 30",Deals[[#This Row],[Age]]&lt;45,"30-44",TRUE,"45+")</f>
        <v>30-44</v>
      </c>
      <c r="Q274" s="21">
        <f>IF(Deals[[#This Row],[Status]]="Pending","",Deals[[#This Row],[DecisionDate]]-Deals[[#This Row],[ApplicationDate]])</f>
        <v>7</v>
      </c>
      <c r="R274" s="21">
        <f>IF(Deals[[#This Row],[Status]]="Approved",1,0)</f>
        <v>1</v>
      </c>
      <c r="S274" s="21">
        <f>IF(Deals[[#This Row],[IsApproved]]=1,Deals[[#This Row],[Amount]],0)</f>
        <v>2500</v>
      </c>
      <c r="T274" s="21">
        <f>Deals[[#This Row],[ApprovedAmount]]*Deals[[#This Row],[ProfitRate]]</f>
        <v>136.5</v>
      </c>
    </row>
    <row r="275" spans="1:20">
      <c r="A275" s="2" t="s">
        <v>576</v>
      </c>
      <c r="B275" s="3">
        <v>46089</v>
      </c>
      <c r="C275" s="2" t="s">
        <v>577</v>
      </c>
      <c r="D275" s="2" t="s">
        <v>25</v>
      </c>
      <c r="E275" s="2" t="s">
        <v>30</v>
      </c>
      <c r="F275" s="2" t="s">
        <v>3</v>
      </c>
      <c r="G275" s="4">
        <v>6100</v>
      </c>
      <c r="H275" s="5">
        <v>3.7600000000000001E-2</v>
      </c>
      <c r="I275" s="2">
        <v>48</v>
      </c>
      <c r="J275" s="2" t="s">
        <v>26</v>
      </c>
      <c r="K275" s="2" t="s">
        <v>45</v>
      </c>
      <c r="L275" s="3">
        <v>46090</v>
      </c>
      <c r="M275" s="2" t="str">
        <f>_xlfn.XLOOKUP(Deals[[#This Row],[CustomerID]],Customers!A:A,Customers!F:F)</f>
        <v>Mass</v>
      </c>
      <c r="N275" s="2" t="str">
        <f>_xlfn.XLOOKUP(Deals[[#This Row],[CustomerID]],Customers!A:A,Customers!E:E)</f>
        <v>Kuwaiti</v>
      </c>
      <c r="O275" s="2">
        <f>2026-_xlfn.XLOOKUP(Deals[[#This Row],[CustomerID]],Customers!A:A,Customers!D:D)</f>
        <v>35</v>
      </c>
      <c r="P275" s="2" t="str" cm="1">
        <f t="array" ref="P275">_xlfn.IFS(Deals[[#This Row],[Age]]&lt;30,"Under 30",Deals[[#This Row],[Age]]&lt;45,"30-44",TRUE,"45+")</f>
        <v>30-44</v>
      </c>
      <c r="Q275" s="21">
        <f>IF(Deals[[#This Row],[Status]]="Pending","",Deals[[#This Row],[DecisionDate]]-Deals[[#This Row],[ApplicationDate]])</f>
        <v>1</v>
      </c>
      <c r="R275" s="21">
        <f>IF(Deals[[#This Row],[Status]]="Approved",1,0)</f>
        <v>0</v>
      </c>
      <c r="S275" s="21">
        <f>IF(Deals[[#This Row],[IsApproved]]=1,Deals[[#This Row],[Amount]],0)</f>
        <v>0</v>
      </c>
      <c r="T275" s="21">
        <f>Deals[[#This Row],[ApprovedAmount]]*Deals[[#This Row],[ProfitRate]]</f>
        <v>0</v>
      </c>
    </row>
    <row r="276" spans="1:20">
      <c r="A276" s="2" t="s">
        <v>578</v>
      </c>
      <c r="B276" s="3">
        <v>46089</v>
      </c>
      <c r="C276" s="2" t="s">
        <v>579</v>
      </c>
      <c r="D276" s="2" t="s">
        <v>14</v>
      </c>
      <c r="E276" s="2" t="s">
        <v>30</v>
      </c>
      <c r="F276" s="2" t="s">
        <v>3</v>
      </c>
      <c r="G276" s="4">
        <v>6700</v>
      </c>
      <c r="H276" s="5">
        <v>4.3700000000000003E-2</v>
      </c>
      <c r="I276" s="2">
        <v>60</v>
      </c>
      <c r="J276" s="2" t="s">
        <v>16</v>
      </c>
      <c r="K276" s="2" t="s">
        <v>17</v>
      </c>
      <c r="L276" s="3">
        <v>46090</v>
      </c>
      <c r="M276" s="2" t="str">
        <f>_xlfn.XLOOKUP(Deals[[#This Row],[CustomerID]],Customers!A:A,Customers!F:F)</f>
        <v>Premium</v>
      </c>
      <c r="N276" s="2" t="str">
        <f>_xlfn.XLOOKUP(Deals[[#This Row],[CustomerID]],Customers!A:A,Customers!E:E)</f>
        <v>Kuwaiti</v>
      </c>
      <c r="O276" s="2">
        <f>2026-_xlfn.XLOOKUP(Deals[[#This Row],[CustomerID]],Customers!A:A,Customers!D:D)</f>
        <v>29</v>
      </c>
      <c r="P276" s="2" t="str" cm="1">
        <f t="array" ref="P276">_xlfn.IFS(Deals[[#This Row],[Age]]&lt;30,"Under 30",Deals[[#This Row],[Age]]&lt;45,"30-44",TRUE,"45+")</f>
        <v>Under 30</v>
      </c>
      <c r="Q276" s="21">
        <f>IF(Deals[[#This Row],[Status]]="Pending","",Deals[[#This Row],[DecisionDate]]-Deals[[#This Row],[ApplicationDate]])</f>
        <v>1</v>
      </c>
      <c r="R276" s="21">
        <f>IF(Deals[[#This Row],[Status]]="Approved",1,0)</f>
        <v>1</v>
      </c>
      <c r="S276" s="21">
        <f>IF(Deals[[#This Row],[IsApproved]]=1,Deals[[#This Row],[Amount]],0)</f>
        <v>6700</v>
      </c>
      <c r="T276" s="21">
        <f>Deals[[#This Row],[ApprovedAmount]]*Deals[[#This Row],[ProfitRate]]</f>
        <v>292.79000000000002</v>
      </c>
    </row>
    <row r="277" spans="1:20">
      <c r="A277" s="2" t="s">
        <v>580</v>
      </c>
      <c r="B277" s="3">
        <v>46089</v>
      </c>
      <c r="C277" s="2" t="s">
        <v>581</v>
      </c>
      <c r="D277" s="2" t="s">
        <v>54</v>
      </c>
      <c r="E277" s="2" t="s">
        <v>30</v>
      </c>
      <c r="F277" s="2" t="s">
        <v>3</v>
      </c>
      <c r="G277" s="4">
        <v>14200</v>
      </c>
      <c r="H277" s="5">
        <v>3.6799999999999999E-2</v>
      </c>
      <c r="I277" s="2">
        <v>36</v>
      </c>
      <c r="J277" s="2" t="s">
        <v>186</v>
      </c>
      <c r="K277" s="2" t="s">
        <v>45</v>
      </c>
      <c r="L277" s="3">
        <v>46090</v>
      </c>
      <c r="M277" s="2" t="str">
        <f>_xlfn.XLOOKUP(Deals[[#This Row],[CustomerID]],Customers!A:A,Customers!F:F)</f>
        <v>Mass</v>
      </c>
      <c r="N277" s="2" t="str">
        <f>_xlfn.XLOOKUP(Deals[[#This Row],[CustomerID]],Customers!A:A,Customers!E:E)</f>
        <v>Kuwaiti</v>
      </c>
      <c r="O277" s="2">
        <f>2026-_xlfn.XLOOKUP(Deals[[#This Row],[CustomerID]],Customers!A:A,Customers!D:D)</f>
        <v>69</v>
      </c>
      <c r="P277" s="2" t="str" cm="1">
        <f t="array" ref="P277">_xlfn.IFS(Deals[[#This Row],[Age]]&lt;30,"Under 30",Deals[[#This Row],[Age]]&lt;45,"30-44",TRUE,"45+")</f>
        <v>45+</v>
      </c>
      <c r="Q277" s="21">
        <f>IF(Deals[[#This Row],[Status]]="Pending","",Deals[[#This Row],[DecisionDate]]-Deals[[#This Row],[ApplicationDate]])</f>
        <v>1</v>
      </c>
      <c r="R277" s="21">
        <f>IF(Deals[[#This Row],[Status]]="Approved",1,0)</f>
        <v>0</v>
      </c>
      <c r="S277" s="21">
        <f>IF(Deals[[#This Row],[IsApproved]]=1,Deals[[#This Row],[Amount]],0)</f>
        <v>0</v>
      </c>
      <c r="T277" s="21">
        <f>Deals[[#This Row],[ApprovedAmount]]*Deals[[#This Row],[ProfitRate]]</f>
        <v>0</v>
      </c>
    </row>
    <row r="278" spans="1:20">
      <c r="A278" s="2" t="s">
        <v>582</v>
      </c>
      <c r="B278" s="3">
        <v>46089</v>
      </c>
      <c r="C278" s="2" t="s">
        <v>583</v>
      </c>
      <c r="D278" s="2" t="s">
        <v>25</v>
      </c>
      <c r="E278" s="2" t="s">
        <v>15</v>
      </c>
      <c r="F278" s="2" t="s">
        <v>3</v>
      </c>
      <c r="G278" s="4">
        <v>25000</v>
      </c>
      <c r="H278" s="5">
        <v>6.7699999999999996E-2</v>
      </c>
      <c r="I278" s="2">
        <v>12</v>
      </c>
      <c r="J278" s="2" t="s">
        <v>26</v>
      </c>
      <c r="K278" s="2" t="s">
        <v>17</v>
      </c>
      <c r="L278" s="3">
        <v>46090</v>
      </c>
      <c r="M278" s="2" t="str">
        <f>_xlfn.XLOOKUP(Deals[[#This Row],[CustomerID]],Customers!A:A,Customers!F:F)</f>
        <v>Premium</v>
      </c>
      <c r="N278" s="2" t="str">
        <f>_xlfn.XLOOKUP(Deals[[#This Row],[CustomerID]],Customers!A:A,Customers!E:E)</f>
        <v>Kuwaiti</v>
      </c>
      <c r="O278" s="2">
        <f>2026-_xlfn.XLOOKUP(Deals[[#This Row],[CustomerID]],Customers!A:A,Customers!D:D)</f>
        <v>51</v>
      </c>
      <c r="P278" s="2" t="str" cm="1">
        <f t="array" ref="P278">_xlfn.IFS(Deals[[#This Row],[Age]]&lt;30,"Under 30",Deals[[#This Row],[Age]]&lt;45,"30-44",TRUE,"45+")</f>
        <v>45+</v>
      </c>
      <c r="Q278" s="21">
        <f>IF(Deals[[#This Row],[Status]]="Pending","",Deals[[#This Row],[DecisionDate]]-Deals[[#This Row],[ApplicationDate]])</f>
        <v>1</v>
      </c>
      <c r="R278" s="21">
        <f>IF(Deals[[#This Row],[Status]]="Approved",1,0)</f>
        <v>1</v>
      </c>
      <c r="S278" s="21">
        <f>IF(Deals[[#This Row],[IsApproved]]=1,Deals[[#This Row],[Amount]],0)</f>
        <v>25000</v>
      </c>
      <c r="T278" s="21">
        <f>Deals[[#This Row],[ApprovedAmount]]*Deals[[#This Row],[ProfitRate]]</f>
        <v>1692.5</v>
      </c>
    </row>
    <row r="279" spans="1:20">
      <c r="A279" s="2" t="s">
        <v>584</v>
      </c>
      <c r="B279" s="3">
        <v>46090</v>
      </c>
      <c r="C279" s="2" t="s">
        <v>364</v>
      </c>
      <c r="D279" s="2" t="s">
        <v>14</v>
      </c>
      <c r="E279" s="2" t="s">
        <v>30</v>
      </c>
      <c r="F279" s="2" t="s">
        <v>31</v>
      </c>
      <c r="G279" s="4">
        <v>10100</v>
      </c>
      <c r="H279" s="5">
        <v>3.9899999999999998E-2</v>
      </c>
      <c r="I279" s="2">
        <v>60</v>
      </c>
      <c r="J279" s="2" t="s">
        <v>48</v>
      </c>
      <c r="K279" s="2" t="s">
        <v>17</v>
      </c>
      <c r="L279" s="3">
        <v>46093</v>
      </c>
      <c r="M279" s="2" t="str">
        <f>_xlfn.XLOOKUP(Deals[[#This Row],[CustomerID]],Customers!A:A,Customers!F:F)</f>
        <v>Mass</v>
      </c>
      <c r="N279" s="2" t="str">
        <f>_xlfn.XLOOKUP(Deals[[#This Row],[CustomerID]],Customers!A:A,Customers!E:E)</f>
        <v>Non-Kuwaiti</v>
      </c>
      <c r="O279" s="2">
        <f>2026-_xlfn.XLOOKUP(Deals[[#This Row],[CustomerID]],Customers!A:A,Customers!D:D)</f>
        <v>25</v>
      </c>
      <c r="P279" s="2" t="str" cm="1">
        <f t="array" ref="P279">_xlfn.IFS(Deals[[#This Row],[Age]]&lt;30,"Under 30",Deals[[#This Row],[Age]]&lt;45,"30-44",TRUE,"45+")</f>
        <v>Under 30</v>
      </c>
      <c r="Q279" s="21">
        <f>IF(Deals[[#This Row],[Status]]="Pending","",Deals[[#This Row],[DecisionDate]]-Deals[[#This Row],[ApplicationDate]])</f>
        <v>3</v>
      </c>
      <c r="R279" s="21">
        <f>IF(Deals[[#This Row],[Status]]="Approved",1,0)</f>
        <v>1</v>
      </c>
      <c r="S279" s="21">
        <f>IF(Deals[[#This Row],[IsApproved]]=1,Deals[[#This Row],[Amount]],0)</f>
        <v>10100</v>
      </c>
      <c r="T279" s="21">
        <f>Deals[[#This Row],[ApprovedAmount]]*Deals[[#This Row],[ProfitRate]]</f>
        <v>402.98999999999995</v>
      </c>
    </row>
    <row r="280" spans="1:20">
      <c r="A280" s="2" t="s">
        <v>585</v>
      </c>
      <c r="B280" s="3">
        <v>46090</v>
      </c>
      <c r="C280" s="2" t="s">
        <v>60</v>
      </c>
      <c r="D280" s="2" t="s">
        <v>14</v>
      </c>
      <c r="E280" s="2" t="s">
        <v>43</v>
      </c>
      <c r="F280" s="2" t="s">
        <v>3</v>
      </c>
      <c r="G280" s="4">
        <v>137600</v>
      </c>
      <c r="H280" s="5">
        <v>6.6100000000000006E-2</v>
      </c>
      <c r="I280" s="2">
        <v>24</v>
      </c>
      <c r="J280" s="2" t="s">
        <v>16</v>
      </c>
      <c r="K280" s="2" t="s">
        <v>17</v>
      </c>
      <c r="L280" s="3">
        <v>46106</v>
      </c>
      <c r="M280" s="2" t="str">
        <f>_xlfn.XLOOKUP(Deals[[#This Row],[CustomerID]],Customers!A:A,Customers!F:F)</f>
        <v>Mass</v>
      </c>
      <c r="N280" s="2" t="str">
        <f>_xlfn.XLOOKUP(Deals[[#This Row],[CustomerID]],Customers!A:A,Customers!E:E)</f>
        <v>Non-Kuwaiti</v>
      </c>
      <c r="O280" s="2">
        <f>2026-_xlfn.XLOOKUP(Deals[[#This Row],[CustomerID]],Customers!A:A,Customers!D:D)</f>
        <v>43</v>
      </c>
      <c r="P280" s="2" t="str" cm="1">
        <f t="array" ref="P280">_xlfn.IFS(Deals[[#This Row],[Age]]&lt;30,"Under 30",Deals[[#This Row],[Age]]&lt;45,"30-44",TRUE,"45+")</f>
        <v>30-44</v>
      </c>
      <c r="Q280" s="21">
        <f>IF(Deals[[#This Row],[Status]]="Pending","",Deals[[#This Row],[DecisionDate]]-Deals[[#This Row],[ApplicationDate]])</f>
        <v>16</v>
      </c>
      <c r="R280" s="21">
        <f>IF(Deals[[#This Row],[Status]]="Approved",1,0)</f>
        <v>1</v>
      </c>
      <c r="S280" s="21">
        <f>IF(Deals[[#This Row],[IsApproved]]=1,Deals[[#This Row],[Amount]],0)</f>
        <v>137600</v>
      </c>
      <c r="T280" s="21">
        <f>Deals[[#This Row],[ApprovedAmount]]*Deals[[#This Row],[ProfitRate]]</f>
        <v>9095.36</v>
      </c>
    </row>
    <row r="281" spans="1:20">
      <c r="A281" s="2" t="s">
        <v>586</v>
      </c>
      <c r="B281" s="3">
        <v>46090</v>
      </c>
      <c r="C281" s="2" t="s">
        <v>236</v>
      </c>
      <c r="D281" s="2" t="s">
        <v>14</v>
      </c>
      <c r="E281" s="2" t="s">
        <v>15</v>
      </c>
      <c r="F281" s="2" t="s">
        <v>31</v>
      </c>
      <c r="G281" s="4">
        <v>20400</v>
      </c>
      <c r="H281" s="5">
        <v>6.7400000000000002E-2</v>
      </c>
      <c r="I281" s="2">
        <v>36</v>
      </c>
      <c r="J281" s="2" t="s">
        <v>48</v>
      </c>
      <c r="K281" s="2" t="s">
        <v>17</v>
      </c>
      <c r="L281" s="3">
        <v>46094</v>
      </c>
      <c r="M281" s="2" t="str">
        <f>_xlfn.XLOOKUP(Deals[[#This Row],[CustomerID]],Customers!A:A,Customers!F:F)</f>
        <v>Mass</v>
      </c>
      <c r="N281" s="2" t="str">
        <f>_xlfn.XLOOKUP(Deals[[#This Row],[CustomerID]],Customers!A:A,Customers!E:E)</f>
        <v>Kuwaiti</v>
      </c>
      <c r="O281" s="2">
        <f>2026-_xlfn.XLOOKUP(Deals[[#This Row],[CustomerID]],Customers!A:A,Customers!D:D)</f>
        <v>37</v>
      </c>
      <c r="P281" s="2" t="str" cm="1">
        <f t="array" ref="P281">_xlfn.IFS(Deals[[#This Row],[Age]]&lt;30,"Under 30",Deals[[#This Row],[Age]]&lt;45,"30-44",TRUE,"45+")</f>
        <v>30-44</v>
      </c>
      <c r="Q281" s="21">
        <f>IF(Deals[[#This Row],[Status]]="Pending","",Deals[[#This Row],[DecisionDate]]-Deals[[#This Row],[ApplicationDate]])</f>
        <v>4</v>
      </c>
      <c r="R281" s="21">
        <f>IF(Deals[[#This Row],[Status]]="Approved",1,0)</f>
        <v>1</v>
      </c>
      <c r="S281" s="21">
        <f>IF(Deals[[#This Row],[IsApproved]]=1,Deals[[#This Row],[Amount]],0)</f>
        <v>20400</v>
      </c>
      <c r="T281" s="21">
        <f>Deals[[#This Row],[ApprovedAmount]]*Deals[[#This Row],[ProfitRate]]</f>
        <v>1374.96</v>
      </c>
    </row>
    <row r="282" spans="1:20">
      <c r="A282" s="2" t="s">
        <v>587</v>
      </c>
      <c r="B282" s="3">
        <v>46090</v>
      </c>
      <c r="C282" s="2" t="s">
        <v>588</v>
      </c>
      <c r="D282" s="2" t="s">
        <v>54</v>
      </c>
      <c r="E282" s="2" t="s">
        <v>43</v>
      </c>
      <c r="F282" s="2" t="s">
        <v>3</v>
      </c>
      <c r="G282" s="4">
        <v>224700</v>
      </c>
      <c r="H282" s="5">
        <v>7.8100000000000003E-2</v>
      </c>
      <c r="I282" s="2">
        <v>60</v>
      </c>
      <c r="J282" s="2" t="s">
        <v>56</v>
      </c>
      <c r="K282" s="2" t="s">
        <v>17</v>
      </c>
      <c r="L282" s="3">
        <v>46101</v>
      </c>
      <c r="M282" s="2" t="str">
        <f>_xlfn.XLOOKUP(Deals[[#This Row],[CustomerID]],Customers!A:A,Customers!F:F)</f>
        <v>Premium</v>
      </c>
      <c r="N282" s="2" t="str">
        <f>_xlfn.XLOOKUP(Deals[[#This Row],[CustomerID]],Customers!A:A,Customers!E:E)</f>
        <v>Kuwaiti</v>
      </c>
      <c r="O282" s="2">
        <f>2026-_xlfn.XLOOKUP(Deals[[#This Row],[CustomerID]],Customers!A:A,Customers!D:D)</f>
        <v>45</v>
      </c>
      <c r="P282" s="2" t="str" cm="1">
        <f t="array" ref="P282">_xlfn.IFS(Deals[[#This Row],[Age]]&lt;30,"Under 30",Deals[[#This Row],[Age]]&lt;45,"30-44",TRUE,"45+")</f>
        <v>45+</v>
      </c>
      <c r="Q282" s="21">
        <f>IF(Deals[[#This Row],[Status]]="Pending","",Deals[[#This Row],[DecisionDate]]-Deals[[#This Row],[ApplicationDate]])</f>
        <v>11</v>
      </c>
      <c r="R282" s="21">
        <f>IF(Deals[[#This Row],[Status]]="Approved",1,0)</f>
        <v>1</v>
      </c>
      <c r="S282" s="21">
        <f>IF(Deals[[#This Row],[IsApproved]]=1,Deals[[#This Row],[Amount]],0)</f>
        <v>224700</v>
      </c>
      <c r="T282" s="21">
        <f>Deals[[#This Row],[ApprovedAmount]]*Deals[[#This Row],[ProfitRate]]</f>
        <v>17549.07</v>
      </c>
    </row>
    <row r="283" spans="1:20">
      <c r="A283" s="2" t="s">
        <v>589</v>
      </c>
      <c r="B283" s="3">
        <v>46090</v>
      </c>
      <c r="C283" s="2" t="s">
        <v>590</v>
      </c>
      <c r="D283" s="2" t="s">
        <v>20</v>
      </c>
      <c r="E283" s="2" t="s">
        <v>15</v>
      </c>
      <c r="F283" s="2" t="s">
        <v>3</v>
      </c>
      <c r="G283" s="4">
        <v>15300</v>
      </c>
      <c r="H283" s="5">
        <v>5.7500000000000002E-2</v>
      </c>
      <c r="I283" s="2">
        <v>24</v>
      </c>
      <c r="J283" s="2" t="s">
        <v>44</v>
      </c>
      <c r="K283" s="2" t="s">
        <v>45</v>
      </c>
      <c r="L283" s="3">
        <v>46094</v>
      </c>
      <c r="M283" s="2" t="str">
        <f>_xlfn.XLOOKUP(Deals[[#This Row],[CustomerID]],Customers!A:A,Customers!F:F)</f>
        <v>Mass</v>
      </c>
      <c r="N283" s="2" t="str">
        <f>_xlfn.XLOOKUP(Deals[[#This Row],[CustomerID]],Customers!A:A,Customers!E:E)</f>
        <v>Kuwaiti</v>
      </c>
      <c r="O283" s="2">
        <f>2026-_xlfn.XLOOKUP(Deals[[#This Row],[CustomerID]],Customers!A:A,Customers!D:D)</f>
        <v>26</v>
      </c>
      <c r="P283" s="2" t="str" cm="1">
        <f t="array" ref="P283">_xlfn.IFS(Deals[[#This Row],[Age]]&lt;30,"Under 30",Deals[[#This Row],[Age]]&lt;45,"30-44",TRUE,"45+")</f>
        <v>Under 30</v>
      </c>
      <c r="Q283" s="21">
        <f>IF(Deals[[#This Row],[Status]]="Pending","",Deals[[#This Row],[DecisionDate]]-Deals[[#This Row],[ApplicationDate]])</f>
        <v>4</v>
      </c>
      <c r="R283" s="21">
        <f>IF(Deals[[#This Row],[Status]]="Approved",1,0)</f>
        <v>0</v>
      </c>
      <c r="S283" s="21">
        <f>IF(Deals[[#This Row],[IsApproved]]=1,Deals[[#This Row],[Amount]],0)</f>
        <v>0</v>
      </c>
      <c r="T283" s="21">
        <f>Deals[[#This Row],[ApprovedAmount]]*Deals[[#This Row],[ProfitRate]]</f>
        <v>0</v>
      </c>
    </row>
    <row r="284" spans="1:20">
      <c r="A284" s="2" t="s">
        <v>591</v>
      </c>
      <c r="B284" s="3">
        <v>46090</v>
      </c>
      <c r="C284" s="2" t="s">
        <v>592</v>
      </c>
      <c r="D284" s="2" t="s">
        <v>71</v>
      </c>
      <c r="E284" s="2" t="s">
        <v>15</v>
      </c>
      <c r="F284" s="2" t="s">
        <v>3</v>
      </c>
      <c r="G284" s="4">
        <v>20100</v>
      </c>
      <c r="H284" s="5">
        <v>6.1899999999999997E-2</v>
      </c>
      <c r="I284" s="2">
        <v>48</v>
      </c>
      <c r="J284" s="2" t="s">
        <v>72</v>
      </c>
      <c r="K284" s="2" t="s">
        <v>17</v>
      </c>
      <c r="L284" s="3">
        <v>46097</v>
      </c>
      <c r="M284" s="2" t="str">
        <f>_xlfn.XLOOKUP(Deals[[#This Row],[CustomerID]],Customers!A:A,Customers!F:F)</f>
        <v>Mass</v>
      </c>
      <c r="N284" s="2" t="str">
        <f>_xlfn.XLOOKUP(Deals[[#This Row],[CustomerID]],Customers!A:A,Customers!E:E)</f>
        <v>Kuwaiti</v>
      </c>
      <c r="O284" s="2">
        <f>2026-_xlfn.XLOOKUP(Deals[[#This Row],[CustomerID]],Customers!A:A,Customers!D:D)</f>
        <v>37</v>
      </c>
      <c r="P284" s="2" t="str" cm="1">
        <f t="array" ref="P284">_xlfn.IFS(Deals[[#This Row],[Age]]&lt;30,"Under 30",Deals[[#This Row],[Age]]&lt;45,"30-44",TRUE,"45+")</f>
        <v>30-44</v>
      </c>
      <c r="Q284" s="21">
        <f>IF(Deals[[#This Row],[Status]]="Pending","",Deals[[#This Row],[DecisionDate]]-Deals[[#This Row],[ApplicationDate]])</f>
        <v>7</v>
      </c>
      <c r="R284" s="21">
        <f>IF(Deals[[#This Row],[Status]]="Approved",1,0)</f>
        <v>1</v>
      </c>
      <c r="S284" s="21">
        <f>IF(Deals[[#This Row],[IsApproved]]=1,Deals[[#This Row],[Amount]],0)</f>
        <v>20100</v>
      </c>
      <c r="T284" s="21">
        <f>Deals[[#This Row],[ApprovedAmount]]*Deals[[#This Row],[ProfitRate]]</f>
        <v>1244.1899999999998</v>
      </c>
    </row>
    <row r="285" spans="1:20">
      <c r="A285" s="2" t="s">
        <v>593</v>
      </c>
      <c r="B285" s="3">
        <v>46091</v>
      </c>
      <c r="C285" s="2" t="s">
        <v>240</v>
      </c>
      <c r="D285" s="2" t="s">
        <v>54</v>
      </c>
      <c r="E285" s="2" t="s">
        <v>43</v>
      </c>
      <c r="F285" s="2" t="s">
        <v>3</v>
      </c>
      <c r="G285" s="4">
        <v>66300</v>
      </c>
      <c r="H285" s="5">
        <v>7.8100000000000003E-2</v>
      </c>
      <c r="I285" s="2">
        <v>24</v>
      </c>
      <c r="J285" s="2" t="s">
        <v>148</v>
      </c>
      <c r="K285" s="2" t="s">
        <v>17</v>
      </c>
      <c r="L285" s="3">
        <v>46100</v>
      </c>
      <c r="M285" s="2" t="str">
        <f>_xlfn.XLOOKUP(Deals[[#This Row],[CustomerID]],Customers!A:A,Customers!F:F)</f>
        <v>Mass</v>
      </c>
      <c r="N285" s="2" t="str">
        <f>_xlfn.XLOOKUP(Deals[[#This Row],[CustomerID]],Customers!A:A,Customers!E:E)</f>
        <v>Kuwaiti</v>
      </c>
      <c r="O285" s="2">
        <f>2026-_xlfn.XLOOKUP(Deals[[#This Row],[CustomerID]],Customers!A:A,Customers!D:D)</f>
        <v>41</v>
      </c>
      <c r="P285" s="2" t="str" cm="1">
        <f t="array" ref="P285">_xlfn.IFS(Deals[[#This Row],[Age]]&lt;30,"Under 30",Deals[[#This Row],[Age]]&lt;45,"30-44",TRUE,"45+")</f>
        <v>30-44</v>
      </c>
      <c r="Q285" s="21">
        <f>IF(Deals[[#This Row],[Status]]="Pending","",Deals[[#This Row],[DecisionDate]]-Deals[[#This Row],[ApplicationDate]])</f>
        <v>9</v>
      </c>
      <c r="R285" s="21">
        <f>IF(Deals[[#This Row],[Status]]="Approved",1,0)</f>
        <v>1</v>
      </c>
      <c r="S285" s="21">
        <f>IF(Deals[[#This Row],[IsApproved]]=1,Deals[[#This Row],[Amount]],0)</f>
        <v>66300</v>
      </c>
      <c r="T285" s="21">
        <f>Deals[[#This Row],[ApprovedAmount]]*Deals[[#This Row],[ProfitRate]]</f>
        <v>5178.03</v>
      </c>
    </row>
    <row r="286" spans="1:20">
      <c r="A286" s="2" t="s">
        <v>594</v>
      </c>
      <c r="B286" s="3">
        <v>46091</v>
      </c>
      <c r="C286" s="2" t="s">
        <v>579</v>
      </c>
      <c r="D286" s="2" t="s">
        <v>71</v>
      </c>
      <c r="E286" s="2" t="s">
        <v>15</v>
      </c>
      <c r="F286" s="2" t="s">
        <v>55</v>
      </c>
      <c r="G286" s="4">
        <v>5400</v>
      </c>
      <c r="H286" s="5">
        <v>6.6699999999999995E-2</v>
      </c>
      <c r="I286" s="2">
        <v>60</v>
      </c>
      <c r="J286" s="2" t="s">
        <v>94</v>
      </c>
      <c r="K286" s="2" t="s">
        <v>17</v>
      </c>
      <c r="L286" s="3">
        <v>46098</v>
      </c>
      <c r="M286" s="2" t="str">
        <f>_xlfn.XLOOKUP(Deals[[#This Row],[CustomerID]],Customers!A:A,Customers!F:F)</f>
        <v>Premium</v>
      </c>
      <c r="N286" s="2" t="str">
        <f>_xlfn.XLOOKUP(Deals[[#This Row],[CustomerID]],Customers!A:A,Customers!E:E)</f>
        <v>Kuwaiti</v>
      </c>
      <c r="O286" s="2">
        <f>2026-_xlfn.XLOOKUP(Deals[[#This Row],[CustomerID]],Customers!A:A,Customers!D:D)</f>
        <v>29</v>
      </c>
      <c r="P286" s="2" t="str" cm="1">
        <f t="array" ref="P286">_xlfn.IFS(Deals[[#This Row],[Age]]&lt;30,"Under 30",Deals[[#This Row],[Age]]&lt;45,"30-44",TRUE,"45+")</f>
        <v>Under 30</v>
      </c>
      <c r="Q286" s="21">
        <f>IF(Deals[[#This Row],[Status]]="Pending","",Deals[[#This Row],[DecisionDate]]-Deals[[#This Row],[ApplicationDate]])</f>
        <v>7</v>
      </c>
      <c r="R286" s="21">
        <f>IF(Deals[[#This Row],[Status]]="Approved",1,0)</f>
        <v>1</v>
      </c>
      <c r="S286" s="21">
        <f>IF(Deals[[#This Row],[IsApproved]]=1,Deals[[#This Row],[Amount]],0)</f>
        <v>5400</v>
      </c>
      <c r="T286" s="21">
        <f>Deals[[#This Row],[ApprovedAmount]]*Deals[[#This Row],[ProfitRate]]</f>
        <v>360.17999999999995</v>
      </c>
    </row>
    <row r="287" spans="1:20">
      <c r="A287" s="2" t="s">
        <v>595</v>
      </c>
      <c r="B287" s="3">
        <v>46091</v>
      </c>
      <c r="C287" s="2" t="s">
        <v>596</v>
      </c>
      <c r="D287" s="2" t="s">
        <v>71</v>
      </c>
      <c r="E287" s="2" t="s">
        <v>43</v>
      </c>
      <c r="F287" s="2" t="s">
        <v>3</v>
      </c>
      <c r="G287" s="4">
        <v>33300</v>
      </c>
      <c r="H287" s="5">
        <v>7.22E-2</v>
      </c>
      <c r="I287" s="2">
        <v>36</v>
      </c>
      <c r="J287" s="2" t="s">
        <v>72</v>
      </c>
      <c r="K287" s="2" t="s">
        <v>45</v>
      </c>
      <c r="L287" s="3">
        <v>46100</v>
      </c>
      <c r="M287" s="2" t="str">
        <f>_xlfn.XLOOKUP(Deals[[#This Row],[CustomerID]],Customers!A:A,Customers!F:F)</f>
        <v>Affluent</v>
      </c>
      <c r="N287" s="2" t="str">
        <f>_xlfn.XLOOKUP(Deals[[#This Row],[CustomerID]],Customers!A:A,Customers!E:E)</f>
        <v>Non-Kuwaiti</v>
      </c>
      <c r="O287" s="2">
        <f>2026-_xlfn.XLOOKUP(Deals[[#This Row],[CustomerID]],Customers!A:A,Customers!D:D)</f>
        <v>25</v>
      </c>
      <c r="P287" s="2" t="str" cm="1">
        <f t="array" ref="P287">_xlfn.IFS(Deals[[#This Row],[Age]]&lt;30,"Under 30",Deals[[#This Row],[Age]]&lt;45,"30-44",TRUE,"45+")</f>
        <v>Under 30</v>
      </c>
      <c r="Q287" s="21">
        <f>IF(Deals[[#This Row],[Status]]="Pending","",Deals[[#This Row],[DecisionDate]]-Deals[[#This Row],[ApplicationDate]])</f>
        <v>9</v>
      </c>
      <c r="R287" s="21">
        <f>IF(Deals[[#This Row],[Status]]="Approved",1,0)</f>
        <v>0</v>
      </c>
      <c r="S287" s="21">
        <f>IF(Deals[[#This Row],[IsApproved]]=1,Deals[[#This Row],[Amount]],0)</f>
        <v>0</v>
      </c>
      <c r="T287" s="21">
        <f>Deals[[#This Row],[ApprovedAmount]]*Deals[[#This Row],[ProfitRate]]</f>
        <v>0</v>
      </c>
    </row>
    <row r="288" spans="1:20">
      <c r="A288" s="2" t="s">
        <v>597</v>
      </c>
      <c r="B288" s="3">
        <v>46091</v>
      </c>
      <c r="C288" s="2" t="s">
        <v>588</v>
      </c>
      <c r="D288" s="2" t="s">
        <v>25</v>
      </c>
      <c r="E288" s="2" t="s">
        <v>30</v>
      </c>
      <c r="F288" s="2" t="s">
        <v>3</v>
      </c>
      <c r="G288" s="4">
        <v>20000</v>
      </c>
      <c r="H288" s="5">
        <v>3.9800000000000002E-2</v>
      </c>
      <c r="I288" s="2">
        <v>36</v>
      </c>
      <c r="J288" s="2" t="s">
        <v>66</v>
      </c>
      <c r="K288" s="2" t="s">
        <v>17</v>
      </c>
      <c r="L288" s="3">
        <v>46094</v>
      </c>
      <c r="M288" s="2" t="str">
        <f>_xlfn.XLOOKUP(Deals[[#This Row],[CustomerID]],Customers!A:A,Customers!F:F)</f>
        <v>Premium</v>
      </c>
      <c r="N288" s="2" t="str">
        <f>_xlfn.XLOOKUP(Deals[[#This Row],[CustomerID]],Customers!A:A,Customers!E:E)</f>
        <v>Kuwaiti</v>
      </c>
      <c r="O288" s="2">
        <f>2026-_xlfn.XLOOKUP(Deals[[#This Row],[CustomerID]],Customers!A:A,Customers!D:D)</f>
        <v>45</v>
      </c>
      <c r="P288" s="2" t="str" cm="1">
        <f t="array" ref="P288">_xlfn.IFS(Deals[[#This Row],[Age]]&lt;30,"Under 30",Deals[[#This Row],[Age]]&lt;45,"30-44",TRUE,"45+")</f>
        <v>45+</v>
      </c>
      <c r="Q288" s="21">
        <f>IF(Deals[[#This Row],[Status]]="Pending","",Deals[[#This Row],[DecisionDate]]-Deals[[#This Row],[ApplicationDate]])</f>
        <v>3</v>
      </c>
      <c r="R288" s="21">
        <f>IF(Deals[[#This Row],[Status]]="Approved",1,0)</f>
        <v>1</v>
      </c>
      <c r="S288" s="21">
        <f>IF(Deals[[#This Row],[IsApproved]]=1,Deals[[#This Row],[Amount]],0)</f>
        <v>20000</v>
      </c>
      <c r="T288" s="21">
        <f>Deals[[#This Row],[ApprovedAmount]]*Deals[[#This Row],[ProfitRate]]</f>
        <v>796</v>
      </c>
    </row>
    <row r="289" spans="1:20">
      <c r="A289" s="2" t="s">
        <v>598</v>
      </c>
      <c r="B289" s="3">
        <v>46092</v>
      </c>
      <c r="C289" s="2" t="s">
        <v>599</v>
      </c>
      <c r="D289" s="2" t="s">
        <v>14</v>
      </c>
      <c r="E289" s="2" t="s">
        <v>43</v>
      </c>
      <c r="F289" s="2" t="s">
        <v>3</v>
      </c>
      <c r="G289" s="4">
        <v>185900</v>
      </c>
      <c r="H289" s="5">
        <v>7.6999999999999999E-2</v>
      </c>
      <c r="I289" s="2">
        <v>84</v>
      </c>
      <c r="J289" s="2" t="s">
        <v>16</v>
      </c>
      <c r="K289" s="2" t="s">
        <v>17</v>
      </c>
      <c r="L289" s="3">
        <v>46111</v>
      </c>
      <c r="M289" s="2" t="str">
        <f>_xlfn.XLOOKUP(Deals[[#This Row],[CustomerID]],Customers!A:A,Customers!F:F)</f>
        <v>Premium</v>
      </c>
      <c r="N289" s="2" t="str">
        <f>_xlfn.XLOOKUP(Deals[[#This Row],[CustomerID]],Customers!A:A,Customers!E:E)</f>
        <v>Non-Kuwaiti</v>
      </c>
      <c r="O289" s="2">
        <f>2026-_xlfn.XLOOKUP(Deals[[#This Row],[CustomerID]],Customers!A:A,Customers!D:D)</f>
        <v>22</v>
      </c>
      <c r="P289" s="2" t="str" cm="1">
        <f t="array" ref="P289">_xlfn.IFS(Deals[[#This Row],[Age]]&lt;30,"Under 30",Deals[[#This Row],[Age]]&lt;45,"30-44",TRUE,"45+")</f>
        <v>Under 30</v>
      </c>
      <c r="Q289" s="21">
        <f>IF(Deals[[#This Row],[Status]]="Pending","",Deals[[#This Row],[DecisionDate]]-Deals[[#This Row],[ApplicationDate]])</f>
        <v>19</v>
      </c>
      <c r="R289" s="21">
        <f>IF(Deals[[#This Row],[Status]]="Approved",1,0)</f>
        <v>1</v>
      </c>
      <c r="S289" s="21">
        <f>IF(Deals[[#This Row],[IsApproved]]=1,Deals[[#This Row],[Amount]],0)</f>
        <v>185900</v>
      </c>
      <c r="T289" s="21">
        <f>Deals[[#This Row],[ApprovedAmount]]*Deals[[#This Row],[ProfitRate]]</f>
        <v>14314.3</v>
      </c>
    </row>
    <row r="290" spans="1:20">
      <c r="A290" s="2" t="s">
        <v>600</v>
      </c>
      <c r="B290" s="3">
        <v>46092</v>
      </c>
      <c r="C290" s="2" t="s">
        <v>601</v>
      </c>
      <c r="D290" s="2" t="s">
        <v>14</v>
      </c>
      <c r="E290" s="2" t="s">
        <v>21</v>
      </c>
      <c r="F290" s="2" t="s">
        <v>3</v>
      </c>
      <c r="G290" s="4">
        <v>226400</v>
      </c>
      <c r="H290" s="5">
        <v>4.3299999999999998E-2</v>
      </c>
      <c r="I290" s="2">
        <v>180</v>
      </c>
      <c r="J290" s="2" t="s">
        <v>16</v>
      </c>
      <c r="K290" s="2" t="s">
        <v>17</v>
      </c>
      <c r="L290" s="3">
        <v>46118</v>
      </c>
      <c r="M290" s="2" t="str">
        <f>_xlfn.XLOOKUP(Deals[[#This Row],[CustomerID]],Customers!A:A,Customers!F:F)</f>
        <v>Affluent</v>
      </c>
      <c r="N290" s="2" t="str">
        <f>_xlfn.XLOOKUP(Deals[[#This Row],[CustomerID]],Customers!A:A,Customers!E:E)</f>
        <v>Kuwaiti</v>
      </c>
      <c r="O290" s="2">
        <f>2026-_xlfn.XLOOKUP(Deals[[#This Row],[CustomerID]],Customers!A:A,Customers!D:D)</f>
        <v>50</v>
      </c>
      <c r="P290" s="2" t="str" cm="1">
        <f t="array" ref="P290">_xlfn.IFS(Deals[[#This Row],[Age]]&lt;30,"Under 30",Deals[[#This Row],[Age]]&lt;45,"30-44",TRUE,"45+")</f>
        <v>45+</v>
      </c>
      <c r="Q290" s="21">
        <f>IF(Deals[[#This Row],[Status]]="Pending","",Deals[[#This Row],[DecisionDate]]-Deals[[#This Row],[ApplicationDate]])</f>
        <v>26</v>
      </c>
      <c r="R290" s="21">
        <f>IF(Deals[[#This Row],[Status]]="Approved",1,0)</f>
        <v>1</v>
      </c>
      <c r="S290" s="21">
        <f>IF(Deals[[#This Row],[IsApproved]]=1,Deals[[#This Row],[Amount]],0)</f>
        <v>226400</v>
      </c>
      <c r="T290" s="21">
        <f>Deals[[#This Row],[ApprovedAmount]]*Deals[[#This Row],[ProfitRate]]</f>
        <v>9803.119999999999</v>
      </c>
    </row>
    <row r="291" spans="1:20">
      <c r="A291" s="2" t="s">
        <v>602</v>
      </c>
      <c r="B291" s="3">
        <v>46092</v>
      </c>
      <c r="C291" s="2" t="s">
        <v>603</v>
      </c>
      <c r="D291" s="2" t="s">
        <v>14</v>
      </c>
      <c r="E291" s="2" t="s">
        <v>43</v>
      </c>
      <c r="F291" s="2" t="s">
        <v>3</v>
      </c>
      <c r="G291" s="4">
        <v>38100</v>
      </c>
      <c r="H291" s="5">
        <v>7.3700000000000002E-2</v>
      </c>
      <c r="I291" s="2">
        <v>24</v>
      </c>
      <c r="J291" s="2" t="s">
        <v>48</v>
      </c>
      <c r="K291" s="2" t="s">
        <v>17</v>
      </c>
      <c r="L291" s="3">
        <v>46112</v>
      </c>
      <c r="M291" s="2" t="str">
        <f>_xlfn.XLOOKUP(Deals[[#This Row],[CustomerID]],Customers!A:A,Customers!F:F)</f>
        <v>Mass</v>
      </c>
      <c r="N291" s="2" t="str">
        <f>_xlfn.XLOOKUP(Deals[[#This Row],[CustomerID]],Customers!A:A,Customers!E:E)</f>
        <v>Kuwaiti</v>
      </c>
      <c r="O291" s="2">
        <f>2026-_xlfn.XLOOKUP(Deals[[#This Row],[CustomerID]],Customers!A:A,Customers!D:D)</f>
        <v>42</v>
      </c>
      <c r="P291" s="2" t="str" cm="1">
        <f t="array" ref="P291">_xlfn.IFS(Deals[[#This Row],[Age]]&lt;30,"Under 30",Deals[[#This Row],[Age]]&lt;45,"30-44",TRUE,"45+")</f>
        <v>30-44</v>
      </c>
      <c r="Q291" s="21">
        <f>IF(Deals[[#This Row],[Status]]="Pending","",Deals[[#This Row],[DecisionDate]]-Deals[[#This Row],[ApplicationDate]])</f>
        <v>20</v>
      </c>
      <c r="R291" s="21">
        <f>IF(Deals[[#This Row],[Status]]="Approved",1,0)</f>
        <v>1</v>
      </c>
      <c r="S291" s="21">
        <f>IF(Deals[[#This Row],[IsApproved]]=1,Deals[[#This Row],[Amount]],0)</f>
        <v>38100</v>
      </c>
      <c r="T291" s="21">
        <f>Deals[[#This Row],[ApprovedAmount]]*Deals[[#This Row],[ProfitRate]]</f>
        <v>2807.9700000000003</v>
      </c>
    </row>
    <row r="292" spans="1:20">
      <c r="A292" s="2" t="s">
        <v>604</v>
      </c>
      <c r="B292" s="3">
        <v>46092</v>
      </c>
      <c r="C292" s="2" t="s">
        <v>605</v>
      </c>
      <c r="D292" s="2" t="s">
        <v>14</v>
      </c>
      <c r="E292" s="2" t="s">
        <v>15</v>
      </c>
      <c r="F292" s="2" t="s">
        <v>3</v>
      </c>
      <c r="G292" s="4">
        <v>10600</v>
      </c>
      <c r="H292" s="5">
        <v>6.2799999999999995E-2</v>
      </c>
      <c r="I292" s="2">
        <v>60</v>
      </c>
      <c r="J292" s="2" t="s">
        <v>16</v>
      </c>
      <c r="K292" s="2" t="s">
        <v>17</v>
      </c>
      <c r="L292" s="3">
        <v>46098</v>
      </c>
      <c r="M292" s="2" t="str">
        <f>_xlfn.XLOOKUP(Deals[[#This Row],[CustomerID]],Customers!A:A,Customers!F:F)</f>
        <v>Mass</v>
      </c>
      <c r="N292" s="2" t="str">
        <f>_xlfn.XLOOKUP(Deals[[#This Row],[CustomerID]],Customers!A:A,Customers!E:E)</f>
        <v>Non-Kuwaiti</v>
      </c>
      <c r="O292" s="2">
        <f>2026-_xlfn.XLOOKUP(Deals[[#This Row],[CustomerID]],Customers!A:A,Customers!D:D)</f>
        <v>40</v>
      </c>
      <c r="P292" s="2" t="str" cm="1">
        <f t="array" ref="P292">_xlfn.IFS(Deals[[#This Row],[Age]]&lt;30,"Under 30",Deals[[#This Row],[Age]]&lt;45,"30-44",TRUE,"45+")</f>
        <v>30-44</v>
      </c>
      <c r="Q292" s="21">
        <f>IF(Deals[[#This Row],[Status]]="Pending","",Deals[[#This Row],[DecisionDate]]-Deals[[#This Row],[ApplicationDate]])</f>
        <v>6</v>
      </c>
      <c r="R292" s="21">
        <f>IF(Deals[[#This Row],[Status]]="Approved",1,0)</f>
        <v>1</v>
      </c>
      <c r="S292" s="21">
        <f>IF(Deals[[#This Row],[IsApproved]]=1,Deals[[#This Row],[Amount]],0)</f>
        <v>10600</v>
      </c>
      <c r="T292" s="21">
        <f>Deals[[#This Row],[ApprovedAmount]]*Deals[[#This Row],[ProfitRate]]</f>
        <v>665.68</v>
      </c>
    </row>
    <row r="293" spans="1:20">
      <c r="A293" s="2" t="s">
        <v>606</v>
      </c>
      <c r="B293" s="3">
        <v>46092</v>
      </c>
      <c r="C293" s="2" t="s">
        <v>607</v>
      </c>
      <c r="D293" s="2" t="s">
        <v>54</v>
      </c>
      <c r="E293" s="2" t="s">
        <v>15</v>
      </c>
      <c r="F293" s="2" t="s">
        <v>3</v>
      </c>
      <c r="G293" s="4">
        <v>23100</v>
      </c>
      <c r="H293" s="5">
        <v>6.4500000000000002E-2</v>
      </c>
      <c r="I293" s="2">
        <v>36</v>
      </c>
      <c r="J293" s="2" t="s">
        <v>56</v>
      </c>
      <c r="K293" s="2" t="s">
        <v>17</v>
      </c>
      <c r="L293" s="3">
        <v>46094</v>
      </c>
      <c r="M293" s="2" t="str">
        <f>_xlfn.XLOOKUP(Deals[[#This Row],[CustomerID]],Customers!A:A,Customers!F:F)</f>
        <v>Mass</v>
      </c>
      <c r="N293" s="2" t="str">
        <f>_xlfn.XLOOKUP(Deals[[#This Row],[CustomerID]],Customers!A:A,Customers!E:E)</f>
        <v>Kuwaiti</v>
      </c>
      <c r="O293" s="2">
        <f>2026-_xlfn.XLOOKUP(Deals[[#This Row],[CustomerID]],Customers!A:A,Customers!D:D)</f>
        <v>34</v>
      </c>
      <c r="P293" s="2" t="str" cm="1">
        <f t="array" ref="P293">_xlfn.IFS(Deals[[#This Row],[Age]]&lt;30,"Under 30",Deals[[#This Row],[Age]]&lt;45,"30-44",TRUE,"45+")</f>
        <v>30-44</v>
      </c>
      <c r="Q293" s="21">
        <f>IF(Deals[[#This Row],[Status]]="Pending","",Deals[[#This Row],[DecisionDate]]-Deals[[#This Row],[ApplicationDate]])</f>
        <v>2</v>
      </c>
      <c r="R293" s="21">
        <f>IF(Deals[[#This Row],[Status]]="Approved",1,0)</f>
        <v>1</v>
      </c>
      <c r="S293" s="21">
        <f>IF(Deals[[#This Row],[IsApproved]]=1,Deals[[#This Row],[Amount]],0)</f>
        <v>23100</v>
      </c>
      <c r="T293" s="21">
        <f>Deals[[#This Row],[ApprovedAmount]]*Deals[[#This Row],[ProfitRate]]</f>
        <v>1489.95</v>
      </c>
    </row>
    <row r="294" spans="1:20">
      <c r="A294" s="2" t="s">
        <v>608</v>
      </c>
      <c r="B294" s="3">
        <v>46092</v>
      </c>
      <c r="C294" s="2" t="s">
        <v>297</v>
      </c>
      <c r="D294" s="2" t="s">
        <v>29</v>
      </c>
      <c r="E294" s="2" t="s">
        <v>43</v>
      </c>
      <c r="F294" s="2" t="s">
        <v>3</v>
      </c>
      <c r="G294" s="4">
        <v>23700</v>
      </c>
      <c r="H294" s="5">
        <v>5.8400000000000001E-2</v>
      </c>
      <c r="I294" s="2">
        <v>60</v>
      </c>
      <c r="J294" s="2" t="s">
        <v>32</v>
      </c>
      <c r="K294" s="2" t="s">
        <v>17</v>
      </c>
      <c r="L294" s="3">
        <v>46107</v>
      </c>
      <c r="M294" s="2" t="str">
        <f>_xlfn.XLOOKUP(Deals[[#This Row],[CustomerID]],Customers!A:A,Customers!F:F)</f>
        <v>Mass</v>
      </c>
      <c r="N294" s="2" t="str">
        <f>_xlfn.XLOOKUP(Deals[[#This Row],[CustomerID]],Customers!A:A,Customers!E:E)</f>
        <v>Kuwaiti</v>
      </c>
      <c r="O294" s="2">
        <f>2026-_xlfn.XLOOKUP(Deals[[#This Row],[CustomerID]],Customers!A:A,Customers!D:D)</f>
        <v>22</v>
      </c>
      <c r="P294" s="2" t="str" cm="1">
        <f t="array" ref="P294">_xlfn.IFS(Deals[[#This Row],[Age]]&lt;30,"Under 30",Deals[[#This Row],[Age]]&lt;45,"30-44",TRUE,"45+")</f>
        <v>Under 30</v>
      </c>
      <c r="Q294" s="21">
        <f>IF(Deals[[#This Row],[Status]]="Pending","",Deals[[#This Row],[DecisionDate]]-Deals[[#This Row],[ApplicationDate]])</f>
        <v>15</v>
      </c>
      <c r="R294" s="21">
        <f>IF(Deals[[#This Row],[Status]]="Approved",1,0)</f>
        <v>1</v>
      </c>
      <c r="S294" s="21">
        <f>IF(Deals[[#This Row],[IsApproved]]=1,Deals[[#This Row],[Amount]],0)</f>
        <v>23700</v>
      </c>
      <c r="T294" s="21">
        <f>Deals[[#This Row],[ApprovedAmount]]*Deals[[#This Row],[ProfitRate]]</f>
        <v>1384.08</v>
      </c>
    </row>
    <row r="295" spans="1:20">
      <c r="A295" s="2" t="s">
        <v>609</v>
      </c>
      <c r="B295" s="3">
        <v>46092</v>
      </c>
      <c r="C295" s="2" t="s">
        <v>554</v>
      </c>
      <c r="D295" s="2" t="s">
        <v>71</v>
      </c>
      <c r="E295" s="2" t="s">
        <v>15</v>
      </c>
      <c r="F295" s="2" t="s">
        <v>31</v>
      </c>
      <c r="G295" s="4">
        <v>12000</v>
      </c>
      <c r="H295" s="5">
        <v>6.6400000000000001E-2</v>
      </c>
      <c r="I295" s="2">
        <v>48</v>
      </c>
      <c r="J295" s="2" t="s">
        <v>72</v>
      </c>
      <c r="K295" s="2" t="s">
        <v>17</v>
      </c>
      <c r="L295" s="3">
        <v>46098</v>
      </c>
      <c r="M295" s="2" t="str">
        <f>_xlfn.XLOOKUP(Deals[[#This Row],[CustomerID]],Customers!A:A,Customers!F:F)</f>
        <v>Affluent</v>
      </c>
      <c r="N295" s="2" t="str">
        <f>_xlfn.XLOOKUP(Deals[[#This Row],[CustomerID]],Customers!A:A,Customers!E:E)</f>
        <v>Kuwaiti</v>
      </c>
      <c r="O295" s="2">
        <f>2026-_xlfn.XLOOKUP(Deals[[#This Row],[CustomerID]],Customers!A:A,Customers!D:D)</f>
        <v>33</v>
      </c>
      <c r="P295" s="2" t="str" cm="1">
        <f t="array" ref="P295">_xlfn.IFS(Deals[[#This Row],[Age]]&lt;30,"Under 30",Deals[[#This Row],[Age]]&lt;45,"30-44",TRUE,"45+")</f>
        <v>30-44</v>
      </c>
      <c r="Q295" s="21">
        <f>IF(Deals[[#This Row],[Status]]="Pending","",Deals[[#This Row],[DecisionDate]]-Deals[[#This Row],[ApplicationDate]])</f>
        <v>6</v>
      </c>
      <c r="R295" s="21">
        <f>IF(Deals[[#This Row],[Status]]="Approved",1,0)</f>
        <v>1</v>
      </c>
      <c r="S295" s="21">
        <f>IF(Deals[[#This Row],[IsApproved]]=1,Deals[[#This Row],[Amount]],0)</f>
        <v>12000</v>
      </c>
      <c r="T295" s="21">
        <f>Deals[[#This Row],[ApprovedAmount]]*Deals[[#This Row],[ProfitRate]]</f>
        <v>796.8</v>
      </c>
    </row>
    <row r="296" spans="1:20">
      <c r="A296" s="2" t="s">
        <v>610</v>
      </c>
      <c r="B296" s="3">
        <v>46092</v>
      </c>
      <c r="C296" s="2" t="s">
        <v>611</v>
      </c>
      <c r="D296" s="2" t="s">
        <v>54</v>
      </c>
      <c r="E296" s="2" t="s">
        <v>15</v>
      </c>
      <c r="F296" s="2" t="s">
        <v>3</v>
      </c>
      <c r="G296" s="4">
        <v>17900</v>
      </c>
      <c r="H296" s="5">
        <v>6.4600000000000005E-2</v>
      </c>
      <c r="I296" s="2">
        <v>48</v>
      </c>
      <c r="J296" s="2" t="s">
        <v>56</v>
      </c>
      <c r="K296" s="2" t="s">
        <v>17</v>
      </c>
      <c r="L296" s="3">
        <v>46093</v>
      </c>
      <c r="M296" s="2" t="str">
        <f>_xlfn.XLOOKUP(Deals[[#This Row],[CustomerID]],Customers!A:A,Customers!F:F)</f>
        <v>Mass</v>
      </c>
      <c r="N296" s="2" t="str">
        <f>_xlfn.XLOOKUP(Deals[[#This Row],[CustomerID]],Customers!A:A,Customers!E:E)</f>
        <v>Kuwaiti</v>
      </c>
      <c r="O296" s="2">
        <f>2026-_xlfn.XLOOKUP(Deals[[#This Row],[CustomerID]],Customers!A:A,Customers!D:D)</f>
        <v>49</v>
      </c>
      <c r="P296" s="2" t="str" cm="1">
        <f t="array" ref="P296">_xlfn.IFS(Deals[[#This Row],[Age]]&lt;30,"Under 30",Deals[[#This Row],[Age]]&lt;45,"30-44",TRUE,"45+")</f>
        <v>45+</v>
      </c>
      <c r="Q296" s="21">
        <f>IF(Deals[[#This Row],[Status]]="Pending","",Deals[[#This Row],[DecisionDate]]-Deals[[#This Row],[ApplicationDate]])</f>
        <v>1</v>
      </c>
      <c r="R296" s="21">
        <f>IF(Deals[[#This Row],[Status]]="Approved",1,0)</f>
        <v>1</v>
      </c>
      <c r="S296" s="21">
        <f>IF(Deals[[#This Row],[IsApproved]]=1,Deals[[#This Row],[Amount]],0)</f>
        <v>17900</v>
      </c>
      <c r="T296" s="21">
        <f>Deals[[#This Row],[ApprovedAmount]]*Deals[[#This Row],[ProfitRate]]</f>
        <v>1156.3400000000001</v>
      </c>
    </row>
    <row r="297" spans="1:20">
      <c r="A297" s="2" t="s">
        <v>612</v>
      </c>
      <c r="B297" s="3">
        <v>46093</v>
      </c>
      <c r="C297" s="2" t="s">
        <v>613</v>
      </c>
      <c r="D297" s="2" t="s">
        <v>14</v>
      </c>
      <c r="E297" s="2" t="s">
        <v>43</v>
      </c>
      <c r="F297" s="2" t="s">
        <v>55</v>
      </c>
      <c r="G297" s="4">
        <v>28400</v>
      </c>
      <c r="H297" s="5">
        <v>7.7100000000000002E-2</v>
      </c>
      <c r="I297" s="2">
        <v>84</v>
      </c>
      <c r="J297" s="2" t="s">
        <v>16</v>
      </c>
      <c r="K297" s="2" t="s">
        <v>17</v>
      </c>
      <c r="L297" s="3">
        <v>46105</v>
      </c>
      <c r="M297" s="2" t="str">
        <f>_xlfn.XLOOKUP(Deals[[#This Row],[CustomerID]],Customers!A:A,Customers!F:F)</f>
        <v>Mass</v>
      </c>
      <c r="N297" s="2" t="str">
        <f>_xlfn.XLOOKUP(Deals[[#This Row],[CustomerID]],Customers!A:A,Customers!E:E)</f>
        <v>Kuwaiti</v>
      </c>
      <c r="O297" s="2">
        <f>2026-_xlfn.XLOOKUP(Deals[[#This Row],[CustomerID]],Customers!A:A,Customers!D:D)</f>
        <v>41</v>
      </c>
      <c r="P297" s="2" t="str" cm="1">
        <f t="array" ref="P297">_xlfn.IFS(Deals[[#This Row],[Age]]&lt;30,"Under 30",Deals[[#This Row],[Age]]&lt;45,"30-44",TRUE,"45+")</f>
        <v>30-44</v>
      </c>
      <c r="Q297" s="21">
        <f>IF(Deals[[#This Row],[Status]]="Pending","",Deals[[#This Row],[DecisionDate]]-Deals[[#This Row],[ApplicationDate]])</f>
        <v>12</v>
      </c>
      <c r="R297" s="21">
        <f>IF(Deals[[#This Row],[Status]]="Approved",1,0)</f>
        <v>1</v>
      </c>
      <c r="S297" s="21">
        <f>IF(Deals[[#This Row],[IsApproved]]=1,Deals[[#This Row],[Amount]],0)</f>
        <v>28400</v>
      </c>
      <c r="T297" s="21">
        <f>Deals[[#This Row],[ApprovedAmount]]*Deals[[#This Row],[ProfitRate]]</f>
        <v>2189.64</v>
      </c>
    </row>
    <row r="298" spans="1:20">
      <c r="A298" s="2" t="s">
        <v>615</v>
      </c>
      <c r="B298" s="3">
        <v>46093</v>
      </c>
      <c r="C298" s="2" t="s">
        <v>616</v>
      </c>
      <c r="D298" s="2" t="s">
        <v>20</v>
      </c>
      <c r="E298" s="2" t="s">
        <v>30</v>
      </c>
      <c r="F298" s="2" t="s">
        <v>55</v>
      </c>
      <c r="G298" s="4">
        <v>13500</v>
      </c>
      <c r="H298" s="5">
        <v>3.56E-2</v>
      </c>
      <c r="I298" s="2">
        <v>36</v>
      </c>
      <c r="J298" s="2" t="s">
        <v>44</v>
      </c>
      <c r="K298" s="2" t="s">
        <v>17</v>
      </c>
      <c r="L298" s="3">
        <v>46098</v>
      </c>
      <c r="M298" s="2" t="str">
        <f>_xlfn.XLOOKUP(Deals[[#This Row],[CustomerID]],Customers!A:A,Customers!F:F)</f>
        <v>Affluent</v>
      </c>
      <c r="N298" s="2" t="str">
        <f>_xlfn.XLOOKUP(Deals[[#This Row],[CustomerID]],Customers!A:A,Customers!E:E)</f>
        <v>Non-Kuwaiti</v>
      </c>
      <c r="O298" s="2">
        <f>2026-_xlfn.XLOOKUP(Deals[[#This Row],[CustomerID]],Customers!A:A,Customers!D:D)</f>
        <v>26</v>
      </c>
      <c r="P298" s="2" t="str" cm="1">
        <f t="array" ref="P298">_xlfn.IFS(Deals[[#This Row],[Age]]&lt;30,"Under 30",Deals[[#This Row],[Age]]&lt;45,"30-44",TRUE,"45+")</f>
        <v>Under 30</v>
      </c>
      <c r="Q298" s="21">
        <f>IF(Deals[[#This Row],[Status]]="Pending","",Deals[[#This Row],[DecisionDate]]-Deals[[#This Row],[ApplicationDate]])</f>
        <v>5</v>
      </c>
      <c r="R298" s="21">
        <f>IF(Deals[[#This Row],[Status]]="Approved",1,0)</f>
        <v>1</v>
      </c>
      <c r="S298" s="21">
        <f>IF(Deals[[#This Row],[IsApproved]]=1,Deals[[#This Row],[Amount]],0)</f>
        <v>13500</v>
      </c>
      <c r="T298" s="21">
        <f>Deals[[#This Row],[ApprovedAmount]]*Deals[[#This Row],[ProfitRate]]</f>
        <v>480.6</v>
      </c>
    </row>
    <row r="299" spans="1:20">
      <c r="A299" s="2" t="s">
        <v>617</v>
      </c>
      <c r="B299" s="3">
        <v>46093</v>
      </c>
      <c r="C299" s="2" t="s">
        <v>618</v>
      </c>
      <c r="D299" s="2" t="s">
        <v>71</v>
      </c>
      <c r="E299" s="2" t="s">
        <v>43</v>
      </c>
      <c r="F299" s="2" t="s">
        <v>31</v>
      </c>
      <c r="G299" s="4">
        <v>70300</v>
      </c>
      <c r="H299" s="5">
        <v>7.0000000000000007E-2</v>
      </c>
      <c r="I299" s="2">
        <v>24</v>
      </c>
      <c r="J299" s="2" t="s">
        <v>101</v>
      </c>
      <c r="K299" s="2" t="s">
        <v>17</v>
      </c>
      <c r="L299" s="3">
        <v>46103</v>
      </c>
      <c r="M299" s="2" t="str">
        <f>_xlfn.XLOOKUP(Deals[[#This Row],[CustomerID]],Customers!A:A,Customers!F:F)</f>
        <v>Affluent</v>
      </c>
      <c r="N299" s="2" t="str">
        <f>_xlfn.XLOOKUP(Deals[[#This Row],[CustomerID]],Customers!A:A,Customers!E:E)</f>
        <v>Kuwaiti</v>
      </c>
      <c r="O299" s="2">
        <f>2026-_xlfn.XLOOKUP(Deals[[#This Row],[CustomerID]],Customers!A:A,Customers!D:D)</f>
        <v>58</v>
      </c>
      <c r="P299" s="2" t="str" cm="1">
        <f t="array" ref="P299">_xlfn.IFS(Deals[[#This Row],[Age]]&lt;30,"Under 30",Deals[[#This Row],[Age]]&lt;45,"30-44",TRUE,"45+")</f>
        <v>45+</v>
      </c>
      <c r="Q299" s="21">
        <f>IF(Deals[[#This Row],[Status]]="Pending","",Deals[[#This Row],[DecisionDate]]-Deals[[#This Row],[ApplicationDate]])</f>
        <v>10</v>
      </c>
      <c r="R299" s="21">
        <f>IF(Deals[[#This Row],[Status]]="Approved",1,0)</f>
        <v>1</v>
      </c>
      <c r="S299" s="21">
        <f>IF(Deals[[#This Row],[IsApproved]]=1,Deals[[#This Row],[Amount]],0)</f>
        <v>70300</v>
      </c>
      <c r="T299" s="21">
        <f>Deals[[#This Row],[ApprovedAmount]]*Deals[[#This Row],[ProfitRate]]</f>
        <v>4921.0000000000009</v>
      </c>
    </row>
    <row r="300" spans="1:20">
      <c r="A300" s="2" t="s">
        <v>619</v>
      </c>
      <c r="B300" s="3">
        <v>46093</v>
      </c>
      <c r="C300" s="2" t="s">
        <v>28</v>
      </c>
      <c r="D300" s="2" t="s">
        <v>71</v>
      </c>
      <c r="E300" s="2" t="s">
        <v>15</v>
      </c>
      <c r="F300" s="2" t="s">
        <v>55</v>
      </c>
      <c r="G300" s="4">
        <v>12000</v>
      </c>
      <c r="H300" s="5">
        <v>5.4399999999999997E-2</v>
      </c>
      <c r="I300" s="2">
        <v>60</v>
      </c>
      <c r="J300" s="2" t="s">
        <v>101</v>
      </c>
      <c r="K300" s="2" t="s">
        <v>45</v>
      </c>
      <c r="L300" s="3">
        <v>46097</v>
      </c>
      <c r="M300" s="2" t="str">
        <f>_xlfn.XLOOKUP(Deals[[#This Row],[CustomerID]],Customers!A:A,Customers!F:F)</f>
        <v>Affluent</v>
      </c>
      <c r="N300" s="2" t="str">
        <f>_xlfn.XLOOKUP(Deals[[#This Row],[CustomerID]],Customers!A:A,Customers!E:E)</f>
        <v>Kuwaiti</v>
      </c>
      <c r="O300" s="2">
        <f>2026-_xlfn.XLOOKUP(Deals[[#This Row],[CustomerID]],Customers!A:A,Customers!D:D)</f>
        <v>41</v>
      </c>
      <c r="P300" s="2" t="str" cm="1">
        <f t="array" ref="P300">_xlfn.IFS(Deals[[#This Row],[Age]]&lt;30,"Under 30",Deals[[#This Row],[Age]]&lt;45,"30-44",TRUE,"45+")</f>
        <v>30-44</v>
      </c>
      <c r="Q300" s="21">
        <f>IF(Deals[[#This Row],[Status]]="Pending","",Deals[[#This Row],[DecisionDate]]-Deals[[#This Row],[ApplicationDate]])</f>
        <v>4</v>
      </c>
      <c r="R300" s="21">
        <f>IF(Deals[[#This Row],[Status]]="Approved",1,0)</f>
        <v>0</v>
      </c>
      <c r="S300" s="21">
        <f>IF(Deals[[#This Row],[IsApproved]]=1,Deals[[#This Row],[Amount]],0)</f>
        <v>0</v>
      </c>
      <c r="T300" s="21">
        <f>Deals[[#This Row],[ApprovedAmount]]*Deals[[#This Row],[ProfitRate]]</f>
        <v>0</v>
      </c>
    </row>
    <row r="301" spans="1:20">
      <c r="A301" s="2" t="s">
        <v>620</v>
      </c>
      <c r="B301" s="3">
        <v>46093</v>
      </c>
      <c r="C301" s="2" t="s">
        <v>621</v>
      </c>
      <c r="D301" s="2" t="s">
        <v>14</v>
      </c>
      <c r="E301" s="2" t="s">
        <v>15</v>
      </c>
      <c r="F301" s="2" t="s">
        <v>3</v>
      </c>
      <c r="G301" s="4">
        <v>16200</v>
      </c>
      <c r="H301" s="5">
        <v>5.3900000000000003E-2</v>
      </c>
      <c r="I301" s="2">
        <v>24</v>
      </c>
      <c r="J301" s="2" t="s">
        <v>48</v>
      </c>
      <c r="K301" s="2" t="s">
        <v>17</v>
      </c>
      <c r="L301" s="3">
        <v>46095</v>
      </c>
      <c r="M301" s="2" t="str">
        <f>_xlfn.XLOOKUP(Deals[[#This Row],[CustomerID]],Customers!A:A,Customers!F:F)</f>
        <v>Mass</v>
      </c>
      <c r="N301" s="2" t="str">
        <f>_xlfn.XLOOKUP(Deals[[#This Row],[CustomerID]],Customers!A:A,Customers!E:E)</f>
        <v>Kuwaiti</v>
      </c>
      <c r="O301" s="2">
        <f>2026-_xlfn.XLOOKUP(Deals[[#This Row],[CustomerID]],Customers!A:A,Customers!D:D)</f>
        <v>29</v>
      </c>
      <c r="P301" s="2" t="str" cm="1">
        <f t="array" ref="P301">_xlfn.IFS(Deals[[#This Row],[Age]]&lt;30,"Under 30",Deals[[#This Row],[Age]]&lt;45,"30-44",TRUE,"45+")</f>
        <v>Under 30</v>
      </c>
      <c r="Q301" s="21">
        <f>IF(Deals[[#This Row],[Status]]="Pending","",Deals[[#This Row],[DecisionDate]]-Deals[[#This Row],[ApplicationDate]])</f>
        <v>2</v>
      </c>
      <c r="R301" s="21">
        <f>IF(Deals[[#This Row],[Status]]="Approved",1,0)</f>
        <v>1</v>
      </c>
      <c r="S301" s="21">
        <f>IF(Deals[[#This Row],[IsApproved]]=1,Deals[[#This Row],[Amount]],0)</f>
        <v>16200</v>
      </c>
      <c r="T301" s="21">
        <f>Deals[[#This Row],[ApprovedAmount]]*Deals[[#This Row],[ProfitRate]]</f>
        <v>873.18000000000006</v>
      </c>
    </row>
    <row r="302" spans="1:20">
      <c r="A302" s="2" t="s">
        <v>622</v>
      </c>
      <c r="B302" s="3">
        <v>46093</v>
      </c>
      <c r="C302" s="2" t="s">
        <v>623</v>
      </c>
      <c r="D302" s="2" t="s">
        <v>29</v>
      </c>
      <c r="E302" s="2" t="s">
        <v>15</v>
      </c>
      <c r="F302" s="2" t="s">
        <v>3</v>
      </c>
      <c r="G302" s="4">
        <v>4400</v>
      </c>
      <c r="H302" s="5">
        <v>5.7299999999999997E-2</v>
      </c>
      <c r="I302" s="2">
        <v>48</v>
      </c>
      <c r="J302" s="2" t="s">
        <v>123</v>
      </c>
      <c r="K302" s="2" t="s">
        <v>17</v>
      </c>
      <c r="L302" s="3">
        <v>46095</v>
      </c>
      <c r="M302" s="2" t="str">
        <f>_xlfn.XLOOKUP(Deals[[#This Row],[CustomerID]],Customers!A:A,Customers!F:F)</f>
        <v>Mass</v>
      </c>
      <c r="N302" s="2" t="str">
        <f>_xlfn.XLOOKUP(Deals[[#This Row],[CustomerID]],Customers!A:A,Customers!E:E)</f>
        <v>Kuwaiti</v>
      </c>
      <c r="O302" s="2">
        <f>2026-_xlfn.XLOOKUP(Deals[[#This Row],[CustomerID]],Customers!A:A,Customers!D:D)</f>
        <v>29</v>
      </c>
      <c r="P302" s="2" t="str" cm="1">
        <f t="array" ref="P302">_xlfn.IFS(Deals[[#This Row],[Age]]&lt;30,"Under 30",Deals[[#This Row],[Age]]&lt;45,"30-44",TRUE,"45+")</f>
        <v>Under 30</v>
      </c>
      <c r="Q302" s="21">
        <f>IF(Deals[[#This Row],[Status]]="Pending","",Deals[[#This Row],[DecisionDate]]-Deals[[#This Row],[ApplicationDate]])</f>
        <v>2</v>
      </c>
      <c r="R302" s="21">
        <f>IF(Deals[[#This Row],[Status]]="Approved",1,0)</f>
        <v>1</v>
      </c>
      <c r="S302" s="21">
        <f>IF(Deals[[#This Row],[IsApproved]]=1,Deals[[#This Row],[Amount]],0)</f>
        <v>4400</v>
      </c>
      <c r="T302" s="21">
        <f>Deals[[#This Row],[ApprovedAmount]]*Deals[[#This Row],[ProfitRate]]</f>
        <v>252.11999999999998</v>
      </c>
    </row>
    <row r="303" spans="1:20">
      <c r="A303" s="2" t="s">
        <v>624</v>
      </c>
      <c r="B303" s="3">
        <v>46094</v>
      </c>
      <c r="C303" s="2" t="s">
        <v>625</v>
      </c>
      <c r="D303" s="2" t="s">
        <v>14</v>
      </c>
      <c r="E303" s="2" t="s">
        <v>15</v>
      </c>
      <c r="F303" s="2" t="s">
        <v>3</v>
      </c>
      <c r="G303" s="4">
        <v>15200</v>
      </c>
      <c r="H303" s="5">
        <v>5.9400000000000001E-2</v>
      </c>
      <c r="I303" s="2">
        <v>60</v>
      </c>
      <c r="J303" s="2" t="s">
        <v>48</v>
      </c>
      <c r="K303" s="2" t="s">
        <v>17</v>
      </c>
      <c r="L303" s="3">
        <v>46097</v>
      </c>
      <c r="M303" s="2" t="str">
        <f>_xlfn.XLOOKUP(Deals[[#This Row],[CustomerID]],Customers!A:A,Customers!F:F)</f>
        <v>Mass</v>
      </c>
      <c r="N303" s="2" t="str">
        <f>_xlfn.XLOOKUP(Deals[[#This Row],[CustomerID]],Customers!A:A,Customers!E:E)</f>
        <v>Kuwaiti</v>
      </c>
      <c r="O303" s="2">
        <f>2026-_xlfn.XLOOKUP(Deals[[#This Row],[CustomerID]],Customers!A:A,Customers!D:D)</f>
        <v>49</v>
      </c>
      <c r="P303" s="2" t="str" cm="1">
        <f t="array" ref="P303">_xlfn.IFS(Deals[[#This Row],[Age]]&lt;30,"Under 30",Deals[[#This Row],[Age]]&lt;45,"30-44",TRUE,"45+")</f>
        <v>45+</v>
      </c>
      <c r="Q303" s="21">
        <f>IF(Deals[[#This Row],[Status]]="Pending","",Deals[[#This Row],[DecisionDate]]-Deals[[#This Row],[ApplicationDate]])</f>
        <v>3</v>
      </c>
      <c r="R303" s="21">
        <f>IF(Deals[[#This Row],[Status]]="Approved",1,0)</f>
        <v>1</v>
      </c>
      <c r="S303" s="21">
        <f>IF(Deals[[#This Row],[IsApproved]]=1,Deals[[#This Row],[Amount]],0)</f>
        <v>15200</v>
      </c>
      <c r="T303" s="21">
        <f>Deals[[#This Row],[ApprovedAmount]]*Deals[[#This Row],[ProfitRate]]</f>
        <v>902.88</v>
      </c>
    </row>
    <row r="304" spans="1:20">
      <c r="A304" s="2" t="s">
        <v>626</v>
      </c>
      <c r="B304" s="3">
        <v>46094</v>
      </c>
      <c r="C304" s="2" t="s">
        <v>627</v>
      </c>
      <c r="D304" s="2" t="s">
        <v>29</v>
      </c>
      <c r="E304" s="2" t="s">
        <v>21</v>
      </c>
      <c r="F304" s="2" t="s">
        <v>31</v>
      </c>
      <c r="G304" s="4">
        <v>194600</v>
      </c>
      <c r="H304" s="5">
        <v>3.5700000000000003E-2</v>
      </c>
      <c r="I304" s="2">
        <v>180</v>
      </c>
      <c r="J304" s="2" t="s">
        <v>123</v>
      </c>
      <c r="K304" s="2" t="s">
        <v>45</v>
      </c>
      <c r="L304" s="3">
        <v>46109</v>
      </c>
      <c r="M304" s="2" t="str">
        <f>_xlfn.XLOOKUP(Deals[[#This Row],[CustomerID]],Customers!A:A,Customers!F:F)</f>
        <v>Mass</v>
      </c>
      <c r="N304" s="2" t="str">
        <f>_xlfn.XLOOKUP(Deals[[#This Row],[CustomerID]],Customers!A:A,Customers!E:E)</f>
        <v>Kuwaiti</v>
      </c>
      <c r="O304" s="2">
        <f>2026-_xlfn.XLOOKUP(Deals[[#This Row],[CustomerID]],Customers!A:A,Customers!D:D)</f>
        <v>42</v>
      </c>
      <c r="P304" s="2" t="str" cm="1">
        <f t="array" ref="P304">_xlfn.IFS(Deals[[#This Row],[Age]]&lt;30,"Under 30",Deals[[#This Row],[Age]]&lt;45,"30-44",TRUE,"45+")</f>
        <v>30-44</v>
      </c>
      <c r="Q304" s="21">
        <f>IF(Deals[[#This Row],[Status]]="Pending","",Deals[[#This Row],[DecisionDate]]-Deals[[#This Row],[ApplicationDate]])</f>
        <v>15</v>
      </c>
      <c r="R304" s="21">
        <f>IF(Deals[[#This Row],[Status]]="Approved",1,0)</f>
        <v>0</v>
      </c>
      <c r="S304" s="21">
        <f>IF(Deals[[#This Row],[IsApproved]]=1,Deals[[#This Row],[Amount]],0)</f>
        <v>0</v>
      </c>
      <c r="T304" s="21">
        <f>Deals[[#This Row],[ApprovedAmount]]*Deals[[#This Row],[ProfitRate]]</f>
        <v>0</v>
      </c>
    </row>
    <row r="305" spans="1:20">
      <c r="A305" s="2" t="s">
        <v>628</v>
      </c>
      <c r="B305" s="3">
        <v>46094</v>
      </c>
      <c r="C305" s="2" t="s">
        <v>230</v>
      </c>
      <c r="D305" s="2" t="s">
        <v>54</v>
      </c>
      <c r="E305" s="2" t="s">
        <v>15</v>
      </c>
      <c r="F305" s="2" t="s">
        <v>3</v>
      </c>
      <c r="G305" s="4">
        <v>23600</v>
      </c>
      <c r="H305" s="5">
        <v>5.5800000000000002E-2</v>
      </c>
      <c r="I305" s="2">
        <v>48</v>
      </c>
      <c r="J305" s="2" t="s">
        <v>56</v>
      </c>
      <c r="K305" s="2" t="s">
        <v>45</v>
      </c>
      <c r="L305" s="3">
        <v>46096</v>
      </c>
      <c r="M305" s="2" t="str">
        <f>_xlfn.XLOOKUP(Deals[[#This Row],[CustomerID]],Customers!A:A,Customers!F:F)</f>
        <v>Affluent</v>
      </c>
      <c r="N305" s="2" t="str">
        <f>_xlfn.XLOOKUP(Deals[[#This Row],[CustomerID]],Customers!A:A,Customers!E:E)</f>
        <v>Kuwaiti</v>
      </c>
      <c r="O305" s="2">
        <f>2026-_xlfn.XLOOKUP(Deals[[#This Row],[CustomerID]],Customers!A:A,Customers!D:D)</f>
        <v>24</v>
      </c>
      <c r="P305" s="2" t="str" cm="1">
        <f t="array" ref="P305">_xlfn.IFS(Deals[[#This Row],[Age]]&lt;30,"Under 30",Deals[[#This Row],[Age]]&lt;45,"30-44",TRUE,"45+")</f>
        <v>Under 30</v>
      </c>
      <c r="Q305" s="21">
        <f>IF(Deals[[#This Row],[Status]]="Pending","",Deals[[#This Row],[DecisionDate]]-Deals[[#This Row],[ApplicationDate]])</f>
        <v>2</v>
      </c>
      <c r="R305" s="21">
        <f>IF(Deals[[#This Row],[Status]]="Approved",1,0)</f>
        <v>0</v>
      </c>
      <c r="S305" s="21">
        <f>IF(Deals[[#This Row],[IsApproved]]=1,Deals[[#This Row],[Amount]],0)</f>
        <v>0</v>
      </c>
      <c r="T305" s="21">
        <f>Deals[[#This Row],[ApprovedAmount]]*Deals[[#This Row],[ProfitRate]]</f>
        <v>0</v>
      </c>
    </row>
    <row r="306" spans="1:20">
      <c r="A306" s="2" t="s">
        <v>629</v>
      </c>
      <c r="B306" s="3">
        <v>46095</v>
      </c>
      <c r="C306" s="2" t="s">
        <v>513</v>
      </c>
      <c r="D306" s="2" t="s">
        <v>29</v>
      </c>
      <c r="E306" s="2" t="s">
        <v>43</v>
      </c>
      <c r="F306" s="2" t="s">
        <v>3</v>
      </c>
      <c r="G306" s="4">
        <v>149000</v>
      </c>
      <c r="H306" s="5">
        <v>7.9100000000000004E-2</v>
      </c>
      <c r="I306" s="2">
        <v>84</v>
      </c>
      <c r="J306" s="2" t="s">
        <v>61</v>
      </c>
      <c r="K306" s="2" t="s">
        <v>17</v>
      </c>
      <c r="L306" s="3">
        <v>46109</v>
      </c>
      <c r="M306" s="2" t="str">
        <f>_xlfn.XLOOKUP(Deals[[#This Row],[CustomerID]],Customers!A:A,Customers!F:F)</f>
        <v>Mass</v>
      </c>
      <c r="N306" s="2" t="str">
        <f>_xlfn.XLOOKUP(Deals[[#This Row],[CustomerID]],Customers!A:A,Customers!E:E)</f>
        <v>Kuwaiti</v>
      </c>
      <c r="O306" s="2">
        <f>2026-_xlfn.XLOOKUP(Deals[[#This Row],[CustomerID]],Customers!A:A,Customers!D:D)</f>
        <v>71</v>
      </c>
      <c r="P306" s="2" t="str" cm="1">
        <f t="array" ref="P306">_xlfn.IFS(Deals[[#This Row],[Age]]&lt;30,"Under 30",Deals[[#This Row],[Age]]&lt;45,"30-44",TRUE,"45+")</f>
        <v>45+</v>
      </c>
      <c r="Q306" s="21">
        <f>IF(Deals[[#This Row],[Status]]="Pending","",Deals[[#This Row],[DecisionDate]]-Deals[[#This Row],[ApplicationDate]])</f>
        <v>14</v>
      </c>
      <c r="R306" s="21">
        <f>IF(Deals[[#This Row],[Status]]="Approved",1,0)</f>
        <v>1</v>
      </c>
      <c r="S306" s="21">
        <f>IF(Deals[[#This Row],[IsApproved]]=1,Deals[[#This Row],[Amount]],0)</f>
        <v>149000</v>
      </c>
      <c r="T306" s="21">
        <f>Deals[[#This Row],[ApprovedAmount]]*Deals[[#This Row],[ProfitRate]]</f>
        <v>11785.9</v>
      </c>
    </row>
    <row r="307" spans="1:20">
      <c r="A307" s="2" t="s">
        <v>630</v>
      </c>
      <c r="B307" s="3">
        <v>46095</v>
      </c>
      <c r="C307" s="2" t="s">
        <v>631</v>
      </c>
      <c r="D307" s="2" t="s">
        <v>14</v>
      </c>
      <c r="E307" s="2" t="s">
        <v>15</v>
      </c>
      <c r="F307" s="2" t="s">
        <v>3</v>
      </c>
      <c r="G307" s="4">
        <v>14500</v>
      </c>
      <c r="H307" s="5">
        <v>6.4199999999999993E-2</v>
      </c>
      <c r="I307" s="2">
        <v>48</v>
      </c>
      <c r="J307" s="2" t="s">
        <v>48</v>
      </c>
      <c r="K307" s="2" t="s">
        <v>17</v>
      </c>
      <c r="L307" s="3">
        <v>46096</v>
      </c>
      <c r="M307" s="2" t="str">
        <f>_xlfn.XLOOKUP(Deals[[#This Row],[CustomerID]],Customers!A:A,Customers!F:F)</f>
        <v>Affluent</v>
      </c>
      <c r="N307" s="2" t="str">
        <f>_xlfn.XLOOKUP(Deals[[#This Row],[CustomerID]],Customers!A:A,Customers!E:E)</f>
        <v>Kuwaiti</v>
      </c>
      <c r="O307" s="2">
        <f>2026-_xlfn.XLOOKUP(Deals[[#This Row],[CustomerID]],Customers!A:A,Customers!D:D)</f>
        <v>24</v>
      </c>
      <c r="P307" s="2" t="str" cm="1">
        <f t="array" ref="P307">_xlfn.IFS(Deals[[#This Row],[Age]]&lt;30,"Under 30",Deals[[#This Row],[Age]]&lt;45,"30-44",TRUE,"45+")</f>
        <v>Under 30</v>
      </c>
      <c r="Q307" s="21">
        <f>IF(Deals[[#This Row],[Status]]="Pending","",Deals[[#This Row],[DecisionDate]]-Deals[[#This Row],[ApplicationDate]])</f>
        <v>1</v>
      </c>
      <c r="R307" s="21">
        <f>IF(Deals[[#This Row],[Status]]="Approved",1,0)</f>
        <v>1</v>
      </c>
      <c r="S307" s="21">
        <f>IF(Deals[[#This Row],[IsApproved]]=1,Deals[[#This Row],[Amount]],0)</f>
        <v>14500</v>
      </c>
      <c r="T307" s="21">
        <f>Deals[[#This Row],[ApprovedAmount]]*Deals[[#This Row],[ProfitRate]]</f>
        <v>930.89999999999986</v>
      </c>
    </row>
    <row r="308" spans="1:20">
      <c r="A308" s="2" t="s">
        <v>632</v>
      </c>
      <c r="B308" s="3">
        <v>46096</v>
      </c>
      <c r="C308" s="2" t="s">
        <v>633</v>
      </c>
      <c r="D308" s="2" t="s">
        <v>29</v>
      </c>
      <c r="E308" s="2" t="s">
        <v>43</v>
      </c>
      <c r="F308" s="2" t="s">
        <v>3</v>
      </c>
      <c r="G308" s="4">
        <v>145700</v>
      </c>
      <c r="H308" s="5">
        <v>6.1699999999999998E-2</v>
      </c>
      <c r="I308" s="2">
        <v>24</v>
      </c>
      <c r="J308" s="2" t="s">
        <v>123</v>
      </c>
      <c r="K308" s="2" t="s">
        <v>45</v>
      </c>
      <c r="L308" s="3">
        <v>46117</v>
      </c>
      <c r="M308" s="2" t="str">
        <f>_xlfn.XLOOKUP(Deals[[#This Row],[CustomerID]],Customers!A:A,Customers!F:F)</f>
        <v>Mass</v>
      </c>
      <c r="N308" s="2" t="str">
        <f>_xlfn.XLOOKUP(Deals[[#This Row],[CustomerID]],Customers!A:A,Customers!E:E)</f>
        <v>Kuwaiti</v>
      </c>
      <c r="O308" s="2">
        <f>2026-_xlfn.XLOOKUP(Deals[[#This Row],[CustomerID]],Customers!A:A,Customers!D:D)</f>
        <v>57</v>
      </c>
      <c r="P308" s="2" t="str" cm="1">
        <f t="array" ref="P308">_xlfn.IFS(Deals[[#This Row],[Age]]&lt;30,"Under 30",Deals[[#This Row],[Age]]&lt;45,"30-44",TRUE,"45+")</f>
        <v>45+</v>
      </c>
      <c r="Q308" s="21">
        <f>IF(Deals[[#This Row],[Status]]="Pending","",Deals[[#This Row],[DecisionDate]]-Deals[[#This Row],[ApplicationDate]])</f>
        <v>21</v>
      </c>
      <c r="R308" s="21">
        <f>IF(Deals[[#This Row],[Status]]="Approved",1,0)</f>
        <v>0</v>
      </c>
      <c r="S308" s="21">
        <f>IF(Deals[[#This Row],[IsApproved]]=1,Deals[[#This Row],[Amount]],0)</f>
        <v>0</v>
      </c>
      <c r="T308" s="21">
        <f>Deals[[#This Row],[ApprovedAmount]]*Deals[[#This Row],[ProfitRate]]</f>
        <v>0</v>
      </c>
    </row>
    <row r="309" spans="1:20">
      <c r="A309" s="2" t="s">
        <v>634</v>
      </c>
      <c r="B309" s="3">
        <v>46096</v>
      </c>
      <c r="C309" s="2" t="s">
        <v>346</v>
      </c>
      <c r="D309" s="2" t="s">
        <v>20</v>
      </c>
      <c r="E309" s="2" t="s">
        <v>15</v>
      </c>
      <c r="F309" s="2" t="s">
        <v>3</v>
      </c>
      <c r="G309" s="4">
        <v>4600</v>
      </c>
      <c r="H309" s="5">
        <v>6.4500000000000002E-2</v>
      </c>
      <c r="I309" s="2">
        <v>24</v>
      </c>
      <c r="J309" s="2" t="s">
        <v>22</v>
      </c>
      <c r="K309" s="2" t="s">
        <v>17</v>
      </c>
      <c r="L309" s="3">
        <v>46097</v>
      </c>
      <c r="M309" s="2" t="str">
        <f>_xlfn.XLOOKUP(Deals[[#This Row],[CustomerID]],Customers!A:A,Customers!F:F)</f>
        <v>Affluent</v>
      </c>
      <c r="N309" s="2" t="str">
        <f>_xlfn.XLOOKUP(Deals[[#This Row],[CustomerID]],Customers!A:A,Customers!E:E)</f>
        <v>Kuwaiti</v>
      </c>
      <c r="O309" s="2">
        <f>2026-_xlfn.XLOOKUP(Deals[[#This Row],[CustomerID]],Customers!A:A,Customers!D:D)</f>
        <v>39</v>
      </c>
      <c r="P309" s="2" t="str" cm="1">
        <f t="array" ref="P309">_xlfn.IFS(Deals[[#This Row],[Age]]&lt;30,"Under 30",Deals[[#This Row],[Age]]&lt;45,"30-44",TRUE,"45+")</f>
        <v>30-44</v>
      </c>
      <c r="Q309" s="21">
        <f>IF(Deals[[#This Row],[Status]]="Pending","",Deals[[#This Row],[DecisionDate]]-Deals[[#This Row],[ApplicationDate]])</f>
        <v>1</v>
      </c>
      <c r="R309" s="21">
        <f>IF(Deals[[#This Row],[Status]]="Approved",1,0)</f>
        <v>1</v>
      </c>
      <c r="S309" s="21">
        <f>IF(Deals[[#This Row],[IsApproved]]=1,Deals[[#This Row],[Amount]],0)</f>
        <v>4600</v>
      </c>
      <c r="T309" s="21">
        <f>Deals[[#This Row],[ApprovedAmount]]*Deals[[#This Row],[ProfitRate]]</f>
        <v>296.7</v>
      </c>
    </row>
    <row r="310" spans="1:20">
      <c r="A310" s="2" t="s">
        <v>635</v>
      </c>
      <c r="B310" s="3">
        <v>46096</v>
      </c>
      <c r="C310" s="2" t="s">
        <v>636</v>
      </c>
      <c r="D310" s="2" t="s">
        <v>25</v>
      </c>
      <c r="E310" s="2" t="s">
        <v>30</v>
      </c>
      <c r="F310" s="2" t="s">
        <v>55</v>
      </c>
      <c r="G310" s="4">
        <v>7100</v>
      </c>
      <c r="H310" s="5">
        <v>3.9100000000000003E-2</v>
      </c>
      <c r="I310" s="2">
        <v>60</v>
      </c>
      <c r="J310" s="2" t="s">
        <v>26</v>
      </c>
      <c r="K310" s="2" t="s">
        <v>17</v>
      </c>
      <c r="L310" s="3">
        <v>46097</v>
      </c>
      <c r="M310" s="2" t="str">
        <f>_xlfn.XLOOKUP(Deals[[#This Row],[CustomerID]],Customers!A:A,Customers!F:F)</f>
        <v>Mass</v>
      </c>
      <c r="N310" s="2" t="str">
        <f>_xlfn.XLOOKUP(Deals[[#This Row],[CustomerID]],Customers!A:A,Customers!E:E)</f>
        <v>Kuwaiti</v>
      </c>
      <c r="O310" s="2">
        <f>2026-_xlfn.XLOOKUP(Deals[[#This Row],[CustomerID]],Customers!A:A,Customers!D:D)</f>
        <v>42</v>
      </c>
      <c r="P310" s="2" t="str" cm="1">
        <f t="array" ref="P310">_xlfn.IFS(Deals[[#This Row],[Age]]&lt;30,"Under 30",Deals[[#This Row],[Age]]&lt;45,"30-44",TRUE,"45+")</f>
        <v>30-44</v>
      </c>
      <c r="Q310" s="21">
        <f>IF(Deals[[#This Row],[Status]]="Pending","",Deals[[#This Row],[DecisionDate]]-Deals[[#This Row],[ApplicationDate]])</f>
        <v>1</v>
      </c>
      <c r="R310" s="21">
        <f>IF(Deals[[#This Row],[Status]]="Approved",1,0)</f>
        <v>1</v>
      </c>
      <c r="S310" s="21">
        <f>IF(Deals[[#This Row],[IsApproved]]=1,Deals[[#This Row],[Amount]],0)</f>
        <v>7100</v>
      </c>
      <c r="T310" s="21">
        <f>Deals[[#This Row],[ApprovedAmount]]*Deals[[#This Row],[ProfitRate]]</f>
        <v>277.61</v>
      </c>
    </row>
    <row r="311" spans="1:20">
      <c r="A311" s="2" t="s">
        <v>637</v>
      </c>
      <c r="B311" s="3">
        <v>46096</v>
      </c>
      <c r="C311" s="2" t="s">
        <v>638</v>
      </c>
      <c r="D311" s="2" t="s">
        <v>54</v>
      </c>
      <c r="E311" s="2" t="s">
        <v>30</v>
      </c>
      <c r="F311" s="2" t="s">
        <v>3</v>
      </c>
      <c r="G311" s="4">
        <v>9100</v>
      </c>
      <c r="H311" s="5">
        <v>4.9200000000000001E-2</v>
      </c>
      <c r="I311" s="2">
        <v>60</v>
      </c>
      <c r="J311" s="2" t="s">
        <v>56</v>
      </c>
      <c r="K311" s="2" t="s">
        <v>45</v>
      </c>
      <c r="L311" s="3">
        <v>46098</v>
      </c>
      <c r="M311" s="2" t="str">
        <f>_xlfn.XLOOKUP(Deals[[#This Row],[CustomerID]],Customers!A:A,Customers!F:F)</f>
        <v>Mass</v>
      </c>
      <c r="N311" s="2" t="str">
        <f>_xlfn.XLOOKUP(Deals[[#This Row],[CustomerID]],Customers!A:A,Customers!E:E)</f>
        <v>Kuwaiti</v>
      </c>
      <c r="O311" s="2">
        <f>2026-_xlfn.XLOOKUP(Deals[[#This Row],[CustomerID]],Customers!A:A,Customers!D:D)</f>
        <v>39</v>
      </c>
      <c r="P311" s="2" t="str" cm="1">
        <f t="array" ref="P311">_xlfn.IFS(Deals[[#This Row],[Age]]&lt;30,"Under 30",Deals[[#This Row],[Age]]&lt;45,"30-44",TRUE,"45+")</f>
        <v>30-44</v>
      </c>
      <c r="Q311" s="21">
        <f>IF(Deals[[#This Row],[Status]]="Pending","",Deals[[#This Row],[DecisionDate]]-Deals[[#This Row],[ApplicationDate]])</f>
        <v>2</v>
      </c>
      <c r="R311" s="21">
        <f>IF(Deals[[#This Row],[Status]]="Approved",1,0)</f>
        <v>0</v>
      </c>
      <c r="S311" s="21">
        <f>IF(Deals[[#This Row],[IsApproved]]=1,Deals[[#This Row],[Amount]],0)</f>
        <v>0</v>
      </c>
      <c r="T311" s="21">
        <f>Deals[[#This Row],[ApprovedAmount]]*Deals[[#This Row],[ProfitRate]]</f>
        <v>0</v>
      </c>
    </row>
    <row r="312" spans="1:20">
      <c r="A312" s="2" t="s">
        <v>639</v>
      </c>
      <c r="B312" s="3">
        <v>46096</v>
      </c>
      <c r="C312" s="2" t="s">
        <v>640</v>
      </c>
      <c r="D312" s="2" t="s">
        <v>14</v>
      </c>
      <c r="E312" s="2" t="s">
        <v>15</v>
      </c>
      <c r="F312" s="2" t="s">
        <v>3</v>
      </c>
      <c r="G312" s="4">
        <v>7500</v>
      </c>
      <c r="H312" s="5">
        <v>6.6900000000000001E-2</v>
      </c>
      <c r="I312" s="2">
        <v>60</v>
      </c>
      <c r="J312" s="2" t="s">
        <v>16</v>
      </c>
      <c r="K312" s="2" t="s">
        <v>17</v>
      </c>
      <c r="L312" s="3">
        <v>46100</v>
      </c>
      <c r="M312" s="2" t="str">
        <f>_xlfn.XLOOKUP(Deals[[#This Row],[CustomerID]],Customers!A:A,Customers!F:F)</f>
        <v>Affluent</v>
      </c>
      <c r="N312" s="2" t="str">
        <f>_xlfn.XLOOKUP(Deals[[#This Row],[CustomerID]],Customers!A:A,Customers!E:E)</f>
        <v>Kuwaiti</v>
      </c>
      <c r="O312" s="2">
        <f>2026-_xlfn.XLOOKUP(Deals[[#This Row],[CustomerID]],Customers!A:A,Customers!D:D)</f>
        <v>42</v>
      </c>
      <c r="P312" s="2" t="str" cm="1">
        <f t="array" ref="P312">_xlfn.IFS(Deals[[#This Row],[Age]]&lt;30,"Under 30",Deals[[#This Row],[Age]]&lt;45,"30-44",TRUE,"45+")</f>
        <v>30-44</v>
      </c>
      <c r="Q312" s="21">
        <f>IF(Deals[[#This Row],[Status]]="Pending","",Deals[[#This Row],[DecisionDate]]-Deals[[#This Row],[ApplicationDate]])</f>
        <v>4</v>
      </c>
      <c r="R312" s="21">
        <f>IF(Deals[[#This Row],[Status]]="Approved",1,0)</f>
        <v>1</v>
      </c>
      <c r="S312" s="21">
        <f>IF(Deals[[#This Row],[IsApproved]]=1,Deals[[#This Row],[Amount]],0)</f>
        <v>7500</v>
      </c>
      <c r="T312" s="21">
        <f>Deals[[#This Row],[ApprovedAmount]]*Deals[[#This Row],[ProfitRate]]</f>
        <v>501.75</v>
      </c>
    </row>
    <row r="313" spans="1:20">
      <c r="A313" s="2" t="s">
        <v>641</v>
      </c>
      <c r="B313" s="3">
        <v>46096</v>
      </c>
      <c r="C313" s="2" t="s">
        <v>642</v>
      </c>
      <c r="D313" s="2" t="s">
        <v>71</v>
      </c>
      <c r="E313" s="2" t="s">
        <v>21</v>
      </c>
      <c r="F313" s="2" t="s">
        <v>3</v>
      </c>
      <c r="G313" s="4">
        <v>293200</v>
      </c>
      <c r="H313" s="5">
        <v>4.1099999999999998E-2</v>
      </c>
      <c r="I313" s="2">
        <v>120</v>
      </c>
      <c r="J313" s="2" t="s">
        <v>72</v>
      </c>
      <c r="K313" s="2" t="s">
        <v>17</v>
      </c>
      <c r="L313" s="3">
        <v>46124</v>
      </c>
      <c r="M313" s="2" t="str">
        <f>_xlfn.XLOOKUP(Deals[[#This Row],[CustomerID]],Customers!A:A,Customers!F:F)</f>
        <v>Premium</v>
      </c>
      <c r="N313" s="2" t="str">
        <f>_xlfn.XLOOKUP(Deals[[#This Row],[CustomerID]],Customers!A:A,Customers!E:E)</f>
        <v>Kuwaiti</v>
      </c>
      <c r="O313" s="2">
        <f>2026-_xlfn.XLOOKUP(Deals[[#This Row],[CustomerID]],Customers!A:A,Customers!D:D)</f>
        <v>32</v>
      </c>
      <c r="P313" s="2" t="str" cm="1">
        <f t="array" ref="P313">_xlfn.IFS(Deals[[#This Row],[Age]]&lt;30,"Under 30",Deals[[#This Row],[Age]]&lt;45,"30-44",TRUE,"45+")</f>
        <v>30-44</v>
      </c>
      <c r="Q313" s="21">
        <f>IF(Deals[[#This Row],[Status]]="Pending","",Deals[[#This Row],[DecisionDate]]-Deals[[#This Row],[ApplicationDate]])</f>
        <v>28</v>
      </c>
      <c r="R313" s="21">
        <f>IF(Deals[[#This Row],[Status]]="Approved",1,0)</f>
        <v>1</v>
      </c>
      <c r="S313" s="21">
        <f>IF(Deals[[#This Row],[IsApproved]]=1,Deals[[#This Row],[Amount]],0)</f>
        <v>293200</v>
      </c>
      <c r="T313" s="21">
        <f>Deals[[#This Row],[ApprovedAmount]]*Deals[[#This Row],[ProfitRate]]</f>
        <v>12050.519999999999</v>
      </c>
    </row>
    <row r="314" spans="1:20">
      <c r="A314" s="2" t="s">
        <v>643</v>
      </c>
      <c r="B314" s="3">
        <v>46096</v>
      </c>
      <c r="C314" s="2" t="s">
        <v>644</v>
      </c>
      <c r="D314" s="2" t="s">
        <v>29</v>
      </c>
      <c r="E314" s="2" t="s">
        <v>21</v>
      </c>
      <c r="F314" s="2" t="s">
        <v>55</v>
      </c>
      <c r="G314" s="4">
        <v>124200</v>
      </c>
      <c r="H314" s="5">
        <v>3.1099999999999999E-2</v>
      </c>
      <c r="I314" s="2">
        <v>180</v>
      </c>
      <c r="J314" s="2" t="s">
        <v>123</v>
      </c>
      <c r="K314" s="2" t="s">
        <v>45</v>
      </c>
      <c r="L314" s="3">
        <v>46108</v>
      </c>
      <c r="M314" s="2" t="str">
        <f>_xlfn.XLOOKUP(Deals[[#This Row],[CustomerID]],Customers!A:A,Customers!F:F)</f>
        <v>Affluent</v>
      </c>
      <c r="N314" s="2" t="str">
        <f>_xlfn.XLOOKUP(Deals[[#This Row],[CustomerID]],Customers!A:A,Customers!E:E)</f>
        <v>Kuwaiti</v>
      </c>
      <c r="O314" s="2">
        <f>2026-_xlfn.XLOOKUP(Deals[[#This Row],[CustomerID]],Customers!A:A,Customers!D:D)</f>
        <v>68</v>
      </c>
      <c r="P314" s="2" t="str" cm="1">
        <f t="array" ref="P314">_xlfn.IFS(Deals[[#This Row],[Age]]&lt;30,"Under 30",Deals[[#This Row],[Age]]&lt;45,"30-44",TRUE,"45+")</f>
        <v>45+</v>
      </c>
      <c r="Q314" s="21">
        <f>IF(Deals[[#This Row],[Status]]="Pending","",Deals[[#This Row],[DecisionDate]]-Deals[[#This Row],[ApplicationDate]])</f>
        <v>12</v>
      </c>
      <c r="R314" s="21">
        <f>IF(Deals[[#This Row],[Status]]="Approved",1,0)</f>
        <v>0</v>
      </c>
      <c r="S314" s="21">
        <f>IF(Deals[[#This Row],[IsApproved]]=1,Deals[[#This Row],[Amount]],0)</f>
        <v>0</v>
      </c>
      <c r="T314" s="21">
        <f>Deals[[#This Row],[ApprovedAmount]]*Deals[[#This Row],[ProfitRate]]</f>
        <v>0</v>
      </c>
    </row>
    <row r="315" spans="1:20">
      <c r="A315" s="2" t="s">
        <v>645</v>
      </c>
      <c r="B315" s="3">
        <v>46097</v>
      </c>
      <c r="C315" s="2" t="s">
        <v>238</v>
      </c>
      <c r="D315" s="2" t="s">
        <v>25</v>
      </c>
      <c r="E315" s="2" t="s">
        <v>21</v>
      </c>
      <c r="F315" s="2" t="s">
        <v>55</v>
      </c>
      <c r="G315" s="4">
        <v>116400</v>
      </c>
      <c r="H315" s="5">
        <v>3.6499999999999998E-2</v>
      </c>
      <c r="I315" s="2">
        <v>180</v>
      </c>
      <c r="J315" s="2" t="s">
        <v>26</v>
      </c>
      <c r="K315" s="2" t="s">
        <v>45</v>
      </c>
      <c r="L315" s="3">
        <v>46126</v>
      </c>
      <c r="M315" s="2" t="str">
        <f>_xlfn.XLOOKUP(Deals[[#This Row],[CustomerID]],Customers!A:A,Customers!F:F)</f>
        <v>Affluent</v>
      </c>
      <c r="N315" s="2" t="str">
        <f>_xlfn.XLOOKUP(Deals[[#This Row],[CustomerID]],Customers!A:A,Customers!E:E)</f>
        <v>Kuwaiti</v>
      </c>
      <c r="O315" s="2">
        <f>2026-_xlfn.XLOOKUP(Deals[[#This Row],[CustomerID]],Customers!A:A,Customers!D:D)</f>
        <v>29</v>
      </c>
      <c r="P315" s="2" t="str" cm="1">
        <f t="array" ref="P315">_xlfn.IFS(Deals[[#This Row],[Age]]&lt;30,"Under 30",Deals[[#This Row],[Age]]&lt;45,"30-44",TRUE,"45+")</f>
        <v>Under 30</v>
      </c>
      <c r="Q315" s="21">
        <f>IF(Deals[[#This Row],[Status]]="Pending","",Deals[[#This Row],[DecisionDate]]-Deals[[#This Row],[ApplicationDate]])</f>
        <v>29</v>
      </c>
      <c r="R315" s="21">
        <f>IF(Deals[[#This Row],[Status]]="Approved",1,0)</f>
        <v>0</v>
      </c>
      <c r="S315" s="21">
        <f>IF(Deals[[#This Row],[IsApproved]]=1,Deals[[#This Row],[Amount]],0)</f>
        <v>0</v>
      </c>
      <c r="T315" s="21">
        <f>Deals[[#This Row],[ApprovedAmount]]*Deals[[#This Row],[ProfitRate]]</f>
        <v>0</v>
      </c>
    </row>
    <row r="316" spans="1:20">
      <c r="A316" s="2" t="s">
        <v>646</v>
      </c>
      <c r="B316" s="3">
        <v>46097</v>
      </c>
      <c r="C316" s="2" t="s">
        <v>172</v>
      </c>
      <c r="D316" s="2" t="s">
        <v>29</v>
      </c>
      <c r="E316" s="2" t="s">
        <v>30</v>
      </c>
      <c r="F316" s="2" t="s">
        <v>3</v>
      </c>
      <c r="G316" s="4">
        <v>21900</v>
      </c>
      <c r="H316" s="5">
        <v>4.7699999999999999E-2</v>
      </c>
      <c r="I316" s="2">
        <v>36</v>
      </c>
      <c r="J316" s="2" t="s">
        <v>123</v>
      </c>
      <c r="K316" s="2" t="s">
        <v>17</v>
      </c>
      <c r="L316" s="3">
        <v>46098</v>
      </c>
      <c r="M316" s="2" t="str">
        <f>_xlfn.XLOOKUP(Deals[[#This Row],[CustomerID]],Customers!A:A,Customers!F:F)</f>
        <v>Premium</v>
      </c>
      <c r="N316" s="2" t="str">
        <f>_xlfn.XLOOKUP(Deals[[#This Row],[CustomerID]],Customers!A:A,Customers!E:E)</f>
        <v>Kuwaiti</v>
      </c>
      <c r="O316" s="2">
        <f>2026-_xlfn.XLOOKUP(Deals[[#This Row],[CustomerID]],Customers!A:A,Customers!D:D)</f>
        <v>46</v>
      </c>
      <c r="P316" s="2" t="str" cm="1">
        <f t="array" ref="P316">_xlfn.IFS(Deals[[#This Row],[Age]]&lt;30,"Under 30",Deals[[#This Row],[Age]]&lt;45,"30-44",TRUE,"45+")</f>
        <v>45+</v>
      </c>
      <c r="Q316" s="21">
        <f>IF(Deals[[#This Row],[Status]]="Pending","",Deals[[#This Row],[DecisionDate]]-Deals[[#This Row],[ApplicationDate]])</f>
        <v>1</v>
      </c>
      <c r="R316" s="21">
        <f>IF(Deals[[#This Row],[Status]]="Approved",1,0)</f>
        <v>1</v>
      </c>
      <c r="S316" s="21">
        <f>IF(Deals[[#This Row],[IsApproved]]=1,Deals[[#This Row],[Amount]],0)</f>
        <v>21900</v>
      </c>
      <c r="T316" s="21">
        <f>Deals[[#This Row],[ApprovedAmount]]*Deals[[#This Row],[ProfitRate]]</f>
        <v>1044.6299999999999</v>
      </c>
    </row>
    <row r="317" spans="1:20">
      <c r="A317" s="2" t="s">
        <v>647</v>
      </c>
      <c r="B317" s="3">
        <v>46097</v>
      </c>
      <c r="C317" s="2" t="s">
        <v>254</v>
      </c>
      <c r="D317" s="2" t="s">
        <v>14</v>
      </c>
      <c r="E317" s="2" t="s">
        <v>15</v>
      </c>
      <c r="F317" s="2" t="s">
        <v>3</v>
      </c>
      <c r="G317" s="4">
        <v>8000</v>
      </c>
      <c r="H317" s="5">
        <v>6.1800000000000001E-2</v>
      </c>
      <c r="I317" s="2">
        <v>24</v>
      </c>
      <c r="J317" s="2" t="s">
        <v>16</v>
      </c>
      <c r="K317" s="2" t="s">
        <v>17</v>
      </c>
      <c r="L317" s="3">
        <v>46099</v>
      </c>
      <c r="M317" s="2" t="str">
        <f>_xlfn.XLOOKUP(Deals[[#This Row],[CustomerID]],Customers!A:A,Customers!F:F)</f>
        <v>Mass</v>
      </c>
      <c r="N317" s="2" t="str">
        <f>_xlfn.XLOOKUP(Deals[[#This Row],[CustomerID]],Customers!A:A,Customers!E:E)</f>
        <v>Kuwaiti</v>
      </c>
      <c r="O317" s="2">
        <f>2026-_xlfn.XLOOKUP(Deals[[#This Row],[CustomerID]],Customers!A:A,Customers!D:D)</f>
        <v>59</v>
      </c>
      <c r="P317" s="2" t="str" cm="1">
        <f t="array" ref="P317">_xlfn.IFS(Deals[[#This Row],[Age]]&lt;30,"Under 30",Deals[[#This Row],[Age]]&lt;45,"30-44",TRUE,"45+")</f>
        <v>45+</v>
      </c>
      <c r="Q317" s="21">
        <f>IF(Deals[[#This Row],[Status]]="Pending","",Deals[[#This Row],[DecisionDate]]-Deals[[#This Row],[ApplicationDate]])</f>
        <v>2</v>
      </c>
      <c r="R317" s="21">
        <f>IF(Deals[[#This Row],[Status]]="Approved",1,0)</f>
        <v>1</v>
      </c>
      <c r="S317" s="21">
        <f>IF(Deals[[#This Row],[IsApproved]]=1,Deals[[#This Row],[Amount]],0)</f>
        <v>8000</v>
      </c>
      <c r="T317" s="21">
        <f>Deals[[#This Row],[ApprovedAmount]]*Deals[[#This Row],[ProfitRate]]</f>
        <v>494.40000000000003</v>
      </c>
    </row>
    <row r="318" spans="1:20">
      <c r="A318" s="2" t="s">
        <v>648</v>
      </c>
      <c r="B318" s="3">
        <v>46097</v>
      </c>
      <c r="C318" s="2" t="s">
        <v>649</v>
      </c>
      <c r="D318" s="2" t="s">
        <v>14</v>
      </c>
      <c r="E318" s="2" t="s">
        <v>15</v>
      </c>
      <c r="F318" s="2" t="s">
        <v>3</v>
      </c>
      <c r="G318" s="4">
        <v>24600</v>
      </c>
      <c r="H318" s="5">
        <v>6.6900000000000001E-2</v>
      </c>
      <c r="I318" s="2">
        <v>12</v>
      </c>
      <c r="J318" s="2" t="s">
        <v>48</v>
      </c>
      <c r="K318" s="2" t="s">
        <v>17</v>
      </c>
      <c r="L318" s="3">
        <v>46103</v>
      </c>
      <c r="M318" s="2" t="str">
        <f>_xlfn.XLOOKUP(Deals[[#This Row],[CustomerID]],Customers!A:A,Customers!F:F)</f>
        <v>Affluent</v>
      </c>
      <c r="N318" s="2" t="str">
        <f>_xlfn.XLOOKUP(Deals[[#This Row],[CustomerID]],Customers!A:A,Customers!E:E)</f>
        <v>Kuwaiti</v>
      </c>
      <c r="O318" s="2">
        <f>2026-_xlfn.XLOOKUP(Deals[[#This Row],[CustomerID]],Customers!A:A,Customers!D:D)</f>
        <v>54</v>
      </c>
      <c r="P318" s="2" t="str" cm="1">
        <f t="array" ref="P318">_xlfn.IFS(Deals[[#This Row],[Age]]&lt;30,"Under 30",Deals[[#This Row],[Age]]&lt;45,"30-44",TRUE,"45+")</f>
        <v>45+</v>
      </c>
      <c r="Q318" s="21">
        <f>IF(Deals[[#This Row],[Status]]="Pending","",Deals[[#This Row],[DecisionDate]]-Deals[[#This Row],[ApplicationDate]])</f>
        <v>6</v>
      </c>
      <c r="R318" s="21">
        <f>IF(Deals[[#This Row],[Status]]="Approved",1,0)</f>
        <v>1</v>
      </c>
      <c r="S318" s="21">
        <f>IF(Deals[[#This Row],[IsApproved]]=1,Deals[[#This Row],[Amount]],0)</f>
        <v>24600</v>
      </c>
      <c r="T318" s="21">
        <f>Deals[[#This Row],[ApprovedAmount]]*Deals[[#This Row],[ProfitRate]]</f>
        <v>1645.74</v>
      </c>
    </row>
    <row r="319" spans="1:20">
      <c r="A319" s="2" t="s">
        <v>651</v>
      </c>
      <c r="B319" s="3">
        <v>46097</v>
      </c>
      <c r="C319" s="2" t="s">
        <v>652</v>
      </c>
      <c r="D319" s="2" t="s">
        <v>29</v>
      </c>
      <c r="E319" s="2" t="s">
        <v>30</v>
      </c>
      <c r="F319" s="2" t="s">
        <v>3</v>
      </c>
      <c r="G319" s="4">
        <v>6700</v>
      </c>
      <c r="H319" s="5">
        <v>4.82E-2</v>
      </c>
      <c r="I319" s="2">
        <v>48</v>
      </c>
      <c r="J319" s="2" t="s">
        <v>32</v>
      </c>
      <c r="K319" s="2" t="s">
        <v>17</v>
      </c>
      <c r="L319" s="3">
        <v>46099</v>
      </c>
      <c r="M319" s="2" t="str">
        <f>_xlfn.XLOOKUP(Deals[[#This Row],[CustomerID]],Customers!A:A,Customers!F:F)</f>
        <v>Affluent</v>
      </c>
      <c r="N319" s="2" t="str">
        <f>_xlfn.XLOOKUP(Deals[[#This Row],[CustomerID]],Customers!A:A,Customers!E:E)</f>
        <v>Kuwaiti</v>
      </c>
      <c r="O319" s="2">
        <f>2026-_xlfn.XLOOKUP(Deals[[#This Row],[CustomerID]],Customers!A:A,Customers!D:D)</f>
        <v>41</v>
      </c>
      <c r="P319" s="2" t="str" cm="1">
        <f t="array" ref="P319">_xlfn.IFS(Deals[[#This Row],[Age]]&lt;30,"Under 30",Deals[[#This Row],[Age]]&lt;45,"30-44",TRUE,"45+")</f>
        <v>30-44</v>
      </c>
      <c r="Q319" s="21">
        <f>IF(Deals[[#This Row],[Status]]="Pending","",Deals[[#This Row],[DecisionDate]]-Deals[[#This Row],[ApplicationDate]])</f>
        <v>2</v>
      </c>
      <c r="R319" s="21">
        <f>IF(Deals[[#This Row],[Status]]="Approved",1,0)</f>
        <v>1</v>
      </c>
      <c r="S319" s="21">
        <f>IF(Deals[[#This Row],[IsApproved]]=1,Deals[[#This Row],[Amount]],0)</f>
        <v>6700</v>
      </c>
      <c r="T319" s="21">
        <f>Deals[[#This Row],[ApprovedAmount]]*Deals[[#This Row],[ProfitRate]]</f>
        <v>322.94</v>
      </c>
    </row>
    <row r="320" spans="1:20">
      <c r="A320" s="2" t="s">
        <v>653</v>
      </c>
      <c r="B320" s="3">
        <v>46097</v>
      </c>
      <c r="C320" s="2" t="s">
        <v>433</v>
      </c>
      <c r="D320" s="2" t="s">
        <v>25</v>
      </c>
      <c r="E320" s="2" t="s">
        <v>30</v>
      </c>
      <c r="F320" s="2" t="s">
        <v>31</v>
      </c>
      <c r="G320" s="4">
        <v>11200</v>
      </c>
      <c r="H320" s="5">
        <v>4.6300000000000001E-2</v>
      </c>
      <c r="I320" s="2">
        <v>48</v>
      </c>
      <c r="J320" s="2" t="s">
        <v>66</v>
      </c>
      <c r="K320" s="2" t="s">
        <v>17</v>
      </c>
      <c r="L320" s="3">
        <v>46097</v>
      </c>
      <c r="M320" s="2" t="str">
        <f>_xlfn.XLOOKUP(Deals[[#This Row],[CustomerID]],Customers!A:A,Customers!F:F)</f>
        <v>Affluent</v>
      </c>
      <c r="N320" s="2" t="str">
        <f>_xlfn.XLOOKUP(Deals[[#This Row],[CustomerID]],Customers!A:A,Customers!E:E)</f>
        <v>Kuwaiti</v>
      </c>
      <c r="O320" s="2">
        <f>2026-_xlfn.XLOOKUP(Deals[[#This Row],[CustomerID]],Customers!A:A,Customers!D:D)</f>
        <v>40</v>
      </c>
      <c r="P320" s="2" t="str" cm="1">
        <f t="array" ref="P320">_xlfn.IFS(Deals[[#This Row],[Age]]&lt;30,"Under 30",Deals[[#This Row],[Age]]&lt;45,"30-44",TRUE,"45+")</f>
        <v>30-44</v>
      </c>
      <c r="Q320" s="21">
        <f>IF(Deals[[#This Row],[Status]]="Pending","",Deals[[#This Row],[DecisionDate]]-Deals[[#This Row],[ApplicationDate]])</f>
        <v>0</v>
      </c>
      <c r="R320" s="21">
        <f>IF(Deals[[#This Row],[Status]]="Approved",1,0)</f>
        <v>1</v>
      </c>
      <c r="S320" s="21">
        <f>IF(Deals[[#This Row],[IsApproved]]=1,Deals[[#This Row],[Amount]],0)</f>
        <v>11200</v>
      </c>
      <c r="T320" s="21">
        <f>Deals[[#This Row],[ApprovedAmount]]*Deals[[#This Row],[ProfitRate]]</f>
        <v>518.56000000000006</v>
      </c>
    </row>
    <row r="321" spans="1:20">
      <c r="A321" s="2" t="s">
        <v>654</v>
      </c>
      <c r="B321" s="3">
        <v>46097</v>
      </c>
      <c r="C321" s="2" t="s">
        <v>417</v>
      </c>
      <c r="D321" s="2" t="s">
        <v>14</v>
      </c>
      <c r="E321" s="2" t="s">
        <v>15</v>
      </c>
      <c r="F321" s="2" t="s">
        <v>31</v>
      </c>
      <c r="G321" s="4">
        <v>7100</v>
      </c>
      <c r="H321" s="5">
        <v>5.1900000000000002E-2</v>
      </c>
      <c r="I321" s="2">
        <v>36</v>
      </c>
      <c r="J321" s="2" t="s">
        <v>40</v>
      </c>
      <c r="K321" s="2" t="s">
        <v>17</v>
      </c>
      <c r="L321" s="3">
        <v>46102</v>
      </c>
      <c r="M321" s="2" t="str">
        <f>_xlfn.XLOOKUP(Deals[[#This Row],[CustomerID]],Customers!A:A,Customers!F:F)</f>
        <v>Mass</v>
      </c>
      <c r="N321" s="2" t="str">
        <f>_xlfn.XLOOKUP(Deals[[#This Row],[CustomerID]],Customers!A:A,Customers!E:E)</f>
        <v>Kuwaiti</v>
      </c>
      <c r="O321" s="2">
        <f>2026-_xlfn.XLOOKUP(Deals[[#This Row],[CustomerID]],Customers!A:A,Customers!D:D)</f>
        <v>40</v>
      </c>
      <c r="P321" s="2" t="str" cm="1">
        <f t="array" ref="P321">_xlfn.IFS(Deals[[#This Row],[Age]]&lt;30,"Under 30",Deals[[#This Row],[Age]]&lt;45,"30-44",TRUE,"45+")</f>
        <v>30-44</v>
      </c>
      <c r="Q321" s="21">
        <f>IF(Deals[[#This Row],[Status]]="Pending","",Deals[[#This Row],[DecisionDate]]-Deals[[#This Row],[ApplicationDate]])</f>
        <v>5</v>
      </c>
      <c r="R321" s="21">
        <f>IF(Deals[[#This Row],[Status]]="Approved",1,0)</f>
        <v>1</v>
      </c>
      <c r="S321" s="21">
        <f>IF(Deals[[#This Row],[IsApproved]]=1,Deals[[#This Row],[Amount]],0)</f>
        <v>7100</v>
      </c>
      <c r="T321" s="21">
        <f>Deals[[#This Row],[ApprovedAmount]]*Deals[[#This Row],[ProfitRate]]</f>
        <v>368.49</v>
      </c>
    </row>
    <row r="322" spans="1:20">
      <c r="A322" s="2" t="s">
        <v>655</v>
      </c>
      <c r="B322" s="3">
        <v>46097</v>
      </c>
      <c r="C322" s="2" t="s">
        <v>633</v>
      </c>
      <c r="D322" s="2" t="s">
        <v>71</v>
      </c>
      <c r="E322" s="2" t="s">
        <v>15</v>
      </c>
      <c r="F322" s="2" t="s">
        <v>31</v>
      </c>
      <c r="G322" s="4">
        <v>11900</v>
      </c>
      <c r="H322" s="5">
        <v>5.9700000000000003E-2</v>
      </c>
      <c r="I322" s="2">
        <v>24</v>
      </c>
      <c r="J322" s="2" t="s">
        <v>72</v>
      </c>
      <c r="K322" s="2" t="s">
        <v>17</v>
      </c>
      <c r="L322" s="3">
        <v>46103</v>
      </c>
      <c r="M322" s="2" t="str">
        <f>_xlfn.XLOOKUP(Deals[[#This Row],[CustomerID]],Customers!A:A,Customers!F:F)</f>
        <v>Mass</v>
      </c>
      <c r="N322" s="2" t="str">
        <f>_xlfn.XLOOKUP(Deals[[#This Row],[CustomerID]],Customers!A:A,Customers!E:E)</f>
        <v>Kuwaiti</v>
      </c>
      <c r="O322" s="2">
        <f>2026-_xlfn.XLOOKUP(Deals[[#This Row],[CustomerID]],Customers!A:A,Customers!D:D)</f>
        <v>57</v>
      </c>
      <c r="P322" s="2" t="str" cm="1">
        <f t="array" ref="P322">_xlfn.IFS(Deals[[#This Row],[Age]]&lt;30,"Under 30",Deals[[#This Row],[Age]]&lt;45,"30-44",TRUE,"45+")</f>
        <v>45+</v>
      </c>
      <c r="Q322" s="21">
        <f>IF(Deals[[#This Row],[Status]]="Pending","",Deals[[#This Row],[DecisionDate]]-Deals[[#This Row],[ApplicationDate]])</f>
        <v>6</v>
      </c>
      <c r="R322" s="21">
        <f>IF(Deals[[#This Row],[Status]]="Approved",1,0)</f>
        <v>1</v>
      </c>
      <c r="S322" s="21">
        <f>IF(Deals[[#This Row],[IsApproved]]=1,Deals[[#This Row],[Amount]],0)</f>
        <v>11900</v>
      </c>
      <c r="T322" s="21">
        <f>Deals[[#This Row],[ApprovedAmount]]*Deals[[#This Row],[ProfitRate]]</f>
        <v>710.43000000000006</v>
      </c>
    </row>
    <row r="323" spans="1:20">
      <c r="A323" s="2" t="s">
        <v>657</v>
      </c>
      <c r="B323" s="3">
        <v>46098</v>
      </c>
      <c r="C323" s="2" t="s">
        <v>658</v>
      </c>
      <c r="D323" s="2" t="s">
        <v>29</v>
      </c>
      <c r="E323" s="2" t="s">
        <v>15</v>
      </c>
      <c r="F323" s="2" t="s">
        <v>3</v>
      </c>
      <c r="G323" s="4">
        <v>11900</v>
      </c>
      <c r="H323" s="5">
        <v>5.9299999999999999E-2</v>
      </c>
      <c r="I323" s="2">
        <v>48</v>
      </c>
      <c r="J323" s="2" t="s">
        <v>61</v>
      </c>
      <c r="K323" s="2" t="s">
        <v>17</v>
      </c>
      <c r="L323" s="3">
        <v>46100</v>
      </c>
      <c r="M323" s="2" t="str">
        <f>_xlfn.XLOOKUP(Deals[[#This Row],[CustomerID]],Customers!A:A,Customers!F:F)</f>
        <v>Affluent</v>
      </c>
      <c r="N323" s="2" t="str">
        <f>_xlfn.XLOOKUP(Deals[[#This Row],[CustomerID]],Customers!A:A,Customers!E:E)</f>
        <v>Non-Kuwaiti</v>
      </c>
      <c r="O323" s="2">
        <f>2026-_xlfn.XLOOKUP(Deals[[#This Row],[CustomerID]],Customers!A:A,Customers!D:D)</f>
        <v>48</v>
      </c>
      <c r="P323" s="2" t="str" cm="1">
        <f t="array" ref="P323">_xlfn.IFS(Deals[[#This Row],[Age]]&lt;30,"Under 30",Deals[[#This Row],[Age]]&lt;45,"30-44",TRUE,"45+")</f>
        <v>45+</v>
      </c>
      <c r="Q323" s="21">
        <f>IF(Deals[[#This Row],[Status]]="Pending","",Deals[[#This Row],[DecisionDate]]-Deals[[#This Row],[ApplicationDate]])</f>
        <v>2</v>
      </c>
      <c r="R323" s="21">
        <f>IF(Deals[[#This Row],[Status]]="Approved",1,0)</f>
        <v>1</v>
      </c>
      <c r="S323" s="21">
        <f>IF(Deals[[#This Row],[IsApproved]]=1,Deals[[#This Row],[Amount]],0)</f>
        <v>11900</v>
      </c>
      <c r="T323" s="21">
        <f>Deals[[#This Row],[ApprovedAmount]]*Deals[[#This Row],[ProfitRate]]</f>
        <v>705.67</v>
      </c>
    </row>
    <row r="324" spans="1:20">
      <c r="A324" s="2" t="s">
        <v>659</v>
      </c>
      <c r="B324" s="3">
        <v>46098</v>
      </c>
      <c r="C324" s="2" t="s">
        <v>552</v>
      </c>
      <c r="D324" s="2" t="s">
        <v>29</v>
      </c>
      <c r="E324" s="2" t="s">
        <v>43</v>
      </c>
      <c r="F324" s="2" t="s">
        <v>3</v>
      </c>
      <c r="G324" s="4">
        <v>138300</v>
      </c>
      <c r="H324" s="5">
        <v>7.0599999999999996E-2</v>
      </c>
      <c r="I324" s="2">
        <v>84</v>
      </c>
      <c r="J324" s="2" t="s">
        <v>61</v>
      </c>
      <c r="K324" s="2" t="s">
        <v>17</v>
      </c>
      <c r="L324" s="3">
        <v>46118</v>
      </c>
      <c r="M324" s="2" t="str">
        <f>_xlfn.XLOOKUP(Deals[[#This Row],[CustomerID]],Customers!A:A,Customers!F:F)</f>
        <v>Mass</v>
      </c>
      <c r="N324" s="2" t="str">
        <f>_xlfn.XLOOKUP(Deals[[#This Row],[CustomerID]],Customers!A:A,Customers!E:E)</f>
        <v>Kuwaiti</v>
      </c>
      <c r="O324" s="2">
        <f>2026-_xlfn.XLOOKUP(Deals[[#This Row],[CustomerID]],Customers!A:A,Customers!D:D)</f>
        <v>50</v>
      </c>
      <c r="P324" s="2" t="str" cm="1">
        <f t="array" ref="P324">_xlfn.IFS(Deals[[#This Row],[Age]]&lt;30,"Under 30",Deals[[#This Row],[Age]]&lt;45,"30-44",TRUE,"45+")</f>
        <v>45+</v>
      </c>
      <c r="Q324" s="21">
        <f>IF(Deals[[#This Row],[Status]]="Pending","",Deals[[#This Row],[DecisionDate]]-Deals[[#This Row],[ApplicationDate]])</f>
        <v>20</v>
      </c>
      <c r="R324" s="21">
        <f>IF(Deals[[#This Row],[Status]]="Approved",1,0)</f>
        <v>1</v>
      </c>
      <c r="S324" s="21">
        <f>IF(Deals[[#This Row],[IsApproved]]=1,Deals[[#This Row],[Amount]],0)</f>
        <v>138300</v>
      </c>
      <c r="T324" s="21">
        <f>Deals[[#This Row],[ApprovedAmount]]*Deals[[#This Row],[ProfitRate]]</f>
        <v>9763.98</v>
      </c>
    </row>
    <row r="325" spans="1:20">
      <c r="A325" s="2" t="s">
        <v>660</v>
      </c>
      <c r="B325" s="3">
        <v>46098</v>
      </c>
      <c r="C325" s="2" t="s">
        <v>661</v>
      </c>
      <c r="D325" s="2" t="s">
        <v>29</v>
      </c>
      <c r="E325" s="2" t="s">
        <v>15</v>
      </c>
      <c r="F325" s="2" t="s">
        <v>3</v>
      </c>
      <c r="G325" s="4">
        <v>25000</v>
      </c>
      <c r="H325" s="5">
        <v>6.9099999999999995E-2</v>
      </c>
      <c r="I325" s="2">
        <v>60</v>
      </c>
      <c r="J325" s="2" t="s">
        <v>61</v>
      </c>
      <c r="K325" s="2" t="s">
        <v>17</v>
      </c>
      <c r="L325" s="3">
        <v>46099</v>
      </c>
      <c r="M325" s="2" t="str">
        <f>_xlfn.XLOOKUP(Deals[[#This Row],[CustomerID]],Customers!A:A,Customers!F:F)</f>
        <v>Affluent</v>
      </c>
      <c r="N325" s="2" t="str">
        <f>_xlfn.XLOOKUP(Deals[[#This Row],[CustomerID]],Customers!A:A,Customers!E:E)</f>
        <v>Non-Kuwaiti</v>
      </c>
      <c r="O325" s="2">
        <f>2026-_xlfn.XLOOKUP(Deals[[#This Row],[CustomerID]],Customers!A:A,Customers!D:D)</f>
        <v>24</v>
      </c>
      <c r="P325" s="2" t="str" cm="1">
        <f t="array" ref="P325">_xlfn.IFS(Deals[[#This Row],[Age]]&lt;30,"Under 30",Deals[[#This Row],[Age]]&lt;45,"30-44",TRUE,"45+")</f>
        <v>Under 30</v>
      </c>
      <c r="Q325" s="21">
        <f>IF(Deals[[#This Row],[Status]]="Pending","",Deals[[#This Row],[DecisionDate]]-Deals[[#This Row],[ApplicationDate]])</f>
        <v>1</v>
      </c>
      <c r="R325" s="21">
        <f>IF(Deals[[#This Row],[Status]]="Approved",1,0)</f>
        <v>1</v>
      </c>
      <c r="S325" s="21">
        <f>IF(Deals[[#This Row],[IsApproved]]=1,Deals[[#This Row],[Amount]],0)</f>
        <v>25000</v>
      </c>
      <c r="T325" s="21">
        <f>Deals[[#This Row],[ApprovedAmount]]*Deals[[#This Row],[ProfitRate]]</f>
        <v>1727.4999999999998</v>
      </c>
    </row>
    <row r="326" spans="1:20">
      <c r="A326" s="2" t="s">
        <v>662</v>
      </c>
      <c r="B326" s="3">
        <v>46098</v>
      </c>
      <c r="C326" s="2" t="s">
        <v>663</v>
      </c>
      <c r="D326" s="2" t="s">
        <v>71</v>
      </c>
      <c r="E326" s="2" t="s">
        <v>30</v>
      </c>
      <c r="F326" s="2" t="s">
        <v>3</v>
      </c>
      <c r="G326" s="4">
        <v>8800</v>
      </c>
      <c r="H326" s="5">
        <v>4.9399999999999999E-2</v>
      </c>
      <c r="I326" s="2">
        <v>48</v>
      </c>
      <c r="J326" s="2" t="s">
        <v>72</v>
      </c>
      <c r="K326" s="2" t="s">
        <v>17</v>
      </c>
      <c r="L326" s="3">
        <v>46099</v>
      </c>
      <c r="M326" s="2" t="str">
        <f>_xlfn.XLOOKUP(Deals[[#This Row],[CustomerID]],Customers!A:A,Customers!F:F)</f>
        <v>Premium</v>
      </c>
      <c r="N326" s="2" t="str">
        <f>_xlfn.XLOOKUP(Deals[[#This Row],[CustomerID]],Customers!A:A,Customers!E:E)</f>
        <v>Kuwaiti</v>
      </c>
      <c r="O326" s="2">
        <f>2026-_xlfn.XLOOKUP(Deals[[#This Row],[CustomerID]],Customers!A:A,Customers!D:D)</f>
        <v>26</v>
      </c>
      <c r="P326" s="2" t="str" cm="1">
        <f t="array" ref="P326">_xlfn.IFS(Deals[[#This Row],[Age]]&lt;30,"Under 30",Deals[[#This Row],[Age]]&lt;45,"30-44",TRUE,"45+")</f>
        <v>Under 30</v>
      </c>
      <c r="Q326" s="21">
        <f>IF(Deals[[#This Row],[Status]]="Pending","",Deals[[#This Row],[DecisionDate]]-Deals[[#This Row],[ApplicationDate]])</f>
        <v>1</v>
      </c>
      <c r="R326" s="21">
        <f>IF(Deals[[#This Row],[Status]]="Approved",1,0)</f>
        <v>1</v>
      </c>
      <c r="S326" s="21">
        <f>IF(Deals[[#This Row],[IsApproved]]=1,Deals[[#This Row],[Amount]],0)</f>
        <v>8800</v>
      </c>
      <c r="T326" s="21">
        <f>Deals[[#This Row],[ApprovedAmount]]*Deals[[#This Row],[ProfitRate]]</f>
        <v>434.71999999999997</v>
      </c>
    </row>
    <row r="327" spans="1:20">
      <c r="A327" s="2" t="s">
        <v>664</v>
      </c>
      <c r="B327" s="3">
        <v>46098</v>
      </c>
      <c r="C327" s="2" t="s">
        <v>581</v>
      </c>
      <c r="D327" s="2" t="s">
        <v>54</v>
      </c>
      <c r="E327" s="2" t="s">
        <v>15</v>
      </c>
      <c r="F327" s="2" t="s">
        <v>3</v>
      </c>
      <c r="G327" s="4">
        <v>21400</v>
      </c>
      <c r="H327" s="5">
        <v>6.6199999999999995E-2</v>
      </c>
      <c r="I327" s="2">
        <v>36</v>
      </c>
      <c r="J327" s="2" t="s">
        <v>186</v>
      </c>
      <c r="K327" s="2" t="s">
        <v>45</v>
      </c>
      <c r="L327" s="3">
        <v>46102</v>
      </c>
      <c r="M327" s="2" t="str">
        <f>_xlfn.XLOOKUP(Deals[[#This Row],[CustomerID]],Customers!A:A,Customers!F:F)</f>
        <v>Mass</v>
      </c>
      <c r="N327" s="2" t="str">
        <f>_xlfn.XLOOKUP(Deals[[#This Row],[CustomerID]],Customers!A:A,Customers!E:E)</f>
        <v>Kuwaiti</v>
      </c>
      <c r="O327" s="2">
        <f>2026-_xlfn.XLOOKUP(Deals[[#This Row],[CustomerID]],Customers!A:A,Customers!D:D)</f>
        <v>69</v>
      </c>
      <c r="P327" s="2" t="str" cm="1">
        <f t="array" ref="P327">_xlfn.IFS(Deals[[#This Row],[Age]]&lt;30,"Under 30",Deals[[#This Row],[Age]]&lt;45,"30-44",TRUE,"45+")</f>
        <v>45+</v>
      </c>
      <c r="Q327" s="21">
        <f>IF(Deals[[#This Row],[Status]]="Pending","",Deals[[#This Row],[DecisionDate]]-Deals[[#This Row],[ApplicationDate]])</f>
        <v>4</v>
      </c>
      <c r="R327" s="21">
        <f>IF(Deals[[#This Row],[Status]]="Approved",1,0)</f>
        <v>0</v>
      </c>
      <c r="S327" s="21">
        <f>IF(Deals[[#This Row],[IsApproved]]=1,Deals[[#This Row],[Amount]],0)</f>
        <v>0</v>
      </c>
      <c r="T327" s="21">
        <f>Deals[[#This Row],[ApprovedAmount]]*Deals[[#This Row],[ProfitRate]]</f>
        <v>0</v>
      </c>
    </row>
    <row r="328" spans="1:20">
      <c r="A328" s="2" t="s">
        <v>665</v>
      </c>
      <c r="B328" s="3">
        <v>46098</v>
      </c>
      <c r="C328" s="2" t="s">
        <v>666</v>
      </c>
      <c r="D328" s="2" t="s">
        <v>25</v>
      </c>
      <c r="E328" s="2" t="s">
        <v>43</v>
      </c>
      <c r="F328" s="2" t="s">
        <v>3</v>
      </c>
      <c r="G328" s="4">
        <v>50800</v>
      </c>
      <c r="H328" s="5">
        <v>6.5199999999999994E-2</v>
      </c>
      <c r="I328" s="2">
        <v>36</v>
      </c>
      <c r="J328" s="2" t="s">
        <v>181</v>
      </c>
      <c r="K328" s="2" t="s">
        <v>17</v>
      </c>
      <c r="L328" s="3">
        <v>46118</v>
      </c>
      <c r="M328" s="2" t="str">
        <f>_xlfn.XLOOKUP(Deals[[#This Row],[CustomerID]],Customers!A:A,Customers!F:F)</f>
        <v>Mass</v>
      </c>
      <c r="N328" s="2" t="str">
        <f>_xlfn.XLOOKUP(Deals[[#This Row],[CustomerID]],Customers!A:A,Customers!E:E)</f>
        <v>Kuwaiti</v>
      </c>
      <c r="O328" s="2">
        <f>2026-_xlfn.XLOOKUP(Deals[[#This Row],[CustomerID]],Customers!A:A,Customers!D:D)</f>
        <v>29</v>
      </c>
      <c r="P328" s="2" t="str" cm="1">
        <f t="array" ref="P328">_xlfn.IFS(Deals[[#This Row],[Age]]&lt;30,"Under 30",Deals[[#This Row],[Age]]&lt;45,"30-44",TRUE,"45+")</f>
        <v>Under 30</v>
      </c>
      <c r="Q328" s="21">
        <f>IF(Deals[[#This Row],[Status]]="Pending","",Deals[[#This Row],[DecisionDate]]-Deals[[#This Row],[ApplicationDate]])</f>
        <v>20</v>
      </c>
      <c r="R328" s="21">
        <f>IF(Deals[[#This Row],[Status]]="Approved",1,0)</f>
        <v>1</v>
      </c>
      <c r="S328" s="21">
        <f>IF(Deals[[#This Row],[IsApproved]]=1,Deals[[#This Row],[Amount]],0)</f>
        <v>50800</v>
      </c>
      <c r="T328" s="21">
        <f>Deals[[#This Row],[ApprovedAmount]]*Deals[[#This Row],[ProfitRate]]</f>
        <v>3312.16</v>
      </c>
    </row>
    <row r="329" spans="1:20">
      <c r="A329" s="2" t="s">
        <v>667</v>
      </c>
      <c r="B329" s="3">
        <v>46098</v>
      </c>
      <c r="C329" s="2" t="s">
        <v>256</v>
      </c>
      <c r="D329" s="2" t="s">
        <v>54</v>
      </c>
      <c r="E329" s="2" t="s">
        <v>15</v>
      </c>
      <c r="F329" s="2" t="s">
        <v>55</v>
      </c>
      <c r="G329" s="4">
        <v>23300</v>
      </c>
      <c r="H329" s="5">
        <v>6.7799999999999999E-2</v>
      </c>
      <c r="I329" s="2">
        <v>36</v>
      </c>
      <c r="J329" s="2" t="s">
        <v>186</v>
      </c>
      <c r="K329" s="2" t="s">
        <v>17</v>
      </c>
      <c r="L329" s="3">
        <v>46103</v>
      </c>
      <c r="M329" s="2" t="str">
        <f>_xlfn.XLOOKUP(Deals[[#This Row],[CustomerID]],Customers!A:A,Customers!F:F)</f>
        <v>Affluent</v>
      </c>
      <c r="N329" s="2" t="str">
        <f>_xlfn.XLOOKUP(Deals[[#This Row],[CustomerID]],Customers!A:A,Customers!E:E)</f>
        <v>Non-Kuwaiti</v>
      </c>
      <c r="O329" s="2">
        <f>2026-_xlfn.XLOOKUP(Deals[[#This Row],[CustomerID]],Customers!A:A,Customers!D:D)</f>
        <v>39</v>
      </c>
      <c r="P329" s="2" t="str" cm="1">
        <f t="array" ref="P329">_xlfn.IFS(Deals[[#This Row],[Age]]&lt;30,"Under 30",Deals[[#This Row],[Age]]&lt;45,"30-44",TRUE,"45+")</f>
        <v>30-44</v>
      </c>
      <c r="Q329" s="21">
        <f>IF(Deals[[#This Row],[Status]]="Pending","",Deals[[#This Row],[DecisionDate]]-Deals[[#This Row],[ApplicationDate]])</f>
        <v>5</v>
      </c>
      <c r="R329" s="21">
        <f>IF(Deals[[#This Row],[Status]]="Approved",1,0)</f>
        <v>1</v>
      </c>
      <c r="S329" s="21">
        <f>IF(Deals[[#This Row],[IsApproved]]=1,Deals[[#This Row],[Amount]],0)</f>
        <v>23300</v>
      </c>
      <c r="T329" s="21">
        <f>Deals[[#This Row],[ApprovedAmount]]*Deals[[#This Row],[ProfitRate]]</f>
        <v>1579.74</v>
      </c>
    </row>
    <row r="330" spans="1:20">
      <c r="A330" s="2" t="s">
        <v>668</v>
      </c>
      <c r="B330" s="3">
        <v>46098</v>
      </c>
      <c r="C330" s="2" t="s">
        <v>669</v>
      </c>
      <c r="D330" s="2" t="s">
        <v>20</v>
      </c>
      <c r="E330" s="2" t="s">
        <v>15</v>
      </c>
      <c r="F330" s="2" t="s">
        <v>3</v>
      </c>
      <c r="G330" s="4">
        <v>3100</v>
      </c>
      <c r="H330" s="5">
        <v>5.4100000000000002E-2</v>
      </c>
      <c r="I330" s="2">
        <v>36</v>
      </c>
      <c r="J330" s="2" t="s">
        <v>37</v>
      </c>
      <c r="K330" s="2" t="s">
        <v>17</v>
      </c>
      <c r="L330" s="3">
        <v>46100</v>
      </c>
      <c r="M330" s="2" t="str">
        <f>_xlfn.XLOOKUP(Deals[[#This Row],[CustomerID]],Customers!A:A,Customers!F:F)</f>
        <v>Affluent</v>
      </c>
      <c r="N330" s="2" t="str">
        <f>_xlfn.XLOOKUP(Deals[[#This Row],[CustomerID]],Customers!A:A,Customers!E:E)</f>
        <v>Kuwaiti</v>
      </c>
      <c r="O330" s="2">
        <f>2026-_xlfn.XLOOKUP(Deals[[#This Row],[CustomerID]],Customers!A:A,Customers!D:D)</f>
        <v>28</v>
      </c>
      <c r="P330" s="2" t="str" cm="1">
        <f t="array" ref="P330">_xlfn.IFS(Deals[[#This Row],[Age]]&lt;30,"Under 30",Deals[[#This Row],[Age]]&lt;45,"30-44",TRUE,"45+")</f>
        <v>Under 30</v>
      </c>
      <c r="Q330" s="21">
        <f>IF(Deals[[#This Row],[Status]]="Pending","",Deals[[#This Row],[DecisionDate]]-Deals[[#This Row],[ApplicationDate]])</f>
        <v>2</v>
      </c>
      <c r="R330" s="21">
        <f>IF(Deals[[#This Row],[Status]]="Approved",1,0)</f>
        <v>1</v>
      </c>
      <c r="S330" s="21">
        <f>IF(Deals[[#This Row],[IsApproved]]=1,Deals[[#This Row],[Amount]],0)</f>
        <v>3100</v>
      </c>
      <c r="T330" s="21">
        <f>Deals[[#This Row],[ApprovedAmount]]*Deals[[#This Row],[ProfitRate]]</f>
        <v>167.71</v>
      </c>
    </row>
    <row r="331" spans="1:20">
      <c r="A331" s="2" t="s">
        <v>670</v>
      </c>
      <c r="B331" s="3">
        <v>46099</v>
      </c>
      <c r="C331" s="2" t="s">
        <v>671</v>
      </c>
      <c r="D331" s="2" t="s">
        <v>14</v>
      </c>
      <c r="E331" s="2" t="s">
        <v>15</v>
      </c>
      <c r="F331" s="2" t="s">
        <v>31</v>
      </c>
      <c r="G331" s="4">
        <v>5700</v>
      </c>
      <c r="H331" s="5">
        <v>6.13E-2</v>
      </c>
      <c r="I331" s="2">
        <v>24</v>
      </c>
      <c r="J331" s="2" t="s">
        <v>16</v>
      </c>
      <c r="K331" s="2" t="s">
        <v>17</v>
      </c>
      <c r="L331" s="3">
        <v>46099</v>
      </c>
      <c r="M331" s="2" t="str">
        <f>_xlfn.XLOOKUP(Deals[[#This Row],[CustomerID]],Customers!A:A,Customers!F:F)</f>
        <v>Mass</v>
      </c>
      <c r="N331" s="2" t="str">
        <f>_xlfn.XLOOKUP(Deals[[#This Row],[CustomerID]],Customers!A:A,Customers!E:E)</f>
        <v>Kuwaiti</v>
      </c>
      <c r="O331" s="2">
        <f>2026-_xlfn.XLOOKUP(Deals[[#This Row],[CustomerID]],Customers!A:A,Customers!D:D)</f>
        <v>23</v>
      </c>
      <c r="P331" s="2" t="str" cm="1">
        <f t="array" ref="P331">_xlfn.IFS(Deals[[#This Row],[Age]]&lt;30,"Under 30",Deals[[#This Row],[Age]]&lt;45,"30-44",TRUE,"45+")</f>
        <v>Under 30</v>
      </c>
      <c r="Q331" s="21">
        <f>IF(Deals[[#This Row],[Status]]="Pending","",Deals[[#This Row],[DecisionDate]]-Deals[[#This Row],[ApplicationDate]])</f>
        <v>0</v>
      </c>
      <c r="R331" s="21">
        <f>IF(Deals[[#This Row],[Status]]="Approved",1,0)</f>
        <v>1</v>
      </c>
      <c r="S331" s="21">
        <f>IF(Deals[[#This Row],[IsApproved]]=1,Deals[[#This Row],[Amount]],0)</f>
        <v>5700</v>
      </c>
      <c r="T331" s="21">
        <f>Deals[[#This Row],[ApprovedAmount]]*Deals[[#This Row],[ProfitRate]]</f>
        <v>349.41</v>
      </c>
    </row>
    <row r="332" spans="1:20">
      <c r="A332" s="2" t="s">
        <v>672</v>
      </c>
      <c r="B332" s="3">
        <v>46099</v>
      </c>
      <c r="C332" s="2" t="s">
        <v>673</v>
      </c>
      <c r="D332" s="2" t="s">
        <v>29</v>
      </c>
      <c r="E332" s="2" t="s">
        <v>43</v>
      </c>
      <c r="F332" s="2" t="s">
        <v>55</v>
      </c>
      <c r="G332" s="4">
        <v>98900</v>
      </c>
      <c r="H332" s="5">
        <v>7.3599999999999999E-2</v>
      </c>
      <c r="I332" s="2">
        <v>36</v>
      </c>
      <c r="J332" s="2" t="s">
        <v>61</v>
      </c>
      <c r="K332" s="2" t="s">
        <v>45</v>
      </c>
      <c r="L332" s="3">
        <v>46109</v>
      </c>
      <c r="M332" s="2" t="str">
        <f>_xlfn.XLOOKUP(Deals[[#This Row],[CustomerID]],Customers!A:A,Customers!F:F)</f>
        <v>Mass</v>
      </c>
      <c r="N332" s="2" t="str">
        <f>_xlfn.XLOOKUP(Deals[[#This Row],[CustomerID]],Customers!A:A,Customers!E:E)</f>
        <v>Kuwaiti</v>
      </c>
      <c r="O332" s="2">
        <f>2026-_xlfn.XLOOKUP(Deals[[#This Row],[CustomerID]],Customers!A:A,Customers!D:D)</f>
        <v>49</v>
      </c>
      <c r="P332" s="2" t="str" cm="1">
        <f t="array" ref="P332">_xlfn.IFS(Deals[[#This Row],[Age]]&lt;30,"Under 30",Deals[[#This Row],[Age]]&lt;45,"30-44",TRUE,"45+")</f>
        <v>45+</v>
      </c>
      <c r="Q332" s="21">
        <f>IF(Deals[[#This Row],[Status]]="Pending","",Deals[[#This Row],[DecisionDate]]-Deals[[#This Row],[ApplicationDate]])</f>
        <v>10</v>
      </c>
      <c r="R332" s="21">
        <f>IF(Deals[[#This Row],[Status]]="Approved",1,0)</f>
        <v>0</v>
      </c>
      <c r="S332" s="21">
        <f>IF(Deals[[#This Row],[IsApproved]]=1,Deals[[#This Row],[Amount]],0)</f>
        <v>0</v>
      </c>
      <c r="T332" s="21">
        <f>Deals[[#This Row],[ApprovedAmount]]*Deals[[#This Row],[ProfitRate]]</f>
        <v>0</v>
      </c>
    </row>
    <row r="333" spans="1:20">
      <c r="A333" s="2" t="s">
        <v>674</v>
      </c>
      <c r="B333" s="3">
        <v>46099</v>
      </c>
      <c r="C333" s="2" t="s">
        <v>675</v>
      </c>
      <c r="D333" s="2" t="s">
        <v>14</v>
      </c>
      <c r="E333" s="2" t="s">
        <v>15</v>
      </c>
      <c r="F333" s="2" t="s">
        <v>3</v>
      </c>
      <c r="G333" s="4">
        <v>2100</v>
      </c>
      <c r="H333" s="5">
        <v>5.0700000000000002E-2</v>
      </c>
      <c r="I333" s="2">
        <v>12</v>
      </c>
      <c r="J333" s="2" t="s">
        <v>40</v>
      </c>
      <c r="K333" s="2" t="s">
        <v>45</v>
      </c>
      <c r="L333" s="3">
        <v>46106</v>
      </c>
      <c r="M333" s="2" t="str">
        <f>_xlfn.XLOOKUP(Deals[[#This Row],[CustomerID]],Customers!A:A,Customers!F:F)</f>
        <v>Mass</v>
      </c>
      <c r="N333" s="2" t="str">
        <f>_xlfn.XLOOKUP(Deals[[#This Row],[CustomerID]],Customers!A:A,Customers!E:E)</f>
        <v>Non-Kuwaiti</v>
      </c>
      <c r="O333" s="2">
        <f>2026-_xlfn.XLOOKUP(Deals[[#This Row],[CustomerID]],Customers!A:A,Customers!D:D)</f>
        <v>55</v>
      </c>
      <c r="P333" s="2" t="str" cm="1">
        <f t="array" ref="P333">_xlfn.IFS(Deals[[#This Row],[Age]]&lt;30,"Under 30",Deals[[#This Row],[Age]]&lt;45,"30-44",TRUE,"45+")</f>
        <v>45+</v>
      </c>
      <c r="Q333" s="21">
        <f>IF(Deals[[#This Row],[Status]]="Pending","",Deals[[#This Row],[DecisionDate]]-Deals[[#This Row],[ApplicationDate]])</f>
        <v>7</v>
      </c>
      <c r="R333" s="21">
        <f>IF(Deals[[#This Row],[Status]]="Approved",1,0)</f>
        <v>0</v>
      </c>
      <c r="S333" s="21">
        <f>IF(Deals[[#This Row],[IsApproved]]=1,Deals[[#This Row],[Amount]],0)</f>
        <v>0</v>
      </c>
      <c r="T333" s="21">
        <f>Deals[[#This Row],[ApprovedAmount]]*Deals[[#This Row],[ProfitRate]]</f>
        <v>0</v>
      </c>
    </row>
    <row r="334" spans="1:20">
      <c r="A334" s="2" t="s">
        <v>676</v>
      </c>
      <c r="B334" s="3">
        <v>46099</v>
      </c>
      <c r="C334" s="2" t="s">
        <v>677</v>
      </c>
      <c r="D334" s="2" t="s">
        <v>54</v>
      </c>
      <c r="E334" s="2" t="s">
        <v>15</v>
      </c>
      <c r="F334" s="2" t="s">
        <v>31</v>
      </c>
      <c r="G334" s="4">
        <v>23700</v>
      </c>
      <c r="H334" s="5">
        <v>5.5599999999999997E-2</v>
      </c>
      <c r="I334" s="2">
        <v>24</v>
      </c>
      <c r="J334" s="2" t="s">
        <v>148</v>
      </c>
      <c r="K334" s="2" t="s">
        <v>45</v>
      </c>
      <c r="L334" s="3">
        <v>46105</v>
      </c>
      <c r="M334" s="2" t="str">
        <f>_xlfn.XLOOKUP(Deals[[#This Row],[CustomerID]],Customers!A:A,Customers!F:F)</f>
        <v>Mass</v>
      </c>
      <c r="N334" s="2" t="str">
        <f>_xlfn.XLOOKUP(Deals[[#This Row],[CustomerID]],Customers!A:A,Customers!E:E)</f>
        <v>Kuwaiti</v>
      </c>
      <c r="O334" s="2">
        <f>2026-_xlfn.XLOOKUP(Deals[[#This Row],[CustomerID]],Customers!A:A,Customers!D:D)</f>
        <v>41</v>
      </c>
      <c r="P334" s="2" t="str" cm="1">
        <f t="array" ref="P334">_xlfn.IFS(Deals[[#This Row],[Age]]&lt;30,"Under 30",Deals[[#This Row],[Age]]&lt;45,"30-44",TRUE,"45+")</f>
        <v>30-44</v>
      </c>
      <c r="Q334" s="21">
        <f>IF(Deals[[#This Row],[Status]]="Pending","",Deals[[#This Row],[DecisionDate]]-Deals[[#This Row],[ApplicationDate]])</f>
        <v>6</v>
      </c>
      <c r="R334" s="21">
        <f>IF(Deals[[#This Row],[Status]]="Approved",1,0)</f>
        <v>0</v>
      </c>
      <c r="S334" s="21">
        <f>IF(Deals[[#This Row],[IsApproved]]=1,Deals[[#This Row],[Amount]],0)</f>
        <v>0</v>
      </c>
      <c r="T334" s="21">
        <f>Deals[[#This Row],[ApprovedAmount]]*Deals[[#This Row],[ProfitRate]]</f>
        <v>0</v>
      </c>
    </row>
    <row r="335" spans="1:20">
      <c r="A335" s="2" t="s">
        <v>678</v>
      </c>
      <c r="B335" s="3">
        <v>46100</v>
      </c>
      <c r="C335" s="2" t="s">
        <v>679</v>
      </c>
      <c r="D335" s="2" t="s">
        <v>25</v>
      </c>
      <c r="E335" s="2" t="s">
        <v>30</v>
      </c>
      <c r="F335" s="2" t="s">
        <v>3</v>
      </c>
      <c r="G335" s="4">
        <v>7100</v>
      </c>
      <c r="H335" s="5">
        <v>4.1399999999999999E-2</v>
      </c>
      <c r="I335" s="2">
        <v>60</v>
      </c>
      <c r="J335" s="2" t="s">
        <v>66</v>
      </c>
      <c r="K335" s="2" t="s">
        <v>17</v>
      </c>
      <c r="L335" s="3">
        <v>46103</v>
      </c>
      <c r="M335" s="2" t="str">
        <f>_xlfn.XLOOKUP(Deals[[#This Row],[CustomerID]],Customers!A:A,Customers!F:F)</f>
        <v>Mass</v>
      </c>
      <c r="N335" s="2" t="str">
        <f>_xlfn.XLOOKUP(Deals[[#This Row],[CustomerID]],Customers!A:A,Customers!E:E)</f>
        <v>Kuwaiti</v>
      </c>
      <c r="O335" s="2">
        <f>2026-_xlfn.XLOOKUP(Deals[[#This Row],[CustomerID]],Customers!A:A,Customers!D:D)</f>
        <v>53</v>
      </c>
      <c r="P335" s="2" t="str" cm="1">
        <f t="array" ref="P335">_xlfn.IFS(Deals[[#This Row],[Age]]&lt;30,"Under 30",Deals[[#This Row],[Age]]&lt;45,"30-44",TRUE,"45+")</f>
        <v>45+</v>
      </c>
      <c r="Q335" s="21">
        <f>IF(Deals[[#This Row],[Status]]="Pending","",Deals[[#This Row],[DecisionDate]]-Deals[[#This Row],[ApplicationDate]])</f>
        <v>3</v>
      </c>
      <c r="R335" s="21">
        <f>IF(Deals[[#This Row],[Status]]="Approved",1,0)</f>
        <v>1</v>
      </c>
      <c r="S335" s="21">
        <f>IF(Deals[[#This Row],[IsApproved]]=1,Deals[[#This Row],[Amount]],0)</f>
        <v>7100</v>
      </c>
      <c r="T335" s="21">
        <f>Deals[[#This Row],[ApprovedAmount]]*Deals[[#This Row],[ProfitRate]]</f>
        <v>293.94</v>
      </c>
    </row>
    <row r="336" spans="1:20">
      <c r="A336" s="2" t="s">
        <v>680</v>
      </c>
      <c r="B336" s="3">
        <v>46100</v>
      </c>
      <c r="C336" s="2" t="s">
        <v>445</v>
      </c>
      <c r="D336" s="2" t="s">
        <v>20</v>
      </c>
      <c r="E336" s="2" t="s">
        <v>15</v>
      </c>
      <c r="F336" s="2" t="s">
        <v>3</v>
      </c>
      <c r="G336" s="4">
        <v>9500</v>
      </c>
      <c r="H336" s="5">
        <v>6.4799999999999996E-2</v>
      </c>
      <c r="I336" s="2">
        <v>12</v>
      </c>
      <c r="J336" s="2" t="s">
        <v>37</v>
      </c>
      <c r="K336" s="2" t="s">
        <v>17</v>
      </c>
      <c r="L336" s="3">
        <v>46102</v>
      </c>
      <c r="M336" s="2" t="str">
        <f>_xlfn.XLOOKUP(Deals[[#This Row],[CustomerID]],Customers!A:A,Customers!F:F)</f>
        <v>Mass</v>
      </c>
      <c r="N336" s="2" t="str">
        <f>_xlfn.XLOOKUP(Deals[[#This Row],[CustomerID]],Customers!A:A,Customers!E:E)</f>
        <v>Kuwaiti</v>
      </c>
      <c r="O336" s="2">
        <f>2026-_xlfn.XLOOKUP(Deals[[#This Row],[CustomerID]],Customers!A:A,Customers!D:D)</f>
        <v>43</v>
      </c>
      <c r="P336" s="2" t="str" cm="1">
        <f t="array" ref="P336">_xlfn.IFS(Deals[[#This Row],[Age]]&lt;30,"Under 30",Deals[[#This Row],[Age]]&lt;45,"30-44",TRUE,"45+")</f>
        <v>30-44</v>
      </c>
      <c r="Q336" s="21">
        <f>IF(Deals[[#This Row],[Status]]="Pending","",Deals[[#This Row],[DecisionDate]]-Deals[[#This Row],[ApplicationDate]])</f>
        <v>2</v>
      </c>
      <c r="R336" s="21">
        <f>IF(Deals[[#This Row],[Status]]="Approved",1,0)</f>
        <v>1</v>
      </c>
      <c r="S336" s="21">
        <f>IF(Deals[[#This Row],[IsApproved]]=1,Deals[[#This Row],[Amount]],0)</f>
        <v>9500</v>
      </c>
      <c r="T336" s="21">
        <f>Deals[[#This Row],[ApprovedAmount]]*Deals[[#This Row],[ProfitRate]]</f>
        <v>615.6</v>
      </c>
    </row>
    <row r="337" spans="1:20">
      <c r="A337" s="2" t="s">
        <v>682</v>
      </c>
      <c r="B337" s="3">
        <v>46100</v>
      </c>
      <c r="C337" s="2" t="s">
        <v>666</v>
      </c>
      <c r="D337" s="2" t="s">
        <v>25</v>
      </c>
      <c r="E337" s="2" t="s">
        <v>43</v>
      </c>
      <c r="F337" s="2" t="s">
        <v>3</v>
      </c>
      <c r="G337" s="4">
        <v>98300</v>
      </c>
      <c r="H337" s="5">
        <v>6.2300000000000001E-2</v>
      </c>
      <c r="I337" s="2">
        <v>84</v>
      </c>
      <c r="J337" s="2" t="s">
        <v>181</v>
      </c>
      <c r="K337" s="2" t="s">
        <v>45</v>
      </c>
      <c r="L337" s="3">
        <v>46117</v>
      </c>
      <c r="M337" s="2" t="str">
        <f>_xlfn.XLOOKUP(Deals[[#This Row],[CustomerID]],Customers!A:A,Customers!F:F)</f>
        <v>Mass</v>
      </c>
      <c r="N337" s="2" t="str">
        <f>_xlfn.XLOOKUP(Deals[[#This Row],[CustomerID]],Customers!A:A,Customers!E:E)</f>
        <v>Kuwaiti</v>
      </c>
      <c r="O337" s="2">
        <f>2026-_xlfn.XLOOKUP(Deals[[#This Row],[CustomerID]],Customers!A:A,Customers!D:D)</f>
        <v>29</v>
      </c>
      <c r="P337" s="2" t="str" cm="1">
        <f t="array" ref="P337">_xlfn.IFS(Deals[[#This Row],[Age]]&lt;30,"Under 30",Deals[[#This Row],[Age]]&lt;45,"30-44",TRUE,"45+")</f>
        <v>Under 30</v>
      </c>
      <c r="Q337" s="21">
        <f>IF(Deals[[#This Row],[Status]]="Pending","",Deals[[#This Row],[DecisionDate]]-Deals[[#This Row],[ApplicationDate]])</f>
        <v>17</v>
      </c>
      <c r="R337" s="21">
        <f>IF(Deals[[#This Row],[Status]]="Approved",1,0)</f>
        <v>0</v>
      </c>
      <c r="S337" s="21">
        <f>IF(Deals[[#This Row],[IsApproved]]=1,Deals[[#This Row],[Amount]],0)</f>
        <v>0</v>
      </c>
      <c r="T337" s="21">
        <f>Deals[[#This Row],[ApprovedAmount]]*Deals[[#This Row],[ProfitRate]]</f>
        <v>0</v>
      </c>
    </row>
    <row r="338" spans="1:20">
      <c r="A338" s="2" t="s">
        <v>683</v>
      </c>
      <c r="B338" s="3">
        <v>46100</v>
      </c>
      <c r="C338" s="2" t="s">
        <v>669</v>
      </c>
      <c r="D338" s="2" t="s">
        <v>14</v>
      </c>
      <c r="E338" s="2" t="s">
        <v>15</v>
      </c>
      <c r="F338" s="2" t="s">
        <v>3</v>
      </c>
      <c r="G338" s="4">
        <v>21000</v>
      </c>
      <c r="H338" s="5">
        <v>6.4500000000000002E-2</v>
      </c>
      <c r="I338" s="2">
        <v>48</v>
      </c>
      <c r="J338" s="2" t="s">
        <v>40</v>
      </c>
      <c r="K338" s="2" t="s">
        <v>17</v>
      </c>
      <c r="L338" s="3">
        <v>46103</v>
      </c>
      <c r="M338" s="2" t="str">
        <f>_xlfn.XLOOKUP(Deals[[#This Row],[CustomerID]],Customers!A:A,Customers!F:F)</f>
        <v>Affluent</v>
      </c>
      <c r="N338" s="2" t="str">
        <f>_xlfn.XLOOKUP(Deals[[#This Row],[CustomerID]],Customers!A:A,Customers!E:E)</f>
        <v>Kuwaiti</v>
      </c>
      <c r="O338" s="2">
        <f>2026-_xlfn.XLOOKUP(Deals[[#This Row],[CustomerID]],Customers!A:A,Customers!D:D)</f>
        <v>28</v>
      </c>
      <c r="P338" s="2" t="str" cm="1">
        <f t="array" ref="P338">_xlfn.IFS(Deals[[#This Row],[Age]]&lt;30,"Under 30",Deals[[#This Row],[Age]]&lt;45,"30-44",TRUE,"45+")</f>
        <v>Under 30</v>
      </c>
      <c r="Q338" s="21">
        <f>IF(Deals[[#This Row],[Status]]="Pending","",Deals[[#This Row],[DecisionDate]]-Deals[[#This Row],[ApplicationDate]])</f>
        <v>3</v>
      </c>
      <c r="R338" s="21">
        <f>IF(Deals[[#This Row],[Status]]="Approved",1,0)</f>
        <v>1</v>
      </c>
      <c r="S338" s="21">
        <f>IF(Deals[[#This Row],[IsApproved]]=1,Deals[[#This Row],[Amount]],0)</f>
        <v>21000</v>
      </c>
      <c r="T338" s="21">
        <f>Deals[[#This Row],[ApprovedAmount]]*Deals[[#This Row],[ProfitRate]]</f>
        <v>1354.5</v>
      </c>
    </row>
    <row r="339" spans="1:20">
      <c r="A339" s="2" t="s">
        <v>684</v>
      </c>
      <c r="B339" s="3">
        <v>46100</v>
      </c>
      <c r="C339" s="2" t="s">
        <v>685</v>
      </c>
      <c r="D339" s="2" t="s">
        <v>25</v>
      </c>
      <c r="E339" s="2" t="s">
        <v>15</v>
      </c>
      <c r="F339" s="2" t="s">
        <v>3</v>
      </c>
      <c r="G339" s="4">
        <v>4600</v>
      </c>
      <c r="H339" s="5">
        <v>5.8999999999999997E-2</v>
      </c>
      <c r="I339" s="2">
        <v>60</v>
      </c>
      <c r="J339" s="2" t="s">
        <v>66</v>
      </c>
      <c r="K339" s="2" t="s">
        <v>17</v>
      </c>
      <c r="L339" s="3">
        <v>46103</v>
      </c>
      <c r="M339" s="2" t="str">
        <f>_xlfn.XLOOKUP(Deals[[#This Row],[CustomerID]],Customers!A:A,Customers!F:F)</f>
        <v>Mass</v>
      </c>
      <c r="N339" s="2" t="str">
        <f>_xlfn.XLOOKUP(Deals[[#This Row],[CustomerID]],Customers!A:A,Customers!E:E)</f>
        <v>Non-Kuwaiti</v>
      </c>
      <c r="O339" s="2">
        <f>2026-_xlfn.XLOOKUP(Deals[[#This Row],[CustomerID]],Customers!A:A,Customers!D:D)</f>
        <v>26</v>
      </c>
      <c r="P339" s="2" t="str" cm="1">
        <f t="array" ref="P339">_xlfn.IFS(Deals[[#This Row],[Age]]&lt;30,"Under 30",Deals[[#This Row],[Age]]&lt;45,"30-44",TRUE,"45+")</f>
        <v>Under 30</v>
      </c>
      <c r="Q339" s="21">
        <f>IF(Deals[[#This Row],[Status]]="Pending","",Deals[[#This Row],[DecisionDate]]-Deals[[#This Row],[ApplicationDate]])</f>
        <v>3</v>
      </c>
      <c r="R339" s="21">
        <f>IF(Deals[[#This Row],[Status]]="Approved",1,0)</f>
        <v>1</v>
      </c>
      <c r="S339" s="21">
        <f>IF(Deals[[#This Row],[IsApproved]]=1,Deals[[#This Row],[Amount]],0)</f>
        <v>4600</v>
      </c>
      <c r="T339" s="21">
        <f>Deals[[#This Row],[ApprovedAmount]]*Deals[[#This Row],[ProfitRate]]</f>
        <v>271.39999999999998</v>
      </c>
    </row>
    <row r="340" spans="1:20">
      <c r="A340" s="2" t="s">
        <v>686</v>
      </c>
      <c r="B340" s="3">
        <v>46100</v>
      </c>
      <c r="C340" s="2" t="s">
        <v>687</v>
      </c>
      <c r="D340" s="2" t="s">
        <v>14</v>
      </c>
      <c r="E340" s="2" t="s">
        <v>21</v>
      </c>
      <c r="F340" s="2" t="s">
        <v>31</v>
      </c>
      <c r="G340" s="4">
        <v>105200</v>
      </c>
      <c r="H340" s="5">
        <v>3.3799999999999997E-2</v>
      </c>
      <c r="I340" s="2">
        <v>240</v>
      </c>
      <c r="J340" s="2" t="s">
        <v>40</v>
      </c>
      <c r="K340" s="2" t="s">
        <v>17</v>
      </c>
      <c r="L340" s="3">
        <v>46112</v>
      </c>
      <c r="M340" s="2" t="str">
        <f>_xlfn.XLOOKUP(Deals[[#This Row],[CustomerID]],Customers!A:A,Customers!F:F)</f>
        <v>Mass</v>
      </c>
      <c r="N340" s="2" t="str">
        <f>_xlfn.XLOOKUP(Deals[[#This Row],[CustomerID]],Customers!A:A,Customers!E:E)</f>
        <v>Kuwaiti</v>
      </c>
      <c r="O340" s="2">
        <f>2026-_xlfn.XLOOKUP(Deals[[#This Row],[CustomerID]],Customers!A:A,Customers!D:D)</f>
        <v>54</v>
      </c>
      <c r="P340" s="2" t="str" cm="1">
        <f t="array" ref="P340">_xlfn.IFS(Deals[[#This Row],[Age]]&lt;30,"Under 30",Deals[[#This Row],[Age]]&lt;45,"30-44",TRUE,"45+")</f>
        <v>45+</v>
      </c>
      <c r="Q340" s="21">
        <f>IF(Deals[[#This Row],[Status]]="Pending","",Deals[[#This Row],[DecisionDate]]-Deals[[#This Row],[ApplicationDate]])</f>
        <v>12</v>
      </c>
      <c r="R340" s="21">
        <f>IF(Deals[[#This Row],[Status]]="Approved",1,0)</f>
        <v>1</v>
      </c>
      <c r="S340" s="21">
        <f>IF(Deals[[#This Row],[IsApproved]]=1,Deals[[#This Row],[Amount]],0)</f>
        <v>105200</v>
      </c>
      <c r="T340" s="21">
        <f>Deals[[#This Row],[ApprovedAmount]]*Deals[[#This Row],[ProfitRate]]</f>
        <v>3555.7599999999998</v>
      </c>
    </row>
    <row r="341" spans="1:20">
      <c r="A341" s="2" t="s">
        <v>688</v>
      </c>
      <c r="B341" s="3">
        <v>46100</v>
      </c>
      <c r="C341" s="2" t="s">
        <v>689</v>
      </c>
      <c r="D341" s="2" t="s">
        <v>14</v>
      </c>
      <c r="E341" s="2" t="s">
        <v>15</v>
      </c>
      <c r="F341" s="2" t="s">
        <v>3</v>
      </c>
      <c r="G341" s="4">
        <v>7300</v>
      </c>
      <c r="H341" s="5">
        <v>6.2899999999999998E-2</v>
      </c>
      <c r="I341" s="2">
        <v>48</v>
      </c>
      <c r="J341" s="2" t="s">
        <v>16</v>
      </c>
      <c r="K341" s="2" t="s">
        <v>17</v>
      </c>
      <c r="L341" s="3">
        <v>46102</v>
      </c>
      <c r="M341" s="2" t="str">
        <f>_xlfn.XLOOKUP(Deals[[#This Row],[CustomerID]],Customers!A:A,Customers!F:F)</f>
        <v>Affluent</v>
      </c>
      <c r="N341" s="2" t="str">
        <f>_xlfn.XLOOKUP(Deals[[#This Row],[CustomerID]],Customers!A:A,Customers!E:E)</f>
        <v>Kuwaiti</v>
      </c>
      <c r="O341" s="2">
        <f>2026-_xlfn.XLOOKUP(Deals[[#This Row],[CustomerID]],Customers!A:A,Customers!D:D)</f>
        <v>25</v>
      </c>
      <c r="P341" s="2" t="str" cm="1">
        <f t="array" ref="P341">_xlfn.IFS(Deals[[#This Row],[Age]]&lt;30,"Under 30",Deals[[#This Row],[Age]]&lt;45,"30-44",TRUE,"45+")</f>
        <v>Under 30</v>
      </c>
      <c r="Q341" s="21">
        <f>IF(Deals[[#This Row],[Status]]="Pending","",Deals[[#This Row],[DecisionDate]]-Deals[[#This Row],[ApplicationDate]])</f>
        <v>2</v>
      </c>
      <c r="R341" s="21">
        <f>IF(Deals[[#This Row],[Status]]="Approved",1,0)</f>
        <v>1</v>
      </c>
      <c r="S341" s="21">
        <f>IF(Deals[[#This Row],[IsApproved]]=1,Deals[[#This Row],[Amount]],0)</f>
        <v>7300</v>
      </c>
      <c r="T341" s="21">
        <f>Deals[[#This Row],[ApprovedAmount]]*Deals[[#This Row],[ProfitRate]]</f>
        <v>459.16999999999996</v>
      </c>
    </row>
    <row r="342" spans="1:20">
      <c r="A342" s="2" t="s">
        <v>690</v>
      </c>
      <c r="B342" s="3">
        <v>46101</v>
      </c>
      <c r="C342" s="2" t="s">
        <v>417</v>
      </c>
      <c r="D342" s="2" t="s">
        <v>29</v>
      </c>
      <c r="E342" s="2" t="s">
        <v>15</v>
      </c>
      <c r="F342" s="2" t="s">
        <v>31</v>
      </c>
      <c r="G342" s="4">
        <v>3400</v>
      </c>
      <c r="H342" s="5">
        <v>5.96E-2</v>
      </c>
      <c r="I342" s="2">
        <v>48</v>
      </c>
      <c r="J342" s="2" t="s">
        <v>32</v>
      </c>
      <c r="K342" s="2" t="s">
        <v>17</v>
      </c>
      <c r="L342" s="3">
        <v>46105</v>
      </c>
      <c r="M342" s="2" t="str">
        <f>_xlfn.XLOOKUP(Deals[[#This Row],[CustomerID]],Customers!A:A,Customers!F:F)</f>
        <v>Mass</v>
      </c>
      <c r="N342" s="2" t="str">
        <f>_xlfn.XLOOKUP(Deals[[#This Row],[CustomerID]],Customers!A:A,Customers!E:E)</f>
        <v>Kuwaiti</v>
      </c>
      <c r="O342" s="2">
        <f>2026-_xlfn.XLOOKUP(Deals[[#This Row],[CustomerID]],Customers!A:A,Customers!D:D)</f>
        <v>40</v>
      </c>
      <c r="P342" s="2" t="str" cm="1">
        <f t="array" ref="P342">_xlfn.IFS(Deals[[#This Row],[Age]]&lt;30,"Under 30",Deals[[#This Row],[Age]]&lt;45,"30-44",TRUE,"45+")</f>
        <v>30-44</v>
      </c>
      <c r="Q342" s="21">
        <f>IF(Deals[[#This Row],[Status]]="Pending","",Deals[[#This Row],[DecisionDate]]-Deals[[#This Row],[ApplicationDate]])</f>
        <v>4</v>
      </c>
      <c r="R342" s="21">
        <f>IF(Deals[[#This Row],[Status]]="Approved",1,0)</f>
        <v>1</v>
      </c>
      <c r="S342" s="21">
        <f>IF(Deals[[#This Row],[IsApproved]]=1,Deals[[#This Row],[Amount]],0)</f>
        <v>3400</v>
      </c>
      <c r="T342" s="21">
        <f>Deals[[#This Row],[ApprovedAmount]]*Deals[[#This Row],[ProfitRate]]</f>
        <v>202.64000000000001</v>
      </c>
    </row>
    <row r="343" spans="1:20">
      <c r="A343" s="2" t="s">
        <v>691</v>
      </c>
      <c r="B343" s="3">
        <v>46101</v>
      </c>
      <c r="C343" s="2" t="s">
        <v>280</v>
      </c>
      <c r="D343" s="2" t="s">
        <v>20</v>
      </c>
      <c r="E343" s="2" t="s">
        <v>15</v>
      </c>
      <c r="F343" s="2" t="s">
        <v>3</v>
      </c>
      <c r="G343" s="4">
        <v>10700</v>
      </c>
      <c r="H343" s="5">
        <v>6.13E-2</v>
      </c>
      <c r="I343" s="2">
        <v>24</v>
      </c>
      <c r="J343" s="2" t="s">
        <v>37</v>
      </c>
      <c r="K343" s="2" t="s">
        <v>17</v>
      </c>
      <c r="L343" s="3">
        <v>46105</v>
      </c>
      <c r="M343" s="2" t="str">
        <f>_xlfn.XLOOKUP(Deals[[#This Row],[CustomerID]],Customers!A:A,Customers!F:F)</f>
        <v>Mass</v>
      </c>
      <c r="N343" s="2" t="str">
        <f>_xlfn.XLOOKUP(Deals[[#This Row],[CustomerID]],Customers!A:A,Customers!E:E)</f>
        <v>Kuwaiti</v>
      </c>
      <c r="O343" s="2">
        <f>2026-_xlfn.XLOOKUP(Deals[[#This Row],[CustomerID]],Customers!A:A,Customers!D:D)</f>
        <v>31</v>
      </c>
      <c r="P343" s="2" t="str" cm="1">
        <f t="array" ref="P343">_xlfn.IFS(Deals[[#This Row],[Age]]&lt;30,"Under 30",Deals[[#This Row],[Age]]&lt;45,"30-44",TRUE,"45+")</f>
        <v>30-44</v>
      </c>
      <c r="Q343" s="21">
        <f>IF(Deals[[#This Row],[Status]]="Pending","",Deals[[#This Row],[DecisionDate]]-Deals[[#This Row],[ApplicationDate]])</f>
        <v>4</v>
      </c>
      <c r="R343" s="21">
        <f>IF(Deals[[#This Row],[Status]]="Approved",1,0)</f>
        <v>1</v>
      </c>
      <c r="S343" s="21">
        <f>IF(Deals[[#This Row],[IsApproved]]=1,Deals[[#This Row],[Amount]],0)</f>
        <v>10700</v>
      </c>
      <c r="T343" s="21">
        <f>Deals[[#This Row],[ApprovedAmount]]*Deals[[#This Row],[ProfitRate]]</f>
        <v>655.91</v>
      </c>
    </row>
    <row r="344" spans="1:20">
      <c r="A344" s="2" t="s">
        <v>692</v>
      </c>
      <c r="B344" s="3">
        <v>46102</v>
      </c>
      <c r="C344" s="2" t="s">
        <v>693</v>
      </c>
      <c r="D344" s="2" t="s">
        <v>54</v>
      </c>
      <c r="E344" s="2" t="s">
        <v>43</v>
      </c>
      <c r="F344" s="2" t="s">
        <v>31</v>
      </c>
      <c r="G344" s="4">
        <v>87900</v>
      </c>
      <c r="H344" s="5">
        <v>5.5300000000000002E-2</v>
      </c>
      <c r="I344" s="2">
        <v>24</v>
      </c>
      <c r="J344" s="2" t="s">
        <v>56</v>
      </c>
      <c r="K344" s="2" t="s">
        <v>45</v>
      </c>
      <c r="L344" s="3">
        <v>46116</v>
      </c>
      <c r="M344" s="2" t="str">
        <f>_xlfn.XLOOKUP(Deals[[#This Row],[CustomerID]],Customers!A:A,Customers!F:F)</f>
        <v>Mass</v>
      </c>
      <c r="N344" s="2" t="str">
        <f>_xlfn.XLOOKUP(Deals[[#This Row],[CustomerID]],Customers!A:A,Customers!E:E)</f>
        <v>Kuwaiti</v>
      </c>
      <c r="O344" s="2">
        <f>2026-_xlfn.XLOOKUP(Deals[[#This Row],[CustomerID]],Customers!A:A,Customers!D:D)</f>
        <v>38</v>
      </c>
      <c r="P344" s="2" t="str" cm="1">
        <f t="array" ref="P344">_xlfn.IFS(Deals[[#This Row],[Age]]&lt;30,"Under 30",Deals[[#This Row],[Age]]&lt;45,"30-44",TRUE,"45+")</f>
        <v>30-44</v>
      </c>
      <c r="Q344" s="21">
        <f>IF(Deals[[#This Row],[Status]]="Pending","",Deals[[#This Row],[DecisionDate]]-Deals[[#This Row],[ApplicationDate]])</f>
        <v>14</v>
      </c>
      <c r="R344" s="21">
        <f>IF(Deals[[#This Row],[Status]]="Approved",1,0)</f>
        <v>0</v>
      </c>
      <c r="S344" s="21">
        <f>IF(Deals[[#This Row],[IsApproved]]=1,Deals[[#This Row],[Amount]],0)</f>
        <v>0</v>
      </c>
      <c r="T344" s="21">
        <f>Deals[[#This Row],[ApprovedAmount]]*Deals[[#This Row],[ProfitRate]]</f>
        <v>0</v>
      </c>
    </row>
    <row r="345" spans="1:20">
      <c r="A345" s="2" t="s">
        <v>694</v>
      </c>
      <c r="B345" s="3">
        <v>46102</v>
      </c>
      <c r="C345" s="2" t="s">
        <v>222</v>
      </c>
      <c r="D345" s="2" t="s">
        <v>25</v>
      </c>
      <c r="E345" s="2" t="s">
        <v>15</v>
      </c>
      <c r="F345" s="2" t="s">
        <v>55</v>
      </c>
      <c r="G345" s="4">
        <v>10100</v>
      </c>
      <c r="H345" s="5">
        <v>5.8700000000000002E-2</v>
      </c>
      <c r="I345" s="2">
        <v>12</v>
      </c>
      <c r="J345" s="2" t="s">
        <v>181</v>
      </c>
      <c r="K345" s="2" t="s">
        <v>17</v>
      </c>
      <c r="L345" s="3">
        <v>46103</v>
      </c>
      <c r="M345" s="2" t="str">
        <f>_xlfn.XLOOKUP(Deals[[#This Row],[CustomerID]],Customers!A:A,Customers!F:F)</f>
        <v>Affluent</v>
      </c>
      <c r="N345" s="2" t="str">
        <f>_xlfn.XLOOKUP(Deals[[#This Row],[CustomerID]],Customers!A:A,Customers!E:E)</f>
        <v>Kuwaiti</v>
      </c>
      <c r="O345" s="2">
        <f>2026-_xlfn.XLOOKUP(Deals[[#This Row],[CustomerID]],Customers!A:A,Customers!D:D)</f>
        <v>61</v>
      </c>
      <c r="P345" s="2" t="str" cm="1">
        <f t="array" ref="P345">_xlfn.IFS(Deals[[#This Row],[Age]]&lt;30,"Under 30",Deals[[#This Row],[Age]]&lt;45,"30-44",TRUE,"45+")</f>
        <v>45+</v>
      </c>
      <c r="Q345" s="21">
        <f>IF(Deals[[#This Row],[Status]]="Pending","",Deals[[#This Row],[DecisionDate]]-Deals[[#This Row],[ApplicationDate]])</f>
        <v>1</v>
      </c>
      <c r="R345" s="21">
        <f>IF(Deals[[#This Row],[Status]]="Approved",1,0)</f>
        <v>1</v>
      </c>
      <c r="S345" s="21">
        <f>IF(Deals[[#This Row],[IsApproved]]=1,Deals[[#This Row],[Amount]],0)</f>
        <v>10100</v>
      </c>
      <c r="T345" s="21">
        <f>Deals[[#This Row],[ApprovedAmount]]*Deals[[#This Row],[ProfitRate]]</f>
        <v>592.87</v>
      </c>
    </row>
    <row r="346" spans="1:20">
      <c r="A346" s="2" t="s">
        <v>695</v>
      </c>
      <c r="B346" s="3">
        <v>46102</v>
      </c>
      <c r="C346" s="2" t="s">
        <v>696</v>
      </c>
      <c r="D346" s="2" t="s">
        <v>29</v>
      </c>
      <c r="E346" s="2" t="s">
        <v>43</v>
      </c>
      <c r="F346" s="2" t="s">
        <v>3</v>
      </c>
      <c r="G346" s="4">
        <v>148700</v>
      </c>
      <c r="H346" s="5">
        <v>7.3099999999999998E-2</v>
      </c>
      <c r="I346" s="2">
        <v>24</v>
      </c>
      <c r="J346" s="2" t="s">
        <v>32</v>
      </c>
      <c r="K346" s="2" t="s">
        <v>17</v>
      </c>
      <c r="L346" s="3">
        <v>46122</v>
      </c>
      <c r="M346" s="2" t="str">
        <f>_xlfn.XLOOKUP(Deals[[#This Row],[CustomerID]],Customers!A:A,Customers!F:F)</f>
        <v>Mass</v>
      </c>
      <c r="N346" s="2" t="str">
        <f>_xlfn.XLOOKUP(Deals[[#This Row],[CustomerID]],Customers!A:A,Customers!E:E)</f>
        <v>Non-Kuwaiti</v>
      </c>
      <c r="O346" s="2">
        <f>2026-_xlfn.XLOOKUP(Deals[[#This Row],[CustomerID]],Customers!A:A,Customers!D:D)</f>
        <v>62</v>
      </c>
      <c r="P346" s="2" t="str" cm="1">
        <f t="array" ref="P346">_xlfn.IFS(Deals[[#This Row],[Age]]&lt;30,"Under 30",Deals[[#This Row],[Age]]&lt;45,"30-44",TRUE,"45+")</f>
        <v>45+</v>
      </c>
      <c r="Q346" s="21">
        <f>IF(Deals[[#This Row],[Status]]="Pending","",Deals[[#This Row],[DecisionDate]]-Deals[[#This Row],[ApplicationDate]])</f>
        <v>20</v>
      </c>
      <c r="R346" s="21">
        <f>IF(Deals[[#This Row],[Status]]="Approved",1,0)</f>
        <v>1</v>
      </c>
      <c r="S346" s="21">
        <f>IF(Deals[[#This Row],[IsApproved]]=1,Deals[[#This Row],[Amount]],0)</f>
        <v>148700</v>
      </c>
      <c r="T346" s="21">
        <f>Deals[[#This Row],[ApprovedAmount]]*Deals[[#This Row],[ProfitRate]]</f>
        <v>10869.97</v>
      </c>
    </row>
    <row r="347" spans="1:20">
      <c r="A347" s="2" t="s">
        <v>697</v>
      </c>
      <c r="B347" s="3">
        <v>46102</v>
      </c>
      <c r="C347" s="2" t="s">
        <v>698</v>
      </c>
      <c r="D347" s="2" t="s">
        <v>71</v>
      </c>
      <c r="E347" s="2" t="s">
        <v>15</v>
      </c>
      <c r="F347" s="2" t="s">
        <v>3</v>
      </c>
      <c r="G347" s="4">
        <v>3500</v>
      </c>
      <c r="H347" s="5">
        <v>6.9099999999999995E-2</v>
      </c>
      <c r="I347" s="2">
        <v>12</v>
      </c>
      <c r="J347" s="2" t="s">
        <v>94</v>
      </c>
      <c r="K347" s="2" t="s">
        <v>17</v>
      </c>
      <c r="L347" s="3">
        <v>46109</v>
      </c>
      <c r="M347" s="2" t="str">
        <f>_xlfn.XLOOKUP(Deals[[#This Row],[CustomerID]],Customers!A:A,Customers!F:F)</f>
        <v>Affluent</v>
      </c>
      <c r="N347" s="2" t="str">
        <f>_xlfn.XLOOKUP(Deals[[#This Row],[CustomerID]],Customers!A:A,Customers!E:E)</f>
        <v>Kuwaiti</v>
      </c>
      <c r="O347" s="2">
        <f>2026-_xlfn.XLOOKUP(Deals[[#This Row],[CustomerID]],Customers!A:A,Customers!D:D)</f>
        <v>31</v>
      </c>
      <c r="P347" s="2" t="str" cm="1">
        <f t="array" ref="P347">_xlfn.IFS(Deals[[#This Row],[Age]]&lt;30,"Under 30",Deals[[#This Row],[Age]]&lt;45,"30-44",TRUE,"45+")</f>
        <v>30-44</v>
      </c>
      <c r="Q347" s="21">
        <f>IF(Deals[[#This Row],[Status]]="Pending","",Deals[[#This Row],[DecisionDate]]-Deals[[#This Row],[ApplicationDate]])</f>
        <v>7</v>
      </c>
      <c r="R347" s="21">
        <f>IF(Deals[[#This Row],[Status]]="Approved",1,0)</f>
        <v>1</v>
      </c>
      <c r="S347" s="21">
        <f>IF(Deals[[#This Row],[IsApproved]]=1,Deals[[#This Row],[Amount]],0)</f>
        <v>3500</v>
      </c>
      <c r="T347" s="21">
        <f>Deals[[#This Row],[ApprovedAmount]]*Deals[[#This Row],[ProfitRate]]</f>
        <v>241.85</v>
      </c>
    </row>
    <row r="348" spans="1:20">
      <c r="A348" s="2" t="s">
        <v>699</v>
      </c>
      <c r="B348" s="3">
        <v>46102</v>
      </c>
      <c r="C348" s="2" t="s">
        <v>183</v>
      </c>
      <c r="D348" s="2" t="s">
        <v>14</v>
      </c>
      <c r="E348" s="2" t="s">
        <v>15</v>
      </c>
      <c r="F348" s="2" t="s">
        <v>3</v>
      </c>
      <c r="G348" s="4">
        <v>16300</v>
      </c>
      <c r="H348" s="5">
        <v>6.9500000000000006E-2</v>
      </c>
      <c r="I348" s="2">
        <v>48</v>
      </c>
      <c r="J348" s="2" t="s">
        <v>48</v>
      </c>
      <c r="K348" s="2" t="s">
        <v>17</v>
      </c>
      <c r="L348" s="3">
        <v>46107</v>
      </c>
      <c r="M348" s="2" t="str">
        <f>_xlfn.XLOOKUP(Deals[[#This Row],[CustomerID]],Customers!A:A,Customers!F:F)</f>
        <v>Mass</v>
      </c>
      <c r="N348" s="2" t="str">
        <f>_xlfn.XLOOKUP(Deals[[#This Row],[CustomerID]],Customers!A:A,Customers!E:E)</f>
        <v>Non-Kuwaiti</v>
      </c>
      <c r="O348" s="2">
        <f>2026-_xlfn.XLOOKUP(Deals[[#This Row],[CustomerID]],Customers!A:A,Customers!D:D)</f>
        <v>54</v>
      </c>
      <c r="P348" s="2" t="str" cm="1">
        <f t="array" ref="P348">_xlfn.IFS(Deals[[#This Row],[Age]]&lt;30,"Under 30",Deals[[#This Row],[Age]]&lt;45,"30-44",TRUE,"45+")</f>
        <v>45+</v>
      </c>
      <c r="Q348" s="21">
        <f>IF(Deals[[#This Row],[Status]]="Pending","",Deals[[#This Row],[DecisionDate]]-Deals[[#This Row],[ApplicationDate]])</f>
        <v>5</v>
      </c>
      <c r="R348" s="21">
        <f>IF(Deals[[#This Row],[Status]]="Approved",1,0)</f>
        <v>1</v>
      </c>
      <c r="S348" s="21">
        <f>IF(Deals[[#This Row],[IsApproved]]=1,Deals[[#This Row],[Amount]],0)</f>
        <v>16300</v>
      </c>
      <c r="T348" s="21">
        <f>Deals[[#This Row],[ApprovedAmount]]*Deals[[#This Row],[ProfitRate]]</f>
        <v>1132.8500000000001</v>
      </c>
    </row>
    <row r="349" spans="1:20">
      <c r="A349" s="2" t="s">
        <v>700</v>
      </c>
      <c r="B349" s="3">
        <v>46102</v>
      </c>
      <c r="C349" s="2" t="s">
        <v>701</v>
      </c>
      <c r="D349" s="2" t="s">
        <v>20</v>
      </c>
      <c r="E349" s="2" t="s">
        <v>15</v>
      </c>
      <c r="F349" s="2" t="s">
        <v>3</v>
      </c>
      <c r="G349" s="4">
        <v>24000</v>
      </c>
      <c r="H349" s="5">
        <v>5.6300000000000003E-2</v>
      </c>
      <c r="I349" s="2">
        <v>48</v>
      </c>
      <c r="J349" s="2" t="s">
        <v>22</v>
      </c>
      <c r="K349" s="2" t="s">
        <v>45</v>
      </c>
      <c r="L349" s="3">
        <v>46105</v>
      </c>
      <c r="M349" s="2" t="str">
        <f>_xlfn.XLOOKUP(Deals[[#This Row],[CustomerID]],Customers!A:A,Customers!F:F)</f>
        <v>Mass</v>
      </c>
      <c r="N349" s="2" t="str">
        <f>_xlfn.XLOOKUP(Deals[[#This Row],[CustomerID]],Customers!A:A,Customers!E:E)</f>
        <v>Kuwaiti</v>
      </c>
      <c r="O349" s="2">
        <f>2026-_xlfn.XLOOKUP(Deals[[#This Row],[CustomerID]],Customers!A:A,Customers!D:D)</f>
        <v>30</v>
      </c>
      <c r="P349" s="2" t="str" cm="1">
        <f t="array" ref="P349">_xlfn.IFS(Deals[[#This Row],[Age]]&lt;30,"Under 30",Deals[[#This Row],[Age]]&lt;45,"30-44",TRUE,"45+")</f>
        <v>30-44</v>
      </c>
      <c r="Q349" s="21">
        <f>IF(Deals[[#This Row],[Status]]="Pending","",Deals[[#This Row],[DecisionDate]]-Deals[[#This Row],[ApplicationDate]])</f>
        <v>3</v>
      </c>
      <c r="R349" s="21">
        <f>IF(Deals[[#This Row],[Status]]="Approved",1,0)</f>
        <v>0</v>
      </c>
      <c r="S349" s="21">
        <f>IF(Deals[[#This Row],[IsApproved]]=1,Deals[[#This Row],[Amount]],0)</f>
        <v>0</v>
      </c>
      <c r="T349" s="21">
        <f>Deals[[#This Row],[ApprovedAmount]]*Deals[[#This Row],[ProfitRate]]</f>
        <v>0</v>
      </c>
    </row>
    <row r="350" spans="1:20">
      <c r="A350" s="2" t="s">
        <v>702</v>
      </c>
      <c r="B350" s="3">
        <v>46102</v>
      </c>
      <c r="C350" s="2" t="s">
        <v>443</v>
      </c>
      <c r="D350" s="2" t="s">
        <v>14</v>
      </c>
      <c r="E350" s="2" t="s">
        <v>15</v>
      </c>
      <c r="F350" s="2" t="s">
        <v>31</v>
      </c>
      <c r="G350" s="4">
        <v>17700</v>
      </c>
      <c r="H350" s="5">
        <v>5.9700000000000003E-2</v>
      </c>
      <c r="I350" s="2">
        <v>36</v>
      </c>
      <c r="J350" s="2" t="s">
        <v>40</v>
      </c>
      <c r="K350" s="2" t="s">
        <v>17</v>
      </c>
      <c r="L350" s="3">
        <v>46102</v>
      </c>
      <c r="M350" s="2" t="str">
        <f>_xlfn.XLOOKUP(Deals[[#This Row],[CustomerID]],Customers!A:A,Customers!F:F)</f>
        <v>Affluent</v>
      </c>
      <c r="N350" s="2" t="str">
        <f>_xlfn.XLOOKUP(Deals[[#This Row],[CustomerID]],Customers!A:A,Customers!E:E)</f>
        <v>Kuwaiti</v>
      </c>
      <c r="O350" s="2">
        <f>2026-_xlfn.XLOOKUP(Deals[[#This Row],[CustomerID]],Customers!A:A,Customers!D:D)</f>
        <v>52</v>
      </c>
      <c r="P350" s="2" t="str" cm="1">
        <f t="array" ref="P350">_xlfn.IFS(Deals[[#This Row],[Age]]&lt;30,"Under 30",Deals[[#This Row],[Age]]&lt;45,"30-44",TRUE,"45+")</f>
        <v>45+</v>
      </c>
      <c r="Q350" s="21">
        <f>IF(Deals[[#This Row],[Status]]="Pending","",Deals[[#This Row],[DecisionDate]]-Deals[[#This Row],[ApplicationDate]])</f>
        <v>0</v>
      </c>
      <c r="R350" s="21">
        <f>IF(Deals[[#This Row],[Status]]="Approved",1,0)</f>
        <v>1</v>
      </c>
      <c r="S350" s="21">
        <f>IF(Deals[[#This Row],[IsApproved]]=1,Deals[[#This Row],[Amount]],0)</f>
        <v>17700</v>
      </c>
      <c r="T350" s="21">
        <f>Deals[[#This Row],[ApprovedAmount]]*Deals[[#This Row],[ProfitRate]]</f>
        <v>1056.69</v>
      </c>
    </row>
    <row r="351" spans="1:20">
      <c r="A351" s="2" t="s">
        <v>703</v>
      </c>
      <c r="B351" s="3">
        <v>46102</v>
      </c>
      <c r="C351" s="2" t="s">
        <v>704</v>
      </c>
      <c r="D351" s="2" t="s">
        <v>25</v>
      </c>
      <c r="E351" s="2" t="s">
        <v>15</v>
      </c>
      <c r="F351" s="2" t="s">
        <v>31</v>
      </c>
      <c r="G351" s="4">
        <v>19300</v>
      </c>
      <c r="H351" s="5">
        <v>6.88E-2</v>
      </c>
      <c r="I351" s="2">
        <v>12</v>
      </c>
      <c r="J351" s="2" t="s">
        <v>26</v>
      </c>
      <c r="K351" s="2" t="s">
        <v>17</v>
      </c>
      <c r="L351" s="3">
        <v>46105</v>
      </c>
      <c r="M351" s="2" t="str">
        <f>_xlfn.XLOOKUP(Deals[[#This Row],[CustomerID]],Customers!A:A,Customers!F:F)</f>
        <v>Affluent</v>
      </c>
      <c r="N351" s="2" t="str">
        <f>_xlfn.XLOOKUP(Deals[[#This Row],[CustomerID]],Customers!A:A,Customers!E:E)</f>
        <v>Kuwaiti</v>
      </c>
      <c r="O351" s="2">
        <f>2026-_xlfn.XLOOKUP(Deals[[#This Row],[CustomerID]],Customers!A:A,Customers!D:D)</f>
        <v>36</v>
      </c>
      <c r="P351" s="2" t="str" cm="1">
        <f t="array" ref="P351">_xlfn.IFS(Deals[[#This Row],[Age]]&lt;30,"Under 30",Deals[[#This Row],[Age]]&lt;45,"30-44",TRUE,"45+")</f>
        <v>30-44</v>
      </c>
      <c r="Q351" s="21">
        <f>IF(Deals[[#This Row],[Status]]="Pending","",Deals[[#This Row],[DecisionDate]]-Deals[[#This Row],[ApplicationDate]])</f>
        <v>3</v>
      </c>
      <c r="R351" s="21">
        <f>IF(Deals[[#This Row],[Status]]="Approved",1,0)</f>
        <v>1</v>
      </c>
      <c r="S351" s="21">
        <f>IF(Deals[[#This Row],[IsApproved]]=1,Deals[[#This Row],[Amount]],0)</f>
        <v>19300</v>
      </c>
      <c r="T351" s="21">
        <f>Deals[[#This Row],[ApprovedAmount]]*Deals[[#This Row],[ProfitRate]]</f>
        <v>1327.84</v>
      </c>
    </row>
    <row r="352" spans="1:20">
      <c r="A352" s="2" t="s">
        <v>705</v>
      </c>
      <c r="B352" s="3">
        <v>46102</v>
      </c>
      <c r="C352" s="2" t="s">
        <v>706</v>
      </c>
      <c r="D352" s="2" t="s">
        <v>54</v>
      </c>
      <c r="E352" s="2" t="s">
        <v>15</v>
      </c>
      <c r="F352" s="2" t="s">
        <v>3</v>
      </c>
      <c r="G352" s="4">
        <v>25000</v>
      </c>
      <c r="H352" s="5">
        <v>5.8200000000000002E-2</v>
      </c>
      <c r="I352" s="2">
        <v>60</v>
      </c>
      <c r="J352" s="2" t="s">
        <v>56</v>
      </c>
      <c r="K352" s="2" t="s">
        <v>17</v>
      </c>
      <c r="L352" s="3">
        <v>46106</v>
      </c>
      <c r="M352" s="2" t="str">
        <f>_xlfn.XLOOKUP(Deals[[#This Row],[CustomerID]],Customers!A:A,Customers!F:F)</f>
        <v>Premium</v>
      </c>
      <c r="N352" s="2" t="str">
        <f>_xlfn.XLOOKUP(Deals[[#This Row],[CustomerID]],Customers!A:A,Customers!E:E)</f>
        <v>Non-Kuwaiti</v>
      </c>
      <c r="O352" s="2">
        <f>2026-_xlfn.XLOOKUP(Deals[[#This Row],[CustomerID]],Customers!A:A,Customers!D:D)</f>
        <v>58</v>
      </c>
      <c r="P352" s="2" t="str" cm="1">
        <f t="array" ref="P352">_xlfn.IFS(Deals[[#This Row],[Age]]&lt;30,"Under 30",Deals[[#This Row],[Age]]&lt;45,"30-44",TRUE,"45+")</f>
        <v>45+</v>
      </c>
      <c r="Q352" s="21">
        <f>IF(Deals[[#This Row],[Status]]="Pending","",Deals[[#This Row],[DecisionDate]]-Deals[[#This Row],[ApplicationDate]])</f>
        <v>4</v>
      </c>
      <c r="R352" s="21">
        <f>IF(Deals[[#This Row],[Status]]="Approved",1,0)</f>
        <v>1</v>
      </c>
      <c r="S352" s="21">
        <f>IF(Deals[[#This Row],[IsApproved]]=1,Deals[[#This Row],[Amount]],0)</f>
        <v>25000</v>
      </c>
      <c r="T352" s="21">
        <f>Deals[[#This Row],[ApprovedAmount]]*Deals[[#This Row],[ProfitRate]]</f>
        <v>1455</v>
      </c>
    </row>
    <row r="353" spans="1:20">
      <c r="A353" s="2" t="s">
        <v>707</v>
      </c>
      <c r="B353" s="3">
        <v>46102</v>
      </c>
      <c r="C353" s="2" t="s">
        <v>354</v>
      </c>
      <c r="D353" s="2" t="s">
        <v>25</v>
      </c>
      <c r="E353" s="2" t="s">
        <v>43</v>
      </c>
      <c r="F353" s="2" t="s">
        <v>55</v>
      </c>
      <c r="G353" s="4">
        <v>135100</v>
      </c>
      <c r="H353" s="5">
        <v>5.8500000000000003E-2</v>
      </c>
      <c r="I353" s="2">
        <v>24</v>
      </c>
      <c r="J353" s="2" t="s">
        <v>26</v>
      </c>
      <c r="K353" s="2" t="s">
        <v>17</v>
      </c>
      <c r="L353" s="3">
        <v>46123</v>
      </c>
      <c r="M353" s="2" t="str">
        <f>_xlfn.XLOOKUP(Deals[[#This Row],[CustomerID]],Customers!A:A,Customers!F:F)</f>
        <v>Mass</v>
      </c>
      <c r="N353" s="2" t="str">
        <f>_xlfn.XLOOKUP(Deals[[#This Row],[CustomerID]],Customers!A:A,Customers!E:E)</f>
        <v>Kuwaiti</v>
      </c>
      <c r="O353" s="2">
        <f>2026-_xlfn.XLOOKUP(Deals[[#This Row],[CustomerID]],Customers!A:A,Customers!D:D)</f>
        <v>39</v>
      </c>
      <c r="P353" s="2" t="str" cm="1">
        <f t="array" ref="P353">_xlfn.IFS(Deals[[#This Row],[Age]]&lt;30,"Under 30",Deals[[#This Row],[Age]]&lt;45,"30-44",TRUE,"45+")</f>
        <v>30-44</v>
      </c>
      <c r="Q353" s="21">
        <f>IF(Deals[[#This Row],[Status]]="Pending","",Deals[[#This Row],[DecisionDate]]-Deals[[#This Row],[ApplicationDate]])</f>
        <v>21</v>
      </c>
      <c r="R353" s="21">
        <f>IF(Deals[[#This Row],[Status]]="Approved",1,0)</f>
        <v>1</v>
      </c>
      <c r="S353" s="21">
        <f>IF(Deals[[#This Row],[IsApproved]]=1,Deals[[#This Row],[Amount]],0)</f>
        <v>135100</v>
      </c>
      <c r="T353" s="21">
        <f>Deals[[#This Row],[ApprovedAmount]]*Deals[[#This Row],[ProfitRate]]</f>
        <v>7903.35</v>
      </c>
    </row>
    <row r="354" spans="1:20">
      <c r="A354" s="2" t="s">
        <v>708</v>
      </c>
      <c r="B354" s="3">
        <v>46102</v>
      </c>
      <c r="C354" s="2" t="s">
        <v>709</v>
      </c>
      <c r="D354" s="2" t="s">
        <v>20</v>
      </c>
      <c r="E354" s="2" t="s">
        <v>15</v>
      </c>
      <c r="F354" s="2" t="s">
        <v>3</v>
      </c>
      <c r="G354" s="4">
        <v>22600</v>
      </c>
      <c r="H354" s="5">
        <v>6.0499999999999998E-2</v>
      </c>
      <c r="I354" s="2">
        <v>48</v>
      </c>
      <c r="J354" s="2" t="s">
        <v>44</v>
      </c>
      <c r="K354" s="2" t="s">
        <v>17</v>
      </c>
      <c r="L354" s="3">
        <v>46109</v>
      </c>
      <c r="M354" s="2" t="str">
        <f>_xlfn.XLOOKUP(Deals[[#This Row],[CustomerID]],Customers!A:A,Customers!F:F)</f>
        <v>Mass</v>
      </c>
      <c r="N354" s="2" t="str">
        <f>_xlfn.XLOOKUP(Deals[[#This Row],[CustomerID]],Customers!A:A,Customers!E:E)</f>
        <v>Non-Kuwaiti</v>
      </c>
      <c r="O354" s="2">
        <f>2026-_xlfn.XLOOKUP(Deals[[#This Row],[CustomerID]],Customers!A:A,Customers!D:D)</f>
        <v>49</v>
      </c>
      <c r="P354" s="2" t="str" cm="1">
        <f t="array" ref="P354">_xlfn.IFS(Deals[[#This Row],[Age]]&lt;30,"Under 30",Deals[[#This Row],[Age]]&lt;45,"30-44",TRUE,"45+")</f>
        <v>45+</v>
      </c>
      <c r="Q354" s="21">
        <f>IF(Deals[[#This Row],[Status]]="Pending","",Deals[[#This Row],[DecisionDate]]-Deals[[#This Row],[ApplicationDate]])</f>
        <v>7</v>
      </c>
      <c r="R354" s="21">
        <f>IF(Deals[[#This Row],[Status]]="Approved",1,0)</f>
        <v>1</v>
      </c>
      <c r="S354" s="21">
        <f>IF(Deals[[#This Row],[IsApproved]]=1,Deals[[#This Row],[Amount]],0)</f>
        <v>22600</v>
      </c>
      <c r="T354" s="21">
        <f>Deals[[#This Row],[ApprovedAmount]]*Deals[[#This Row],[ProfitRate]]</f>
        <v>1367.3</v>
      </c>
    </row>
    <row r="355" spans="1:20">
      <c r="A355" s="2" t="s">
        <v>710</v>
      </c>
      <c r="B355" s="3">
        <v>46102</v>
      </c>
      <c r="C355" s="2" t="s">
        <v>447</v>
      </c>
      <c r="D355" s="2" t="s">
        <v>25</v>
      </c>
      <c r="E355" s="2" t="s">
        <v>15</v>
      </c>
      <c r="F355" s="2" t="s">
        <v>3</v>
      </c>
      <c r="G355" s="4">
        <v>20700</v>
      </c>
      <c r="H355" s="5">
        <v>5.8299999999999998E-2</v>
      </c>
      <c r="I355" s="2">
        <v>48</v>
      </c>
      <c r="J355" s="2" t="s">
        <v>26</v>
      </c>
      <c r="K355" s="2" t="s">
        <v>17</v>
      </c>
      <c r="L355" s="3">
        <v>46108</v>
      </c>
      <c r="M355" s="2" t="str">
        <f>_xlfn.XLOOKUP(Deals[[#This Row],[CustomerID]],Customers!A:A,Customers!F:F)</f>
        <v>Affluent</v>
      </c>
      <c r="N355" s="2" t="str">
        <f>_xlfn.XLOOKUP(Deals[[#This Row],[CustomerID]],Customers!A:A,Customers!E:E)</f>
        <v>Kuwaiti</v>
      </c>
      <c r="O355" s="2">
        <f>2026-_xlfn.XLOOKUP(Deals[[#This Row],[CustomerID]],Customers!A:A,Customers!D:D)</f>
        <v>35</v>
      </c>
      <c r="P355" s="2" t="str" cm="1">
        <f t="array" ref="P355">_xlfn.IFS(Deals[[#This Row],[Age]]&lt;30,"Under 30",Deals[[#This Row],[Age]]&lt;45,"30-44",TRUE,"45+")</f>
        <v>30-44</v>
      </c>
      <c r="Q355" s="21">
        <f>IF(Deals[[#This Row],[Status]]="Pending","",Deals[[#This Row],[DecisionDate]]-Deals[[#This Row],[ApplicationDate]])</f>
        <v>6</v>
      </c>
      <c r="R355" s="21">
        <f>IF(Deals[[#This Row],[Status]]="Approved",1,0)</f>
        <v>1</v>
      </c>
      <c r="S355" s="21">
        <f>IF(Deals[[#This Row],[IsApproved]]=1,Deals[[#This Row],[Amount]],0)</f>
        <v>20700</v>
      </c>
      <c r="T355" s="21">
        <f>Deals[[#This Row],[ApprovedAmount]]*Deals[[#This Row],[ProfitRate]]</f>
        <v>1206.81</v>
      </c>
    </row>
    <row r="356" spans="1:20">
      <c r="A356" s="2" t="s">
        <v>711</v>
      </c>
      <c r="B356" s="3">
        <v>46103</v>
      </c>
      <c r="C356" s="2" t="s">
        <v>82</v>
      </c>
      <c r="D356" s="2" t="s">
        <v>25</v>
      </c>
      <c r="E356" s="2" t="s">
        <v>15</v>
      </c>
      <c r="F356" s="2" t="s">
        <v>31</v>
      </c>
      <c r="G356" s="4">
        <v>12200</v>
      </c>
      <c r="H356" s="5">
        <v>6.0999999999999999E-2</v>
      </c>
      <c r="I356" s="2">
        <v>60</v>
      </c>
      <c r="J356" s="2" t="s">
        <v>66</v>
      </c>
      <c r="K356" s="2" t="s">
        <v>45</v>
      </c>
      <c r="L356" s="3">
        <v>46104</v>
      </c>
      <c r="M356" s="2" t="str">
        <f>_xlfn.XLOOKUP(Deals[[#This Row],[CustomerID]],Customers!A:A,Customers!F:F)</f>
        <v>Mass</v>
      </c>
      <c r="N356" s="2" t="str">
        <f>_xlfn.XLOOKUP(Deals[[#This Row],[CustomerID]],Customers!A:A,Customers!E:E)</f>
        <v>Kuwaiti</v>
      </c>
      <c r="O356" s="2">
        <f>2026-_xlfn.XLOOKUP(Deals[[#This Row],[CustomerID]],Customers!A:A,Customers!D:D)</f>
        <v>38</v>
      </c>
      <c r="P356" s="2" t="str" cm="1">
        <f t="array" ref="P356">_xlfn.IFS(Deals[[#This Row],[Age]]&lt;30,"Under 30",Deals[[#This Row],[Age]]&lt;45,"30-44",TRUE,"45+")</f>
        <v>30-44</v>
      </c>
      <c r="Q356" s="21">
        <f>IF(Deals[[#This Row],[Status]]="Pending","",Deals[[#This Row],[DecisionDate]]-Deals[[#This Row],[ApplicationDate]])</f>
        <v>1</v>
      </c>
      <c r="R356" s="21">
        <f>IF(Deals[[#This Row],[Status]]="Approved",1,0)</f>
        <v>0</v>
      </c>
      <c r="S356" s="21">
        <f>IF(Deals[[#This Row],[IsApproved]]=1,Deals[[#This Row],[Amount]],0)</f>
        <v>0</v>
      </c>
      <c r="T356" s="21">
        <f>Deals[[#This Row],[ApprovedAmount]]*Deals[[#This Row],[ProfitRate]]</f>
        <v>0</v>
      </c>
    </row>
    <row r="357" spans="1:20">
      <c r="A357" s="2" t="s">
        <v>712</v>
      </c>
      <c r="B357" s="3">
        <v>46103</v>
      </c>
      <c r="C357" s="2" t="s">
        <v>713</v>
      </c>
      <c r="D357" s="2" t="s">
        <v>14</v>
      </c>
      <c r="E357" s="2" t="s">
        <v>15</v>
      </c>
      <c r="F357" s="2" t="s">
        <v>3</v>
      </c>
      <c r="G357" s="4">
        <v>18600</v>
      </c>
      <c r="H357" s="5">
        <v>5.67E-2</v>
      </c>
      <c r="I357" s="2">
        <v>36</v>
      </c>
      <c r="J357" s="2" t="s">
        <v>48</v>
      </c>
      <c r="K357" s="2" t="s">
        <v>17</v>
      </c>
      <c r="L357" s="3">
        <v>46104</v>
      </c>
      <c r="M357" s="2" t="str">
        <f>_xlfn.XLOOKUP(Deals[[#This Row],[CustomerID]],Customers!A:A,Customers!F:F)</f>
        <v>Mass</v>
      </c>
      <c r="N357" s="2" t="str">
        <f>_xlfn.XLOOKUP(Deals[[#This Row],[CustomerID]],Customers!A:A,Customers!E:E)</f>
        <v>Kuwaiti</v>
      </c>
      <c r="O357" s="2">
        <f>2026-_xlfn.XLOOKUP(Deals[[#This Row],[CustomerID]],Customers!A:A,Customers!D:D)</f>
        <v>27</v>
      </c>
      <c r="P357" s="2" t="str" cm="1">
        <f t="array" ref="P357">_xlfn.IFS(Deals[[#This Row],[Age]]&lt;30,"Under 30",Deals[[#This Row],[Age]]&lt;45,"30-44",TRUE,"45+")</f>
        <v>Under 30</v>
      </c>
      <c r="Q357" s="21">
        <f>IF(Deals[[#This Row],[Status]]="Pending","",Deals[[#This Row],[DecisionDate]]-Deals[[#This Row],[ApplicationDate]])</f>
        <v>1</v>
      </c>
      <c r="R357" s="21">
        <f>IF(Deals[[#This Row],[Status]]="Approved",1,0)</f>
        <v>1</v>
      </c>
      <c r="S357" s="21">
        <f>IF(Deals[[#This Row],[IsApproved]]=1,Deals[[#This Row],[Amount]],0)</f>
        <v>18600</v>
      </c>
      <c r="T357" s="21">
        <f>Deals[[#This Row],[ApprovedAmount]]*Deals[[#This Row],[ProfitRate]]</f>
        <v>1054.6200000000001</v>
      </c>
    </row>
    <row r="358" spans="1:20">
      <c r="A358" s="2" t="s">
        <v>714</v>
      </c>
      <c r="B358" s="3">
        <v>46103</v>
      </c>
      <c r="C358" s="2" t="s">
        <v>715</v>
      </c>
      <c r="D358" s="2" t="s">
        <v>14</v>
      </c>
      <c r="E358" s="2" t="s">
        <v>30</v>
      </c>
      <c r="F358" s="2" t="s">
        <v>3</v>
      </c>
      <c r="G358" s="4">
        <v>19100</v>
      </c>
      <c r="H358" s="5">
        <v>3.6799999999999999E-2</v>
      </c>
      <c r="I358" s="2">
        <v>48</v>
      </c>
      <c r="J358" s="2" t="s">
        <v>48</v>
      </c>
      <c r="K358" s="2" t="s">
        <v>17</v>
      </c>
      <c r="L358" s="3">
        <v>46108</v>
      </c>
      <c r="M358" s="2" t="str">
        <f>_xlfn.XLOOKUP(Deals[[#This Row],[CustomerID]],Customers!A:A,Customers!F:F)</f>
        <v>Premium</v>
      </c>
      <c r="N358" s="2" t="str">
        <f>_xlfn.XLOOKUP(Deals[[#This Row],[CustomerID]],Customers!A:A,Customers!E:E)</f>
        <v>Non-Kuwaiti</v>
      </c>
      <c r="O358" s="2">
        <f>2026-_xlfn.XLOOKUP(Deals[[#This Row],[CustomerID]],Customers!A:A,Customers!D:D)</f>
        <v>33</v>
      </c>
      <c r="P358" s="2" t="str" cm="1">
        <f t="array" ref="P358">_xlfn.IFS(Deals[[#This Row],[Age]]&lt;30,"Under 30",Deals[[#This Row],[Age]]&lt;45,"30-44",TRUE,"45+")</f>
        <v>30-44</v>
      </c>
      <c r="Q358" s="21">
        <f>IF(Deals[[#This Row],[Status]]="Pending","",Deals[[#This Row],[DecisionDate]]-Deals[[#This Row],[ApplicationDate]])</f>
        <v>5</v>
      </c>
      <c r="R358" s="21">
        <f>IF(Deals[[#This Row],[Status]]="Approved",1,0)</f>
        <v>1</v>
      </c>
      <c r="S358" s="21">
        <f>IF(Deals[[#This Row],[IsApproved]]=1,Deals[[#This Row],[Amount]],0)</f>
        <v>19100</v>
      </c>
      <c r="T358" s="21">
        <f>Deals[[#This Row],[ApprovedAmount]]*Deals[[#This Row],[ProfitRate]]</f>
        <v>702.88</v>
      </c>
    </row>
    <row r="359" spans="1:20">
      <c r="A359" s="2" t="s">
        <v>716</v>
      </c>
      <c r="B359" s="3">
        <v>46103</v>
      </c>
      <c r="C359" s="2" t="s">
        <v>717</v>
      </c>
      <c r="D359" s="2" t="s">
        <v>20</v>
      </c>
      <c r="E359" s="2" t="s">
        <v>21</v>
      </c>
      <c r="F359" s="2" t="s">
        <v>3</v>
      </c>
      <c r="G359" s="4">
        <v>67800</v>
      </c>
      <c r="H359" s="5">
        <v>4.2099999999999999E-2</v>
      </c>
      <c r="I359" s="2">
        <v>240</v>
      </c>
      <c r="J359" s="2" t="s">
        <v>22</v>
      </c>
      <c r="K359" s="2" t="s">
        <v>17</v>
      </c>
      <c r="L359" s="3">
        <v>46122</v>
      </c>
      <c r="M359" s="2" t="str">
        <f>_xlfn.XLOOKUP(Deals[[#This Row],[CustomerID]],Customers!A:A,Customers!F:F)</f>
        <v>Mass</v>
      </c>
      <c r="N359" s="2" t="str">
        <f>_xlfn.XLOOKUP(Deals[[#This Row],[CustomerID]],Customers!A:A,Customers!E:E)</f>
        <v>Kuwaiti</v>
      </c>
      <c r="O359" s="2">
        <f>2026-_xlfn.XLOOKUP(Deals[[#This Row],[CustomerID]],Customers!A:A,Customers!D:D)</f>
        <v>67</v>
      </c>
      <c r="P359" s="2" t="str" cm="1">
        <f t="array" ref="P359">_xlfn.IFS(Deals[[#This Row],[Age]]&lt;30,"Under 30",Deals[[#This Row],[Age]]&lt;45,"30-44",TRUE,"45+")</f>
        <v>45+</v>
      </c>
      <c r="Q359" s="21">
        <f>IF(Deals[[#This Row],[Status]]="Pending","",Deals[[#This Row],[DecisionDate]]-Deals[[#This Row],[ApplicationDate]])</f>
        <v>19</v>
      </c>
      <c r="R359" s="21">
        <f>IF(Deals[[#This Row],[Status]]="Approved",1,0)</f>
        <v>1</v>
      </c>
      <c r="S359" s="21">
        <f>IF(Deals[[#This Row],[IsApproved]]=1,Deals[[#This Row],[Amount]],0)</f>
        <v>67800</v>
      </c>
      <c r="T359" s="21">
        <f>Deals[[#This Row],[ApprovedAmount]]*Deals[[#This Row],[ProfitRate]]</f>
        <v>2854.38</v>
      </c>
    </row>
    <row r="360" spans="1:20">
      <c r="A360" s="2" t="s">
        <v>718</v>
      </c>
      <c r="B360" s="3">
        <v>46103</v>
      </c>
      <c r="C360" s="2" t="s">
        <v>180</v>
      </c>
      <c r="D360" s="2" t="s">
        <v>14</v>
      </c>
      <c r="E360" s="2" t="s">
        <v>21</v>
      </c>
      <c r="F360" s="2" t="s">
        <v>3</v>
      </c>
      <c r="G360" s="4">
        <v>201200</v>
      </c>
      <c r="H360" s="5">
        <v>3.3700000000000001E-2</v>
      </c>
      <c r="I360" s="2">
        <v>300</v>
      </c>
      <c r="J360" s="2" t="s">
        <v>16</v>
      </c>
      <c r="K360" s="2" t="s">
        <v>45</v>
      </c>
      <c r="L360" s="3">
        <v>46128</v>
      </c>
      <c r="M360" s="2" t="str">
        <f>_xlfn.XLOOKUP(Deals[[#This Row],[CustomerID]],Customers!A:A,Customers!F:F)</f>
        <v>Mass</v>
      </c>
      <c r="N360" s="2" t="str">
        <f>_xlfn.XLOOKUP(Deals[[#This Row],[CustomerID]],Customers!A:A,Customers!E:E)</f>
        <v>Kuwaiti</v>
      </c>
      <c r="O360" s="2">
        <f>2026-_xlfn.XLOOKUP(Deals[[#This Row],[CustomerID]],Customers!A:A,Customers!D:D)</f>
        <v>42</v>
      </c>
      <c r="P360" s="2" t="str" cm="1">
        <f t="array" ref="P360">_xlfn.IFS(Deals[[#This Row],[Age]]&lt;30,"Under 30",Deals[[#This Row],[Age]]&lt;45,"30-44",TRUE,"45+")</f>
        <v>30-44</v>
      </c>
      <c r="Q360" s="21">
        <f>IF(Deals[[#This Row],[Status]]="Pending","",Deals[[#This Row],[DecisionDate]]-Deals[[#This Row],[ApplicationDate]])</f>
        <v>25</v>
      </c>
      <c r="R360" s="21">
        <f>IF(Deals[[#This Row],[Status]]="Approved",1,0)</f>
        <v>0</v>
      </c>
      <c r="S360" s="21">
        <f>IF(Deals[[#This Row],[IsApproved]]=1,Deals[[#This Row],[Amount]],0)</f>
        <v>0</v>
      </c>
      <c r="T360" s="21">
        <f>Deals[[#This Row],[ApprovedAmount]]*Deals[[#This Row],[ProfitRate]]</f>
        <v>0</v>
      </c>
    </row>
    <row r="361" spans="1:20">
      <c r="A361" s="2" t="s">
        <v>719</v>
      </c>
      <c r="B361" s="3">
        <v>46103</v>
      </c>
      <c r="C361" s="2" t="s">
        <v>720</v>
      </c>
      <c r="D361" s="2" t="s">
        <v>14</v>
      </c>
      <c r="E361" s="2" t="s">
        <v>30</v>
      </c>
      <c r="F361" s="2" t="s">
        <v>3</v>
      </c>
      <c r="G361" s="4">
        <v>6600</v>
      </c>
      <c r="H361" s="5">
        <v>4.19E-2</v>
      </c>
      <c r="I361" s="2">
        <v>60</v>
      </c>
      <c r="J361" s="2" t="s">
        <v>48</v>
      </c>
      <c r="K361" s="2" t="s">
        <v>17</v>
      </c>
      <c r="L361" s="3">
        <v>46106</v>
      </c>
      <c r="M361" s="2" t="str">
        <f>_xlfn.XLOOKUP(Deals[[#This Row],[CustomerID]],Customers!A:A,Customers!F:F)</f>
        <v>Affluent</v>
      </c>
      <c r="N361" s="2" t="str">
        <f>_xlfn.XLOOKUP(Deals[[#This Row],[CustomerID]],Customers!A:A,Customers!E:E)</f>
        <v>Kuwaiti</v>
      </c>
      <c r="O361" s="2">
        <f>2026-_xlfn.XLOOKUP(Deals[[#This Row],[CustomerID]],Customers!A:A,Customers!D:D)</f>
        <v>36</v>
      </c>
      <c r="P361" s="2" t="str" cm="1">
        <f t="array" ref="P361">_xlfn.IFS(Deals[[#This Row],[Age]]&lt;30,"Under 30",Deals[[#This Row],[Age]]&lt;45,"30-44",TRUE,"45+")</f>
        <v>30-44</v>
      </c>
      <c r="Q361" s="21">
        <f>IF(Deals[[#This Row],[Status]]="Pending","",Deals[[#This Row],[DecisionDate]]-Deals[[#This Row],[ApplicationDate]])</f>
        <v>3</v>
      </c>
      <c r="R361" s="21">
        <f>IF(Deals[[#This Row],[Status]]="Approved",1,0)</f>
        <v>1</v>
      </c>
      <c r="S361" s="21">
        <f>IF(Deals[[#This Row],[IsApproved]]=1,Deals[[#This Row],[Amount]],0)</f>
        <v>6600</v>
      </c>
      <c r="T361" s="21">
        <f>Deals[[#This Row],[ApprovedAmount]]*Deals[[#This Row],[ProfitRate]]</f>
        <v>276.54000000000002</v>
      </c>
    </row>
    <row r="362" spans="1:20">
      <c r="A362" s="2" t="s">
        <v>721</v>
      </c>
      <c r="B362" s="3">
        <v>46104</v>
      </c>
      <c r="C362" s="2" t="s">
        <v>722</v>
      </c>
      <c r="D362" s="2" t="s">
        <v>29</v>
      </c>
      <c r="E362" s="2" t="s">
        <v>15</v>
      </c>
      <c r="F362" s="2" t="s">
        <v>3</v>
      </c>
      <c r="G362" s="4">
        <v>5500</v>
      </c>
      <c r="H362" s="5">
        <v>5.9900000000000002E-2</v>
      </c>
      <c r="I362" s="2">
        <v>60</v>
      </c>
      <c r="J362" s="2" t="s">
        <v>32</v>
      </c>
      <c r="K362" s="2" t="s">
        <v>45</v>
      </c>
      <c r="L362" s="3">
        <v>46111</v>
      </c>
      <c r="M362" s="2" t="str">
        <f>_xlfn.XLOOKUP(Deals[[#This Row],[CustomerID]],Customers!A:A,Customers!F:F)</f>
        <v>Premium</v>
      </c>
      <c r="N362" s="2" t="str">
        <f>_xlfn.XLOOKUP(Deals[[#This Row],[CustomerID]],Customers!A:A,Customers!E:E)</f>
        <v>Kuwaiti</v>
      </c>
      <c r="O362" s="2">
        <f>2026-_xlfn.XLOOKUP(Deals[[#This Row],[CustomerID]],Customers!A:A,Customers!D:D)</f>
        <v>35</v>
      </c>
      <c r="P362" s="2" t="str" cm="1">
        <f t="array" ref="P362">_xlfn.IFS(Deals[[#This Row],[Age]]&lt;30,"Under 30",Deals[[#This Row],[Age]]&lt;45,"30-44",TRUE,"45+")</f>
        <v>30-44</v>
      </c>
      <c r="Q362" s="21">
        <f>IF(Deals[[#This Row],[Status]]="Pending","",Deals[[#This Row],[DecisionDate]]-Deals[[#This Row],[ApplicationDate]])</f>
        <v>7</v>
      </c>
      <c r="R362" s="21">
        <f>IF(Deals[[#This Row],[Status]]="Approved",1,0)</f>
        <v>0</v>
      </c>
      <c r="S362" s="21">
        <f>IF(Deals[[#This Row],[IsApproved]]=1,Deals[[#This Row],[Amount]],0)</f>
        <v>0</v>
      </c>
      <c r="T362" s="21">
        <f>Deals[[#This Row],[ApprovedAmount]]*Deals[[#This Row],[ProfitRate]]</f>
        <v>0</v>
      </c>
    </row>
    <row r="363" spans="1:20">
      <c r="A363" s="2" t="s">
        <v>723</v>
      </c>
      <c r="B363" s="3">
        <v>46104</v>
      </c>
      <c r="C363" s="2" t="s">
        <v>724</v>
      </c>
      <c r="D363" s="2" t="s">
        <v>29</v>
      </c>
      <c r="E363" s="2" t="s">
        <v>15</v>
      </c>
      <c r="F363" s="2" t="s">
        <v>55</v>
      </c>
      <c r="G363" s="4">
        <v>19500</v>
      </c>
      <c r="H363" s="5">
        <v>6.0900000000000003E-2</v>
      </c>
      <c r="I363" s="2">
        <v>60</v>
      </c>
      <c r="J363" s="2" t="s">
        <v>61</v>
      </c>
      <c r="K363" s="2" t="s">
        <v>17</v>
      </c>
      <c r="L363" s="3">
        <v>46105</v>
      </c>
      <c r="M363" s="2" t="str">
        <f>_xlfn.XLOOKUP(Deals[[#This Row],[CustomerID]],Customers!A:A,Customers!F:F)</f>
        <v>Mass</v>
      </c>
      <c r="N363" s="2" t="str">
        <f>_xlfn.XLOOKUP(Deals[[#This Row],[CustomerID]],Customers!A:A,Customers!E:E)</f>
        <v>Non-Kuwaiti</v>
      </c>
      <c r="O363" s="2">
        <f>2026-_xlfn.XLOOKUP(Deals[[#This Row],[CustomerID]],Customers!A:A,Customers!D:D)</f>
        <v>51</v>
      </c>
      <c r="P363" s="2" t="str" cm="1">
        <f t="array" ref="P363">_xlfn.IFS(Deals[[#This Row],[Age]]&lt;30,"Under 30",Deals[[#This Row],[Age]]&lt;45,"30-44",TRUE,"45+")</f>
        <v>45+</v>
      </c>
      <c r="Q363" s="21">
        <f>IF(Deals[[#This Row],[Status]]="Pending","",Deals[[#This Row],[DecisionDate]]-Deals[[#This Row],[ApplicationDate]])</f>
        <v>1</v>
      </c>
      <c r="R363" s="21">
        <f>IF(Deals[[#This Row],[Status]]="Approved",1,0)</f>
        <v>1</v>
      </c>
      <c r="S363" s="21">
        <f>IF(Deals[[#This Row],[IsApproved]]=1,Deals[[#This Row],[Amount]],0)</f>
        <v>19500</v>
      </c>
      <c r="T363" s="21">
        <f>Deals[[#This Row],[ApprovedAmount]]*Deals[[#This Row],[ProfitRate]]</f>
        <v>1187.55</v>
      </c>
    </row>
    <row r="364" spans="1:20">
      <c r="A364" s="2" t="s">
        <v>725</v>
      </c>
      <c r="B364" s="3">
        <v>46104</v>
      </c>
      <c r="C364" s="2" t="s">
        <v>726</v>
      </c>
      <c r="D364" s="2" t="s">
        <v>14</v>
      </c>
      <c r="E364" s="2" t="s">
        <v>15</v>
      </c>
      <c r="F364" s="2" t="s">
        <v>3</v>
      </c>
      <c r="G364" s="4">
        <v>3300</v>
      </c>
      <c r="H364" s="5">
        <v>5.5500000000000001E-2</v>
      </c>
      <c r="I364" s="2">
        <v>36</v>
      </c>
      <c r="J364" s="2" t="s">
        <v>40</v>
      </c>
      <c r="K364" s="2" t="s">
        <v>17</v>
      </c>
      <c r="L364" s="3">
        <v>46106</v>
      </c>
      <c r="M364" s="2" t="str">
        <f>_xlfn.XLOOKUP(Deals[[#This Row],[CustomerID]],Customers!A:A,Customers!F:F)</f>
        <v>Premium</v>
      </c>
      <c r="N364" s="2" t="str">
        <f>_xlfn.XLOOKUP(Deals[[#This Row],[CustomerID]],Customers!A:A,Customers!E:E)</f>
        <v>Kuwaiti</v>
      </c>
      <c r="O364" s="2">
        <f>2026-_xlfn.XLOOKUP(Deals[[#This Row],[CustomerID]],Customers!A:A,Customers!D:D)</f>
        <v>23</v>
      </c>
      <c r="P364" s="2" t="str" cm="1">
        <f t="array" ref="P364">_xlfn.IFS(Deals[[#This Row],[Age]]&lt;30,"Under 30",Deals[[#This Row],[Age]]&lt;45,"30-44",TRUE,"45+")</f>
        <v>Under 30</v>
      </c>
      <c r="Q364" s="21">
        <f>IF(Deals[[#This Row],[Status]]="Pending","",Deals[[#This Row],[DecisionDate]]-Deals[[#This Row],[ApplicationDate]])</f>
        <v>2</v>
      </c>
      <c r="R364" s="21">
        <f>IF(Deals[[#This Row],[Status]]="Approved",1,0)</f>
        <v>1</v>
      </c>
      <c r="S364" s="21">
        <f>IF(Deals[[#This Row],[IsApproved]]=1,Deals[[#This Row],[Amount]],0)</f>
        <v>3300</v>
      </c>
      <c r="T364" s="21">
        <f>Deals[[#This Row],[ApprovedAmount]]*Deals[[#This Row],[ProfitRate]]</f>
        <v>183.15</v>
      </c>
    </row>
    <row r="365" spans="1:20">
      <c r="A365" s="2" t="s">
        <v>728</v>
      </c>
      <c r="B365" s="3">
        <v>46104</v>
      </c>
      <c r="C365" s="2" t="s">
        <v>729</v>
      </c>
      <c r="D365" s="2" t="s">
        <v>14</v>
      </c>
      <c r="E365" s="2" t="s">
        <v>43</v>
      </c>
      <c r="F365" s="2" t="s">
        <v>3</v>
      </c>
      <c r="G365" s="4">
        <v>80100</v>
      </c>
      <c r="H365" s="5">
        <v>7.4300000000000005E-2</v>
      </c>
      <c r="I365" s="2">
        <v>84</v>
      </c>
      <c r="J365" s="2" t="s">
        <v>48</v>
      </c>
      <c r="K365" s="2" t="s">
        <v>45</v>
      </c>
      <c r="L365" s="3">
        <v>46117</v>
      </c>
      <c r="M365" s="2" t="str">
        <f>_xlfn.XLOOKUP(Deals[[#This Row],[CustomerID]],Customers!A:A,Customers!F:F)</f>
        <v>Affluent</v>
      </c>
      <c r="N365" s="2" t="str">
        <f>_xlfn.XLOOKUP(Deals[[#This Row],[CustomerID]],Customers!A:A,Customers!E:E)</f>
        <v>Kuwaiti</v>
      </c>
      <c r="O365" s="2">
        <f>2026-_xlfn.XLOOKUP(Deals[[#This Row],[CustomerID]],Customers!A:A,Customers!D:D)</f>
        <v>22</v>
      </c>
      <c r="P365" s="2" t="str" cm="1">
        <f t="array" ref="P365">_xlfn.IFS(Deals[[#This Row],[Age]]&lt;30,"Under 30",Deals[[#This Row],[Age]]&lt;45,"30-44",TRUE,"45+")</f>
        <v>Under 30</v>
      </c>
      <c r="Q365" s="21">
        <f>IF(Deals[[#This Row],[Status]]="Pending","",Deals[[#This Row],[DecisionDate]]-Deals[[#This Row],[ApplicationDate]])</f>
        <v>13</v>
      </c>
      <c r="R365" s="21">
        <f>IF(Deals[[#This Row],[Status]]="Approved",1,0)</f>
        <v>0</v>
      </c>
      <c r="S365" s="21">
        <f>IF(Deals[[#This Row],[IsApproved]]=1,Deals[[#This Row],[Amount]],0)</f>
        <v>0</v>
      </c>
      <c r="T365" s="21">
        <f>Deals[[#This Row],[ApprovedAmount]]*Deals[[#This Row],[ProfitRate]]</f>
        <v>0</v>
      </c>
    </row>
    <row r="366" spans="1:20">
      <c r="A366" s="2" t="s">
        <v>730</v>
      </c>
      <c r="B366" s="3">
        <v>46104</v>
      </c>
      <c r="C366" s="2" t="s">
        <v>696</v>
      </c>
      <c r="D366" s="2" t="s">
        <v>20</v>
      </c>
      <c r="E366" s="2" t="s">
        <v>15</v>
      </c>
      <c r="F366" s="2" t="s">
        <v>3</v>
      </c>
      <c r="G366" s="4">
        <v>16800</v>
      </c>
      <c r="H366" s="5">
        <v>5.04E-2</v>
      </c>
      <c r="I366" s="2">
        <v>12</v>
      </c>
      <c r="J366" s="2" t="s">
        <v>44</v>
      </c>
      <c r="K366" s="2" t="s">
        <v>17</v>
      </c>
      <c r="L366" s="3">
        <v>46109</v>
      </c>
      <c r="M366" s="2" t="str">
        <f>_xlfn.XLOOKUP(Deals[[#This Row],[CustomerID]],Customers!A:A,Customers!F:F)</f>
        <v>Mass</v>
      </c>
      <c r="N366" s="2" t="str">
        <f>_xlfn.XLOOKUP(Deals[[#This Row],[CustomerID]],Customers!A:A,Customers!E:E)</f>
        <v>Non-Kuwaiti</v>
      </c>
      <c r="O366" s="2">
        <f>2026-_xlfn.XLOOKUP(Deals[[#This Row],[CustomerID]],Customers!A:A,Customers!D:D)</f>
        <v>62</v>
      </c>
      <c r="P366" s="2" t="str" cm="1">
        <f t="array" ref="P366">_xlfn.IFS(Deals[[#This Row],[Age]]&lt;30,"Under 30",Deals[[#This Row],[Age]]&lt;45,"30-44",TRUE,"45+")</f>
        <v>45+</v>
      </c>
      <c r="Q366" s="21">
        <f>IF(Deals[[#This Row],[Status]]="Pending","",Deals[[#This Row],[DecisionDate]]-Deals[[#This Row],[ApplicationDate]])</f>
        <v>5</v>
      </c>
      <c r="R366" s="21">
        <f>IF(Deals[[#This Row],[Status]]="Approved",1,0)</f>
        <v>1</v>
      </c>
      <c r="S366" s="21">
        <f>IF(Deals[[#This Row],[IsApproved]]=1,Deals[[#This Row],[Amount]],0)</f>
        <v>16800</v>
      </c>
      <c r="T366" s="21">
        <f>Deals[[#This Row],[ApprovedAmount]]*Deals[[#This Row],[ProfitRate]]</f>
        <v>846.72</v>
      </c>
    </row>
    <row r="367" spans="1:20">
      <c r="A367" s="2" t="s">
        <v>731</v>
      </c>
      <c r="B367" s="3">
        <v>46104</v>
      </c>
      <c r="C367" s="2" t="s">
        <v>732</v>
      </c>
      <c r="D367" s="2" t="s">
        <v>54</v>
      </c>
      <c r="E367" s="2" t="s">
        <v>21</v>
      </c>
      <c r="F367" s="2" t="s">
        <v>55</v>
      </c>
      <c r="G367" s="4">
        <v>151600</v>
      </c>
      <c r="H367" s="5">
        <v>3.5799999999999998E-2</v>
      </c>
      <c r="I367" s="2">
        <v>240</v>
      </c>
      <c r="J367" s="2" t="s">
        <v>186</v>
      </c>
      <c r="K367" s="2" t="s">
        <v>17</v>
      </c>
      <c r="L367" s="3">
        <v>46130</v>
      </c>
      <c r="M367" s="2" t="str">
        <f>_xlfn.XLOOKUP(Deals[[#This Row],[CustomerID]],Customers!A:A,Customers!F:F)</f>
        <v>Mass</v>
      </c>
      <c r="N367" s="2" t="str">
        <f>_xlfn.XLOOKUP(Deals[[#This Row],[CustomerID]],Customers!A:A,Customers!E:E)</f>
        <v>Kuwaiti</v>
      </c>
      <c r="O367" s="2">
        <f>2026-_xlfn.XLOOKUP(Deals[[#This Row],[CustomerID]],Customers!A:A,Customers!D:D)</f>
        <v>41</v>
      </c>
      <c r="P367" s="2" t="str" cm="1">
        <f t="array" ref="P367">_xlfn.IFS(Deals[[#This Row],[Age]]&lt;30,"Under 30",Deals[[#This Row],[Age]]&lt;45,"30-44",TRUE,"45+")</f>
        <v>30-44</v>
      </c>
      <c r="Q367" s="21">
        <f>IF(Deals[[#This Row],[Status]]="Pending","",Deals[[#This Row],[DecisionDate]]-Deals[[#This Row],[ApplicationDate]])</f>
        <v>26</v>
      </c>
      <c r="R367" s="21">
        <f>IF(Deals[[#This Row],[Status]]="Approved",1,0)</f>
        <v>1</v>
      </c>
      <c r="S367" s="21">
        <f>IF(Deals[[#This Row],[IsApproved]]=1,Deals[[#This Row],[Amount]],0)</f>
        <v>151600</v>
      </c>
      <c r="T367" s="21">
        <f>Deals[[#This Row],[ApprovedAmount]]*Deals[[#This Row],[ProfitRate]]</f>
        <v>5427.28</v>
      </c>
    </row>
    <row r="368" spans="1:20">
      <c r="A368" s="2" t="s">
        <v>733</v>
      </c>
      <c r="B368" s="3">
        <v>46105</v>
      </c>
      <c r="C368" s="2" t="s">
        <v>734</v>
      </c>
      <c r="D368" s="2" t="s">
        <v>25</v>
      </c>
      <c r="E368" s="2" t="s">
        <v>30</v>
      </c>
      <c r="F368" s="2" t="s">
        <v>55</v>
      </c>
      <c r="G368" s="4">
        <v>5300</v>
      </c>
      <c r="H368" s="5">
        <v>3.61E-2</v>
      </c>
      <c r="I368" s="2">
        <v>48</v>
      </c>
      <c r="J368" s="2" t="s">
        <v>181</v>
      </c>
      <c r="K368" s="2" t="s">
        <v>17</v>
      </c>
      <c r="L368" s="3">
        <v>46106</v>
      </c>
      <c r="M368" s="2" t="str">
        <f>_xlfn.XLOOKUP(Deals[[#This Row],[CustomerID]],Customers!A:A,Customers!F:F)</f>
        <v>Mass</v>
      </c>
      <c r="N368" s="2" t="str">
        <f>_xlfn.XLOOKUP(Deals[[#This Row],[CustomerID]],Customers!A:A,Customers!E:E)</f>
        <v>Non-Kuwaiti</v>
      </c>
      <c r="O368" s="2">
        <f>2026-_xlfn.XLOOKUP(Deals[[#This Row],[CustomerID]],Customers!A:A,Customers!D:D)</f>
        <v>34</v>
      </c>
      <c r="P368" s="2" t="str" cm="1">
        <f t="array" ref="P368">_xlfn.IFS(Deals[[#This Row],[Age]]&lt;30,"Under 30",Deals[[#This Row],[Age]]&lt;45,"30-44",TRUE,"45+")</f>
        <v>30-44</v>
      </c>
      <c r="Q368" s="21">
        <f>IF(Deals[[#This Row],[Status]]="Pending","",Deals[[#This Row],[DecisionDate]]-Deals[[#This Row],[ApplicationDate]])</f>
        <v>1</v>
      </c>
      <c r="R368" s="21">
        <f>IF(Deals[[#This Row],[Status]]="Approved",1,0)</f>
        <v>1</v>
      </c>
      <c r="S368" s="21">
        <f>IF(Deals[[#This Row],[IsApproved]]=1,Deals[[#This Row],[Amount]],0)</f>
        <v>5300</v>
      </c>
      <c r="T368" s="21">
        <f>Deals[[#This Row],[ApprovedAmount]]*Deals[[#This Row],[ProfitRate]]</f>
        <v>191.33</v>
      </c>
    </row>
    <row r="369" spans="1:20">
      <c r="A369" s="2" t="s">
        <v>735</v>
      </c>
      <c r="B369" s="3">
        <v>46105</v>
      </c>
      <c r="C369" s="2" t="s">
        <v>736</v>
      </c>
      <c r="D369" s="2" t="s">
        <v>29</v>
      </c>
      <c r="E369" s="2" t="s">
        <v>15</v>
      </c>
      <c r="F369" s="2" t="s">
        <v>55</v>
      </c>
      <c r="G369" s="4">
        <v>6500</v>
      </c>
      <c r="H369" s="5">
        <v>6.2600000000000003E-2</v>
      </c>
      <c r="I369" s="2">
        <v>60</v>
      </c>
      <c r="J369" s="2" t="s">
        <v>61</v>
      </c>
      <c r="K369" s="2" t="s">
        <v>45</v>
      </c>
      <c r="L369" s="3">
        <v>46109</v>
      </c>
      <c r="M369" s="2" t="str">
        <f>_xlfn.XLOOKUP(Deals[[#This Row],[CustomerID]],Customers!A:A,Customers!F:F)</f>
        <v>Affluent</v>
      </c>
      <c r="N369" s="2" t="str">
        <f>_xlfn.XLOOKUP(Deals[[#This Row],[CustomerID]],Customers!A:A,Customers!E:E)</f>
        <v>Kuwaiti</v>
      </c>
      <c r="O369" s="2">
        <f>2026-_xlfn.XLOOKUP(Deals[[#This Row],[CustomerID]],Customers!A:A,Customers!D:D)</f>
        <v>38</v>
      </c>
      <c r="P369" s="2" t="str" cm="1">
        <f t="array" ref="P369">_xlfn.IFS(Deals[[#This Row],[Age]]&lt;30,"Under 30",Deals[[#This Row],[Age]]&lt;45,"30-44",TRUE,"45+")</f>
        <v>30-44</v>
      </c>
      <c r="Q369" s="21">
        <f>IF(Deals[[#This Row],[Status]]="Pending","",Deals[[#This Row],[DecisionDate]]-Deals[[#This Row],[ApplicationDate]])</f>
        <v>4</v>
      </c>
      <c r="R369" s="21">
        <f>IF(Deals[[#This Row],[Status]]="Approved",1,0)</f>
        <v>0</v>
      </c>
      <c r="S369" s="21">
        <f>IF(Deals[[#This Row],[IsApproved]]=1,Deals[[#This Row],[Amount]],0)</f>
        <v>0</v>
      </c>
      <c r="T369" s="21">
        <f>Deals[[#This Row],[ApprovedAmount]]*Deals[[#This Row],[ProfitRate]]</f>
        <v>0</v>
      </c>
    </row>
    <row r="370" spans="1:20">
      <c r="A370" s="2" t="s">
        <v>737</v>
      </c>
      <c r="B370" s="3">
        <v>46105</v>
      </c>
      <c r="C370" s="2" t="s">
        <v>738</v>
      </c>
      <c r="D370" s="2" t="s">
        <v>29</v>
      </c>
      <c r="E370" s="2" t="s">
        <v>30</v>
      </c>
      <c r="F370" s="2" t="s">
        <v>31</v>
      </c>
      <c r="G370" s="4">
        <v>6500</v>
      </c>
      <c r="H370" s="5">
        <v>4.6800000000000001E-2</v>
      </c>
      <c r="I370" s="2">
        <v>36</v>
      </c>
      <c r="J370" s="2" t="s">
        <v>61</v>
      </c>
      <c r="K370" s="2" t="s">
        <v>45</v>
      </c>
      <c r="L370" s="3">
        <v>46106</v>
      </c>
      <c r="M370" s="2" t="str">
        <f>_xlfn.XLOOKUP(Deals[[#This Row],[CustomerID]],Customers!A:A,Customers!F:F)</f>
        <v>Mass</v>
      </c>
      <c r="N370" s="2" t="str">
        <f>_xlfn.XLOOKUP(Deals[[#This Row],[CustomerID]],Customers!A:A,Customers!E:E)</f>
        <v>Kuwaiti</v>
      </c>
      <c r="O370" s="2">
        <f>2026-_xlfn.XLOOKUP(Deals[[#This Row],[CustomerID]],Customers!A:A,Customers!D:D)</f>
        <v>23</v>
      </c>
      <c r="P370" s="2" t="str" cm="1">
        <f t="array" ref="P370">_xlfn.IFS(Deals[[#This Row],[Age]]&lt;30,"Under 30",Deals[[#This Row],[Age]]&lt;45,"30-44",TRUE,"45+")</f>
        <v>Under 30</v>
      </c>
      <c r="Q370" s="21">
        <f>IF(Deals[[#This Row],[Status]]="Pending","",Deals[[#This Row],[DecisionDate]]-Deals[[#This Row],[ApplicationDate]])</f>
        <v>1</v>
      </c>
      <c r="R370" s="21">
        <f>IF(Deals[[#This Row],[Status]]="Approved",1,0)</f>
        <v>0</v>
      </c>
      <c r="S370" s="21">
        <f>IF(Deals[[#This Row],[IsApproved]]=1,Deals[[#This Row],[Amount]],0)</f>
        <v>0</v>
      </c>
      <c r="T370" s="21">
        <f>Deals[[#This Row],[ApprovedAmount]]*Deals[[#This Row],[ProfitRate]]</f>
        <v>0</v>
      </c>
    </row>
    <row r="371" spans="1:20">
      <c r="A371" s="2" t="s">
        <v>739</v>
      </c>
      <c r="B371" s="3">
        <v>46105</v>
      </c>
      <c r="C371" s="2" t="s">
        <v>740</v>
      </c>
      <c r="D371" s="2" t="s">
        <v>20</v>
      </c>
      <c r="E371" s="2" t="s">
        <v>21</v>
      </c>
      <c r="F371" s="2" t="s">
        <v>3</v>
      </c>
      <c r="G371" s="4">
        <v>150400</v>
      </c>
      <c r="H371" s="5">
        <v>3.5400000000000001E-2</v>
      </c>
      <c r="I371" s="2">
        <v>240</v>
      </c>
      <c r="J371" s="2" t="s">
        <v>22</v>
      </c>
      <c r="K371" s="2" t="s">
        <v>45</v>
      </c>
      <c r="L371" s="3">
        <v>46127</v>
      </c>
      <c r="M371" s="2" t="str">
        <f>_xlfn.XLOOKUP(Deals[[#This Row],[CustomerID]],Customers!A:A,Customers!F:F)</f>
        <v>Affluent</v>
      </c>
      <c r="N371" s="2" t="str">
        <f>_xlfn.XLOOKUP(Deals[[#This Row],[CustomerID]],Customers!A:A,Customers!E:E)</f>
        <v>Non-Kuwaiti</v>
      </c>
      <c r="O371" s="2">
        <f>2026-_xlfn.XLOOKUP(Deals[[#This Row],[CustomerID]],Customers!A:A,Customers!D:D)</f>
        <v>56</v>
      </c>
      <c r="P371" s="2" t="str" cm="1">
        <f t="array" ref="P371">_xlfn.IFS(Deals[[#This Row],[Age]]&lt;30,"Under 30",Deals[[#This Row],[Age]]&lt;45,"30-44",TRUE,"45+")</f>
        <v>45+</v>
      </c>
      <c r="Q371" s="21">
        <f>IF(Deals[[#This Row],[Status]]="Pending","",Deals[[#This Row],[DecisionDate]]-Deals[[#This Row],[ApplicationDate]])</f>
        <v>22</v>
      </c>
      <c r="R371" s="21">
        <f>IF(Deals[[#This Row],[Status]]="Approved",1,0)</f>
        <v>0</v>
      </c>
      <c r="S371" s="21">
        <f>IF(Deals[[#This Row],[IsApproved]]=1,Deals[[#This Row],[Amount]],0)</f>
        <v>0</v>
      </c>
      <c r="T371" s="21">
        <f>Deals[[#This Row],[ApprovedAmount]]*Deals[[#This Row],[ProfitRate]]</f>
        <v>0</v>
      </c>
    </row>
    <row r="372" spans="1:20">
      <c r="A372" s="2" t="s">
        <v>741</v>
      </c>
      <c r="B372" s="3">
        <v>46105</v>
      </c>
      <c r="C372" s="2" t="s">
        <v>742</v>
      </c>
      <c r="D372" s="2" t="s">
        <v>14</v>
      </c>
      <c r="E372" s="2" t="s">
        <v>15</v>
      </c>
      <c r="F372" s="2" t="s">
        <v>3</v>
      </c>
      <c r="G372" s="4">
        <v>24400</v>
      </c>
      <c r="H372" s="5">
        <v>5.6300000000000003E-2</v>
      </c>
      <c r="I372" s="2">
        <v>60</v>
      </c>
      <c r="J372" s="2" t="s">
        <v>40</v>
      </c>
      <c r="K372" s="2" t="s">
        <v>17</v>
      </c>
      <c r="L372" s="3">
        <v>46106</v>
      </c>
      <c r="M372" s="2" t="str">
        <f>_xlfn.XLOOKUP(Deals[[#This Row],[CustomerID]],Customers!A:A,Customers!F:F)</f>
        <v>Mass</v>
      </c>
      <c r="N372" s="2" t="str">
        <f>_xlfn.XLOOKUP(Deals[[#This Row],[CustomerID]],Customers!A:A,Customers!E:E)</f>
        <v>Kuwaiti</v>
      </c>
      <c r="O372" s="2">
        <f>2026-_xlfn.XLOOKUP(Deals[[#This Row],[CustomerID]],Customers!A:A,Customers!D:D)</f>
        <v>57</v>
      </c>
      <c r="P372" s="2" t="str" cm="1">
        <f t="array" ref="P372">_xlfn.IFS(Deals[[#This Row],[Age]]&lt;30,"Under 30",Deals[[#This Row],[Age]]&lt;45,"30-44",TRUE,"45+")</f>
        <v>45+</v>
      </c>
      <c r="Q372" s="21">
        <f>IF(Deals[[#This Row],[Status]]="Pending","",Deals[[#This Row],[DecisionDate]]-Deals[[#This Row],[ApplicationDate]])</f>
        <v>1</v>
      </c>
      <c r="R372" s="21">
        <f>IF(Deals[[#This Row],[Status]]="Approved",1,0)</f>
        <v>1</v>
      </c>
      <c r="S372" s="21">
        <f>IF(Deals[[#This Row],[IsApproved]]=1,Deals[[#This Row],[Amount]],0)</f>
        <v>24400</v>
      </c>
      <c r="T372" s="21">
        <f>Deals[[#This Row],[ApprovedAmount]]*Deals[[#This Row],[ProfitRate]]</f>
        <v>1373.72</v>
      </c>
    </row>
    <row r="373" spans="1:20">
      <c r="A373" s="2" t="s">
        <v>743</v>
      </c>
      <c r="B373" s="3">
        <v>46105</v>
      </c>
      <c r="C373" s="2" t="s">
        <v>744</v>
      </c>
      <c r="D373" s="2" t="s">
        <v>20</v>
      </c>
      <c r="E373" s="2" t="s">
        <v>43</v>
      </c>
      <c r="F373" s="2" t="s">
        <v>31</v>
      </c>
      <c r="G373" s="4">
        <v>68800</v>
      </c>
      <c r="H373" s="5">
        <v>7.1800000000000003E-2</v>
      </c>
      <c r="I373" s="2">
        <v>24</v>
      </c>
      <c r="J373" s="2" t="s">
        <v>44</v>
      </c>
      <c r="K373" s="2" t="s">
        <v>17</v>
      </c>
      <c r="L373" s="3">
        <v>46125</v>
      </c>
      <c r="M373" s="2" t="str">
        <f>_xlfn.XLOOKUP(Deals[[#This Row],[CustomerID]],Customers!A:A,Customers!F:F)</f>
        <v>Mass</v>
      </c>
      <c r="N373" s="2" t="str">
        <f>_xlfn.XLOOKUP(Deals[[#This Row],[CustomerID]],Customers!A:A,Customers!E:E)</f>
        <v>Kuwaiti</v>
      </c>
      <c r="O373" s="2">
        <f>2026-_xlfn.XLOOKUP(Deals[[#This Row],[CustomerID]],Customers!A:A,Customers!D:D)</f>
        <v>30</v>
      </c>
      <c r="P373" s="2" t="str" cm="1">
        <f t="array" ref="P373">_xlfn.IFS(Deals[[#This Row],[Age]]&lt;30,"Under 30",Deals[[#This Row],[Age]]&lt;45,"30-44",TRUE,"45+")</f>
        <v>30-44</v>
      </c>
      <c r="Q373" s="21">
        <f>IF(Deals[[#This Row],[Status]]="Pending","",Deals[[#This Row],[DecisionDate]]-Deals[[#This Row],[ApplicationDate]])</f>
        <v>20</v>
      </c>
      <c r="R373" s="21">
        <f>IF(Deals[[#This Row],[Status]]="Approved",1,0)</f>
        <v>1</v>
      </c>
      <c r="S373" s="21">
        <f>IF(Deals[[#This Row],[IsApproved]]=1,Deals[[#This Row],[Amount]],0)</f>
        <v>68800</v>
      </c>
      <c r="T373" s="21">
        <f>Deals[[#This Row],[ApprovedAmount]]*Deals[[#This Row],[ProfitRate]]</f>
        <v>4939.84</v>
      </c>
    </row>
    <row r="374" spans="1:20">
      <c r="A374" s="2" t="s">
        <v>745</v>
      </c>
      <c r="B374" s="3">
        <v>46106</v>
      </c>
      <c r="C374" s="2" t="s">
        <v>746</v>
      </c>
      <c r="D374" s="2" t="s">
        <v>20</v>
      </c>
      <c r="E374" s="2" t="s">
        <v>15</v>
      </c>
      <c r="F374" s="2" t="s">
        <v>55</v>
      </c>
      <c r="G374" s="4">
        <v>24300</v>
      </c>
      <c r="H374" s="5">
        <v>6.9000000000000006E-2</v>
      </c>
      <c r="I374" s="2">
        <v>12</v>
      </c>
      <c r="J374" s="2" t="s">
        <v>22</v>
      </c>
      <c r="K374" s="2" t="s">
        <v>17</v>
      </c>
      <c r="L374" s="3">
        <v>46113</v>
      </c>
      <c r="M374" s="2" t="str">
        <f>_xlfn.XLOOKUP(Deals[[#This Row],[CustomerID]],Customers!A:A,Customers!F:F)</f>
        <v>Mass</v>
      </c>
      <c r="N374" s="2" t="str">
        <f>_xlfn.XLOOKUP(Deals[[#This Row],[CustomerID]],Customers!A:A,Customers!E:E)</f>
        <v>Kuwaiti</v>
      </c>
      <c r="O374" s="2">
        <f>2026-_xlfn.XLOOKUP(Deals[[#This Row],[CustomerID]],Customers!A:A,Customers!D:D)</f>
        <v>40</v>
      </c>
      <c r="P374" s="2" t="str" cm="1">
        <f t="array" ref="P374">_xlfn.IFS(Deals[[#This Row],[Age]]&lt;30,"Under 30",Deals[[#This Row],[Age]]&lt;45,"30-44",TRUE,"45+")</f>
        <v>30-44</v>
      </c>
      <c r="Q374" s="21">
        <f>IF(Deals[[#This Row],[Status]]="Pending","",Deals[[#This Row],[DecisionDate]]-Deals[[#This Row],[ApplicationDate]])</f>
        <v>7</v>
      </c>
      <c r="R374" s="21">
        <f>IF(Deals[[#This Row],[Status]]="Approved",1,0)</f>
        <v>1</v>
      </c>
      <c r="S374" s="21">
        <f>IF(Deals[[#This Row],[IsApproved]]=1,Deals[[#This Row],[Amount]],0)</f>
        <v>24300</v>
      </c>
      <c r="T374" s="21">
        <f>Deals[[#This Row],[ApprovedAmount]]*Deals[[#This Row],[ProfitRate]]</f>
        <v>1676.7</v>
      </c>
    </row>
    <row r="375" spans="1:20">
      <c r="A375" s="2" t="s">
        <v>747</v>
      </c>
      <c r="B375" s="3">
        <v>46106</v>
      </c>
      <c r="C375" s="2" t="s">
        <v>748</v>
      </c>
      <c r="D375" s="2" t="s">
        <v>20</v>
      </c>
      <c r="E375" s="2" t="s">
        <v>15</v>
      </c>
      <c r="F375" s="2" t="s">
        <v>3</v>
      </c>
      <c r="G375" s="4">
        <v>6900</v>
      </c>
      <c r="H375" s="5">
        <v>5.0099999999999999E-2</v>
      </c>
      <c r="I375" s="2">
        <v>24</v>
      </c>
      <c r="J375" s="2" t="s">
        <v>37</v>
      </c>
      <c r="K375" s="2" t="s">
        <v>17</v>
      </c>
      <c r="L375" s="3">
        <v>46113</v>
      </c>
      <c r="M375" s="2" t="str">
        <f>_xlfn.XLOOKUP(Deals[[#This Row],[CustomerID]],Customers!A:A,Customers!F:F)</f>
        <v>Mass</v>
      </c>
      <c r="N375" s="2" t="str">
        <f>_xlfn.XLOOKUP(Deals[[#This Row],[CustomerID]],Customers!A:A,Customers!E:E)</f>
        <v>Non-Kuwaiti</v>
      </c>
      <c r="O375" s="2">
        <f>2026-_xlfn.XLOOKUP(Deals[[#This Row],[CustomerID]],Customers!A:A,Customers!D:D)</f>
        <v>71</v>
      </c>
      <c r="P375" s="2" t="str" cm="1">
        <f t="array" ref="P375">_xlfn.IFS(Deals[[#This Row],[Age]]&lt;30,"Under 30",Deals[[#This Row],[Age]]&lt;45,"30-44",TRUE,"45+")</f>
        <v>45+</v>
      </c>
      <c r="Q375" s="21">
        <f>IF(Deals[[#This Row],[Status]]="Pending","",Deals[[#This Row],[DecisionDate]]-Deals[[#This Row],[ApplicationDate]])</f>
        <v>7</v>
      </c>
      <c r="R375" s="21">
        <f>IF(Deals[[#This Row],[Status]]="Approved",1,0)</f>
        <v>1</v>
      </c>
      <c r="S375" s="21">
        <f>IF(Deals[[#This Row],[IsApproved]]=1,Deals[[#This Row],[Amount]],0)</f>
        <v>6900</v>
      </c>
      <c r="T375" s="21">
        <f>Deals[[#This Row],[ApprovedAmount]]*Deals[[#This Row],[ProfitRate]]</f>
        <v>345.69</v>
      </c>
    </row>
    <row r="376" spans="1:20">
      <c r="A376" s="2" t="s">
        <v>749</v>
      </c>
      <c r="B376" s="3">
        <v>46106</v>
      </c>
      <c r="C376" s="2" t="s">
        <v>439</v>
      </c>
      <c r="D376" s="2" t="s">
        <v>20</v>
      </c>
      <c r="E376" s="2" t="s">
        <v>15</v>
      </c>
      <c r="F376" s="2" t="s">
        <v>3</v>
      </c>
      <c r="G376" s="4">
        <v>7600</v>
      </c>
      <c r="H376" s="5">
        <v>5.6800000000000003E-2</v>
      </c>
      <c r="I376" s="2">
        <v>48</v>
      </c>
      <c r="J376" s="2" t="s">
        <v>37</v>
      </c>
      <c r="K376" s="2" t="s">
        <v>17</v>
      </c>
      <c r="L376" s="3">
        <v>46110</v>
      </c>
      <c r="M376" s="2" t="str">
        <f>_xlfn.XLOOKUP(Deals[[#This Row],[CustomerID]],Customers!A:A,Customers!F:F)</f>
        <v>Affluent</v>
      </c>
      <c r="N376" s="2" t="str">
        <f>_xlfn.XLOOKUP(Deals[[#This Row],[CustomerID]],Customers!A:A,Customers!E:E)</f>
        <v>Kuwaiti</v>
      </c>
      <c r="O376" s="2">
        <f>2026-_xlfn.XLOOKUP(Deals[[#This Row],[CustomerID]],Customers!A:A,Customers!D:D)</f>
        <v>43</v>
      </c>
      <c r="P376" s="2" t="str" cm="1">
        <f t="array" ref="P376">_xlfn.IFS(Deals[[#This Row],[Age]]&lt;30,"Under 30",Deals[[#This Row],[Age]]&lt;45,"30-44",TRUE,"45+")</f>
        <v>30-44</v>
      </c>
      <c r="Q376" s="21">
        <f>IF(Deals[[#This Row],[Status]]="Pending","",Deals[[#This Row],[DecisionDate]]-Deals[[#This Row],[ApplicationDate]])</f>
        <v>4</v>
      </c>
      <c r="R376" s="21">
        <f>IF(Deals[[#This Row],[Status]]="Approved",1,0)</f>
        <v>1</v>
      </c>
      <c r="S376" s="21">
        <f>IF(Deals[[#This Row],[IsApproved]]=1,Deals[[#This Row],[Amount]],0)</f>
        <v>7600</v>
      </c>
      <c r="T376" s="21">
        <f>Deals[[#This Row],[ApprovedAmount]]*Deals[[#This Row],[ProfitRate]]</f>
        <v>431.68</v>
      </c>
    </row>
    <row r="377" spans="1:20">
      <c r="A377" s="2" t="s">
        <v>750</v>
      </c>
      <c r="B377" s="3">
        <v>46106</v>
      </c>
      <c r="C377" s="2" t="s">
        <v>751</v>
      </c>
      <c r="D377" s="2" t="s">
        <v>29</v>
      </c>
      <c r="E377" s="2" t="s">
        <v>21</v>
      </c>
      <c r="F377" s="2" t="s">
        <v>31</v>
      </c>
      <c r="G377" s="4">
        <v>232900</v>
      </c>
      <c r="H377" s="5">
        <v>3.2000000000000001E-2</v>
      </c>
      <c r="I377" s="2">
        <v>120</v>
      </c>
      <c r="J377" s="2" t="s">
        <v>61</v>
      </c>
      <c r="K377" s="2" t="s">
        <v>17</v>
      </c>
      <c r="L377" s="3">
        <v>46116</v>
      </c>
      <c r="M377" s="2" t="str">
        <f>_xlfn.XLOOKUP(Deals[[#This Row],[CustomerID]],Customers!A:A,Customers!F:F)</f>
        <v>Premium</v>
      </c>
      <c r="N377" s="2" t="str">
        <f>_xlfn.XLOOKUP(Deals[[#This Row],[CustomerID]],Customers!A:A,Customers!E:E)</f>
        <v>Non-Kuwaiti</v>
      </c>
      <c r="O377" s="2">
        <f>2026-_xlfn.XLOOKUP(Deals[[#This Row],[CustomerID]],Customers!A:A,Customers!D:D)</f>
        <v>56</v>
      </c>
      <c r="P377" s="2" t="str" cm="1">
        <f t="array" ref="P377">_xlfn.IFS(Deals[[#This Row],[Age]]&lt;30,"Under 30",Deals[[#This Row],[Age]]&lt;45,"30-44",TRUE,"45+")</f>
        <v>45+</v>
      </c>
      <c r="Q377" s="21">
        <f>IF(Deals[[#This Row],[Status]]="Pending","",Deals[[#This Row],[DecisionDate]]-Deals[[#This Row],[ApplicationDate]])</f>
        <v>10</v>
      </c>
      <c r="R377" s="21">
        <f>IF(Deals[[#This Row],[Status]]="Approved",1,0)</f>
        <v>1</v>
      </c>
      <c r="S377" s="21">
        <f>IF(Deals[[#This Row],[IsApproved]]=1,Deals[[#This Row],[Amount]],0)</f>
        <v>232900</v>
      </c>
      <c r="T377" s="21">
        <f>Deals[[#This Row],[ApprovedAmount]]*Deals[[#This Row],[ProfitRate]]</f>
        <v>7452.8</v>
      </c>
    </row>
    <row r="378" spans="1:20">
      <c r="A378" s="2" t="s">
        <v>752</v>
      </c>
      <c r="B378" s="3">
        <v>46106</v>
      </c>
      <c r="C378" s="2" t="s">
        <v>753</v>
      </c>
      <c r="D378" s="2" t="s">
        <v>20</v>
      </c>
      <c r="E378" s="2" t="s">
        <v>30</v>
      </c>
      <c r="F378" s="2" t="s">
        <v>55</v>
      </c>
      <c r="G378" s="4">
        <v>4800</v>
      </c>
      <c r="H378" s="5">
        <v>4.0399999999999998E-2</v>
      </c>
      <c r="I378" s="2">
        <v>48</v>
      </c>
      <c r="J378" s="2" t="s">
        <v>37</v>
      </c>
      <c r="K378" s="2" t="s">
        <v>17</v>
      </c>
      <c r="L378" s="3">
        <v>46109</v>
      </c>
      <c r="M378" s="2" t="str">
        <f>_xlfn.XLOOKUP(Deals[[#This Row],[CustomerID]],Customers!A:A,Customers!F:F)</f>
        <v>Affluent</v>
      </c>
      <c r="N378" s="2" t="str">
        <f>_xlfn.XLOOKUP(Deals[[#This Row],[CustomerID]],Customers!A:A,Customers!E:E)</f>
        <v>Non-Kuwaiti</v>
      </c>
      <c r="O378" s="2">
        <f>2026-_xlfn.XLOOKUP(Deals[[#This Row],[CustomerID]],Customers!A:A,Customers!D:D)</f>
        <v>28</v>
      </c>
      <c r="P378" s="2" t="str" cm="1">
        <f t="array" ref="P378">_xlfn.IFS(Deals[[#This Row],[Age]]&lt;30,"Under 30",Deals[[#This Row],[Age]]&lt;45,"30-44",TRUE,"45+")</f>
        <v>Under 30</v>
      </c>
      <c r="Q378" s="21">
        <f>IF(Deals[[#This Row],[Status]]="Pending","",Deals[[#This Row],[DecisionDate]]-Deals[[#This Row],[ApplicationDate]])</f>
        <v>3</v>
      </c>
      <c r="R378" s="21">
        <f>IF(Deals[[#This Row],[Status]]="Approved",1,0)</f>
        <v>1</v>
      </c>
      <c r="S378" s="21">
        <f>IF(Deals[[#This Row],[IsApproved]]=1,Deals[[#This Row],[Amount]],0)</f>
        <v>4800</v>
      </c>
      <c r="T378" s="21">
        <f>Deals[[#This Row],[ApprovedAmount]]*Deals[[#This Row],[ProfitRate]]</f>
        <v>193.92</v>
      </c>
    </row>
    <row r="379" spans="1:20">
      <c r="A379" s="2" t="s">
        <v>754</v>
      </c>
      <c r="B379" s="3">
        <v>46106</v>
      </c>
      <c r="C379" s="2" t="s">
        <v>755</v>
      </c>
      <c r="D379" s="2" t="s">
        <v>25</v>
      </c>
      <c r="E379" s="2" t="s">
        <v>30</v>
      </c>
      <c r="F379" s="2" t="s">
        <v>3</v>
      </c>
      <c r="G379" s="4">
        <v>12100</v>
      </c>
      <c r="H379" s="5">
        <v>3.95E-2</v>
      </c>
      <c r="I379" s="2">
        <v>48</v>
      </c>
      <c r="J379" s="2" t="s">
        <v>66</v>
      </c>
      <c r="K379" s="2" t="s">
        <v>17</v>
      </c>
      <c r="L379" s="3">
        <v>46109</v>
      </c>
      <c r="M379" s="2" t="str">
        <f>_xlfn.XLOOKUP(Deals[[#This Row],[CustomerID]],Customers!A:A,Customers!F:F)</f>
        <v>Mass</v>
      </c>
      <c r="N379" s="2" t="str">
        <f>_xlfn.XLOOKUP(Deals[[#This Row],[CustomerID]],Customers!A:A,Customers!E:E)</f>
        <v>Kuwaiti</v>
      </c>
      <c r="O379" s="2">
        <f>2026-_xlfn.XLOOKUP(Deals[[#This Row],[CustomerID]],Customers!A:A,Customers!D:D)</f>
        <v>38</v>
      </c>
      <c r="P379" s="2" t="str" cm="1">
        <f t="array" ref="P379">_xlfn.IFS(Deals[[#This Row],[Age]]&lt;30,"Under 30",Deals[[#This Row],[Age]]&lt;45,"30-44",TRUE,"45+")</f>
        <v>30-44</v>
      </c>
      <c r="Q379" s="21">
        <f>IF(Deals[[#This Row],[Status]]="Pending","",Deals[[#This Row],[DecisionDate]]-Deals[[#This Row],[ApplicationDate]])</f>
        <v>3</v>
      </c>
      <c r="R379" s="21">
        <f>IF(Deals[[#This Row],[Status]]="Approved",1,0)</f>
        <v>1</v>
      </c>
      <c r="S379" s="21">
        <f>IF(Deals[[#This Row],[IsApproved]]=1,Deals[[#This Row],[Amount]],0)</f>
        <v>12100</v>
      </c>
      <c r="T379" s="21">
        <f>Deals[[#This Row],[ApprovedAmount]]*Deals[[#This Row],[ProfitRate]]</f>
        <v>477.95</v>
      </c>
    </row>
    <row r="380" spans="1:20">
      <c r="A380" s="2" t="s">
        <v>756</v>
      </c>
      <c r="B380" s="3">
        <v>46106</v>
      </c>
      <c r="C380" s="2" t="s">
        <v>627</v>
      </c>
      <c r="D380" s="2" t="s">
        <v>20</v>
      </c>
      <c r="E380" s="2" t="s">
        <v>15</v>
      </c>
      <c r="F380" s="2" t="s">
        <v>3</v>
      </c>
      <c r="G380" s="4">
        <v>3200</v>
      </c>
      <c r="H380" s="5">
        <v>6.4399999999999999E-2</v>
      </c>
      <c r="I380" s="2">
        <v>24</v>
      </c>
      <c r="J380" s="2" t="s">
        <v>22</v>
      </c>
      <c r="K380" s="2" t="s">
        <v>17</v>
      </c>
      <c r="L380" s="3">
        <v>46109</v>
      </c>
      <c r="M380" s="2" t="str">
        <f>_xlfn.XLOOKUP(Deals[[#This Row],[CustomerID]],Customers!A:A,Customers!F:F)</f>
        <v>Mass</v>
      </c>
      <c r="N380" s="2" t="str">
        <f>_xlfn.XLOOKUP(Deals[[#This Row],[CustomerID]],Customers!A:A,Customers!E:E)</f>
        <v>Kuwaiti</v>
      </c>
      <c r="O380" s="2">
        <f>2026-_xlfn.XLOOKUP(Deals[[#This Row],[CustomerID]],Customers!A:A,Customers!D:D)</f>
        <v>42</v>
      </c>
      <c r="P380" s="2" t="str" cm="1">
        <f t="array" ref="P380">_xlfn.IFS(Deals[[#This Row],[Age]]&lt;30,"Under 30",Deals[[#This Row],[Age]]&lt;45,"30-44",TRUE,"45+")</f>
        <v>30-44</v>
      </c>
      <c r="Q380" s="21">
        <f>IF(Deals[[#This Row],[Status]]="Pending","",Deals[[#This Row],[DecisionDate]]-Deals[[#This Row],[ApplicationDate]])</f>
        <v>3</v>
      </c>
      <c r="R380" s="21">
        <f>IF(Deals[[#This Row],[Status]]="Approved",1,0)</f>
        <v>1</v>
      </c>
      <c r="S380" s="21">
        <f>IF(Deals[[#This Row],[IsApproved]]=1,Deals[[#This Row],[Amount]],0)</f>
        <v>3200</v>
      </c>
      <c r="T380" s="21">
        <f>Deals[[#This Row],[ApprovedAmount]]*Deals[[#This Row],[ProfitRate]]</f>
        <v>206.07999999999998</v>
      </c>
    </row>
    <row r="381" spans="1:20">
      <c r="A381" s="2" t="s">
        <v>757</v>
      </c>
      <c r="B381" s="3">
        <v>46107</v>
      </c>
      <c r="C381" s="2" t="s">
        <v>758</v>
      </c>
      <c r="D381" s="2" t="s">
        <v>14</v>
      </c>
      <c r="E381" s="2" t="s">
        <v>30</v>
      </c>
      <c r="F381" s="2" t="s">
        <v>3</v>
      </c>
      <c r="G381" s="4">
        <v>7400</v>
      </c>
      <c r="H381" s="5">
        <v>4.0300000000000002E-2</v>
      </c>
      <c r="I381" s="2">
        <v>48</v>
      </c>
      <c r="J381" s="2" t="s">
        <v>16</v>
      </c>
      <c r="K381" s="2" t="s">
        <v>17</v>
      </c>
      <c r="L381" s="3">
        <v>46110</v>
      </c>
      <c r="M381" s="2" t="str">
        <f>_xlfn.XLOOKUP(Deals[[#This Row],[CustomerID]],Customers!A:A,Customers!F:F)</f>
        <v>Mass</v>
      </c>
      <c r="N381" s="2" t="str">
        <f>_xlfn.XLOOKUP(Deals[[#This Row],[CustomerID]],Customers!A:A,Customers!E:E)</f>
        <v>Kuwaiti</v>
      </c>
      <c r="O381" s="2">
        <f>2026-_xlfn.XLOOKUP(Deals[[#This Row],[CustomerID]],Customers!A:A,Customers!D:D)</f>
        <v>39</v>
      </c>
      <c r="P381" s="2" t="str" cm="1">
        <f t="array" ref="P381">_xlfn.IFS(Deals[[#This Row],[Age]]&lt;30,"Under 30",Deals[[#This Row],[Age]]&lt;45,"30-44",TRUE,"45+")</f>
        <v>30-44</v>
      </c>
      <c r="Q381" s="21">
        <f>IF(Deals[[#This Row],[Status]]="Pending","",Deals[[#This Row],[DecisionDate]]-Deals[[#This Row],[ApplicationDate]])</f>
        <v>3</v>
      </c>
      <c r="R381" s="21">
        <f>IF(Deals[[#This Row],[Status]]="Approved",1,0)</f>
        <v>1</v>
      </c>
      <c r="S381" s="21">
        <f>IF(Deals[[#This Row],[IsApproved]]=1,Deals[[#This Row],[Amount]],0)</f>
        <v>7400</v>
      </c>
      <c r="T381" s="21">
        <f>Deals[[#This Row],[ApprovedAmount]]*Deals[[#This Row],[ProfitRate]]</f>
        <v>298.22000000000003</v>
      </c>
    </row>
    <row r="382" spans="1:20">
      <c r="A382" s="2" t="s">
        <v>759</v>
      </c>
      <c r="B382" s="3">
        <v>46107</v>
      </c>
      <c r="C382" s="2" t="s">
        <v>760</v>
      </c>
      <c r="D382" s="2" t="s">
        <v>14</v>
      </c>
      <c r="E382" s="2" t="s">
        <v>21</v>
      </c>
      <c r="F382" s="2" t="s">
        <v>31</v>
      </c>
      <c r="G382" s="4">
        <v>127300</v>
      </c>
      <c r="H382" s="5">
        <v>3.5299999999999998E-2</v>
      </c>
      <c r="I382" s="2">
        <v>300</v>
      </c>
      <c r="J382" s="2" t="s">
        <v>48</v>
      </c>
      <c r="K382" s="2" t="s">
        <v>17</v>
      </c>
      <c r="L382" s="3">
        <v>46129</v>
      </c>
      <c r="M382" s="2" t="str">
        <f>_xlfn.XLOOKUP(Deals[[#This Row],[CustomerID]],Customers!A:A,Customers!F:F)</f>
        <v>Mass</v>
      </c>
      <c r="N382" s="2" t="str">
        <f>_xlfn.XLOOKUP(Deals[[#This Row],[CustomerID]],Customers!A:A,Customers!E:E)</f>
        <v>Kuwaiti</v>
      </c>
      <c r="O382" s="2">
        <f>2026-_xlfn.XLOOKUP(Deals[[#This Row],[CustomerID]],Customers!A:A,Customers!D:D)</f>
        <v>46</v>
      </c>
      <c r="P382" s="2" t="str" cm="1">
        <f t="array" ref="P382">_xlfn.IFS(Deals[[#This Row],[Age]]&lt;30,"Under 30",Deals[[#This Row],[Age]]&lt;45,"30-44",TRUE,"45+")</f>
        <v>45+</v>
      </c>
      <c r="Q382" s="21">
        <f>IF(Deals[[#This Row],[Status]]="Pending","",Deals[[#This Row],[DecisionDate]]-Deals[[#This Row],[ApplicationDate]])</f>
        <v>22</v>
      </c>
      <c r="R382" s="21">
        <f>IF(Deals[[#This Row],[Status]]="Approved",1,0)</f>
        <v>1</v>
      </c>
      <c r="S382" s="21">
        <f>IF(Deals[[#This Row],[IsApproved]]=1,Deals[[#This Row],[Amount]],0)</f>
        <v>127300</v>
      </c>
      <c r="T382" s="21">
        <f>Deals[[#This Row],[ApprovedAmount]]*Deals[[#This Row],[ProfitRate]]</f>
        <v>4493.6899999999996</v>
      </c>
    </row>
    <row r="383" spans="1:20">
      <c r="A383" s="2" t="s">
        <v>761</v>
      </c>
      <c r="B383" s="3">
        <v>46107</v>
      </c>
      <c r="C383" s="2" t="s">
        <v>762</v>
      </c>
      <c r="D383" s="2" t="s">
        <v>25</v>
      </c>
      <c r="E383" s="2" t="s">
        <v>30</v>
      </c>
      <c r="F383" s="2" t="s">
        <v>3</v>
      </c>
      <c r="G383" s="4">
        <v>10700</v>
      </c>
      <c r="H383" s="5">
        <v>4.5600000000000002E-2</v>
      </c>
      <c r="I383" s="2">
        <v>48</v>
      </c>
      <c r="J383" s="2" t="s">
        <v>26</v>
      </c>
      <c r="K383" s="2" t="s">
        <v>17</v>
      </c>
      <c r="L383" s="3">
        <v>46111</v>
      </c>
      <c r="M383" s="2" t="str">
        <f>_xlfn.XLOOKUP(Deals[[#This Row],[CustomerID]],Customers!A:A,Customers!F:F)</f>
        <v>Affluent</v>
      </c>
      <c r="N383" s="2" t="str">
        <f>_xlfn.XLOOKUP(Deals[[#This Row],[CustomerID]],Customers!A:A,Customers!E:E)</f>
        <v>Kuwaiti</v>
      </c>
      <c r="O383" s="2">
        <f>2026-_xlfn.XLOOKUP(Deals[[#This Row],[CustomerID]],Customers!A:A,Customers!D:D)</f>
        <v>43</v>
      </c>
      <c r="P383" s="2" t="str" cm="1">
        <f t="array" ref="P383">_xlfn.IFS(Deals[[#This Row],[Age]]&lt;30,"Under 30",Deals[[#This Row],[Age]]&lt;45,"30-44",TRUE,"45+")</f>
        <v>30-44</v>
      </c>
      <c r="Q383" s="21">
        <f>IF(Deals[[#This Row],[Status]]="Pending","",Deals[[#This Row],[DecisionDate]]-Deals[[#This Row],[ApplicationDate]])</f>
        <v>4</v>
      </c>
      <c r="R383" s="21">
        <f>IF(Deals[[#This Row],[Status]]="Approved",1,0)</f>
        <v>1</v>
      </c>
      <c r="S383" s="21">
        <f>IF(Deals[[#This Row],[IsApproved]]=1,Deals[[#This Row],[Amount]],0)</f>
        <v>10700</v>
      </c>
      <c r="T383" s="21">
        <f>Deals[[#This Row],[ApprovedAmount]]*Deals[[#This Row],[ProfitRate]]</f>
        <v>487.92</v>
      </c>
    </row>
    <row r="384" spans="1:20">
      <c r="A384" s="2" t="s">
        <v>763</v>
      </c>
      <c r="B384" s="3">
        <v>46108</v>
      </c>
      <c r="C384" s="2" t="s">
        <v>445</v>
      </c>
      <c r="D384" s="2" t="s">
        <v>14</v>
      </c>
      <c r="E384" s="2" t="s">
        <v>15</v>
      </c>
      <c r="F384" s="2" t="s">
        <v>55</v>
      </c>
      <c r="G384" s="4">
        <v>22100</v>
      </c>
      <c r="H384" s="5">
        <v>6.2300000000000001E-2</v>
      </c>
      <c r="I384" s="2">
        <v>24</v>
      </c>
      <c r="J384" s="2" t="s">
        <v>40</v>
      </c>
      <c r="K384" s="2" t="s">
        <v>17</v>
      </c>
      <c r="L384" s="3">
        <v>46112</v>
      </c>
      <c r="M384" s="2" t="str">
        <f>_xlfn.XLOOKUP(Deals[[#This Row],[CustomerID]],Customers!A:A,Customers!F:F)</f>
        <v>Mass</v>
      </c>
      <c r="N384" s="2" t="str">
        <f>_xlfn.XLOOKUP(Deals[[#This Row],[CustomerID]],Customers!A:A,Customers!E:E)</f>
        <v>Kuwaiti</v>
      </c>
      <c r="O384" s="2">
        <f>2026-_xlfn.XLOOKUP(Deals[[#This Row],[CustomerID]],Customers!A:A,Customers!D:D)</f>
        <v>43</v>
      </c>
      <c r="P384" s="2" t="str" cm="1">
        <f t="array" ref="P384">_xlfn.IFS(Deals[[#This Row],[Age]]&lt;30,"Under 30",Deals[[#This Row],[Age]]&lt;45,"30-44",TRUE,"45+")</f>
        <v>30-44</v>
      </c>
      <c r="Q384" s="21">
        <f>IF(Deals[[#This Row],[Status]]="Pending","",Deals[[#This Row],[DecisionDate]]-Deals[[#This Row],[ApplicationDate]])</f>
        <v>4</v>
      </c>
      <c r="R384" s="21">
        <f>IF(Deals[[#This Row],[Status]]="Approved",1,0)</f>
        <v>1</v>
      </c>
      <c r="S384" s="21">
        <f>IF(Deals[[#This Row],[IsApproved]]=1,Deals[[#This Row],[Amount]],0)</f>
        <v>22100</v>
      </c>
      <c r="T384" s="21">
        <f>Deals[[#This Row],[ApprovedAmount]]*Deals[[#This Row],[ProfitRate]]</f>
        <v>1376.83</v>
      </c>
    </row>
    <row r="385" spans="1:20">
      <c r="A385" s="2" t="s">
        <v>764</v>
      </c>
      <c r="B385" s="3">
        <v>46108</v>
      </c>
      <c r="C385" s="2" t="s">
        <v>765</v>
      </c>
      <c r="D385" s="2" t="s">
        <v>14</v>
      </c>
      <c r="E385" s="2" t="s">
        <v>43</v>
      </c>
      <c r="F385" s="2" t="s">
        <v>3</v>
      </c>
      <c r="G385" s="4">
        <v>29800</v>
      </c>
      <c r="H385" s="5">
        <v>6.9500000000000006E-2</v>
      </c>
      <c r="I385" s="2">
        <v>84</v>
      </c>
      <c r="J385" s="2" t="s">
        <v>16</v>
      </c>
      <c r="K385" s="2" t="s">
        <v>17</v>
      </c>
      <c r="L385" s="3">
        <v>46126</v>
      </c>
      <c r="M385" s="2" t="str">
        <f>_xlfn.XLOOKUP(Deals[[#This Row],[CustomerID]],Customers!A:A,Customers!F:F)</f>
        <v>Mass</v>
      </c>
      <c r="N385" s="2" t="str">
        <f>_xlfn.XLOOKUP(Deals[[#This Row],[CustomerID]],Customers!A:A,Customers!E:E)</f>
        <v>Non-Kuwaiti</v>
      </c>
      <c r="O385" s="2">
        <f>2026-_xlfn.XLOOKUP(Deals[[#This Row],[CustomerID]],Customers!A:A,Customers!D:D)</f>
        <v>31</v>
      </c>
      <c r="P385" s="2" t="str" cm="1">
        <f t="array" ref="P385">_xlfn.IFS(Deals[[#This Row],[Age]]&lt;30,"Under 30",Deals[[#This Row],[Age]]&lt;45,"30-44",TRUE,"45+")</f>
        <v>30-44</v>
      </c>
      <c r="Q385" s="21">
        <f>IF(Deals[[#This Row],[Status]]="Pending","",Deals[[#This Row],[DecisionDate]]-Deals[[#This Row],[ApplicationDate]])</f>
        <v>18</v>
      </c>
      <c r="R385" s="21">
        <f>IF(Deals[[#This Row],[Status]]="Approved",1,0)</f>
        <v>1</v>
      </c>
      <c r="S385" s="21">
        <f>IF(Deals[[#This Row],[IsApproved]]=1,Deals[[#This Row],[Amount]],0)</f>
        <v>29800</v>
      </c>
      <c r="T385" s="21">
        <f>Deals[[#This Row],[ApprovedAmount]]*Deals[[#This Row],[ProfitRate]]</f>
        <v>2071.1000000000004</v>
      </c>
    </row>
    <row r="386" spans="1:20">
      <c r="A386" s="2" t="s">
        <v>766</v>
      </c>
      <c r="B386" s="3">
        <v>46108</v>
      </c>
      <c r="C386" s="2" t="s">
        <v>767</v>
      </c>
      <c r="D386" s="2" t="s">
        <v>20</v>
      </c>
      <c r="E386" s="2" t="s">
        <v>21</v>
      </c>
      <c r="F386" s="2" t="s">
        <v>31</v>
      </c>
      <c r="G386" s="4">
        <v>246900</v>
      </c>
      <c r="H386" s="5">
        <v>3.5499999999999997E-2</v>
      </c>
      <c r="I386" s="2">
        <v>180</v>
      </c>
      <c r="J386" s="2" t="s">
        <v>37</v>
      </c>
      <c r="K386" s="2" t="s">
        <v>45</v>
      </c>
      <c r="L386" s="3">
        <v>46118</v>
      </c>
      <c r="M386" s="2" t="str">
        <f>_xlfn.XLOOKUP(Deals[[#This Row],[CustomerID]],Customers!A:A,Customers!F:F)</f>
        <v>Mass</v>
      </c>
      <c r="N386" s="2" t="str">
        <f>_xlfn.XLOOKUP(Deals[[#This Row],[CustomerID]],Customers!A:A,Customers!E:E)</f>
        <v>Non-Kuwaiti</v>
      </c>
      <c r="O386" s="2">
        <f>2026-_xlfn.XLOOKUP(Deals[[#This Row],[CustomerID]],Customers!A:A,Customers!D:D)</f>
        <v>39</v>
      </c>
      <c r="P386" s="2" t="str" cm="1">
        <f t="array" ref="P386">_xlfn.IFS(Deals[[#This Row],[Age]]&lt;30,"Under 30",Deals[[#This Row],[Age]]&lt;45,"30-44",TRUE,"45+")</f>
        <v>30-44</v>
      </c>
      <c r="Q386" s="21">
        <f>IF(Deals[[#This Row],[Status]]="Pending","",Deals[[#This Row],[DecisionDate]]-Deals[[#This Row],[ApplicationDate]])</f>
        <v>10</v>
      </c>
      <c r="R386" s="21">
        <f>IF(Deals[[#This Row],[Status]]="Approved",1,0)</f>
        <v>0</v>
      </c>
      <c r="S386" s="21">
        <f>IF(Deals[[#This Row],[IsApproved]]=1,Deals[[#This Row],[Amount]],0)</f>
        <v>0</v>
      </c>
      <c r="T386" s="21">
        <f>Deals[[#This Row],[ApprovedAmount]]*Deals[[#This Row],[ProfitRate]]</f>
        <v>0</v>
      </c>
    </row>
    <row r="387" spans="1:20">
      <c r="A387" s="2" t="s">
        <v>768</v>
      </c>
      <c r="B387" s="3">
        <v>46108</v>
      </c>
      <c r="C387" s="2" t="s">
        <v>769</v>
      </c>
      <c r="D387" s="2" t="s">
        <v>29</v>
      </c>
      <c r="E387" s="2" t="s">
        <v>15</v>
      </c>
      <c r="F387" s="2" t="s">
        <v>3</v>
      </c>
      <c r="G387" s="4">
        <v>11600</v>
      </c>
      <c r="H387" s="5">
        <v>5.9400000000000001E-2</v>
      </c>
      <c r="I387" s="2">
        <v>60</v>
      </c>
      <c r="J387" s="2" t="s">
        <v>32</v>
      </c>
      <c r="K387" s="2" t="s">
        <v>17</v>
      </c>
      <c r="L387" s="3">
        <v>46109</v>
      </c>
      <c r="M387" s="2" t="str">
        <f>_xlfn.XLOOKUP(Deals[[#This Row],[CustomerID]],Customers!A:A,Customers!F:F)</f>
        <v>Mass</v>
      </c>
      <c r="N387" s="2" t="str">
        <f>_xlfn.XLOOKUP(Deals[[#This Row],[CustomerID]],Customers!A:A,Customers!E:E)</f>
        <v>Kuwaiti</v>
      </c>
      <c r="O387" s="2">
        <f>2026-_xlfn.XLOOKUP(Deals[[#This Row],[CustomerID]],Customers!A:A,Customers!D:D)</f>
        <v>47</v>
      </c>
      <c r="P387" s="2" t="str" cm="1">
        <f t="array" ref="P387">_xlfn.IFS(Deals[[#This Row],[Age]]&lt;30,"Under 30",Deals[[#This Row],[Age]]&lt;45,"30-44",TRUE,"45+")</f>
        <v>45+</v>
      </c>
      <c r="Q387" s="21">
        <f>IF(Deals[[#This Row],[Status]]="Pending","",Deals[[#This Row],[DecisionDate]]-Deals[[#This Row],[ApplicationDate]])</f>
        <v>1</v>
      </c>
      <c r="R387" s="21">
        <f>IF(Deals[[#This Row],[Status]]="Approved",1,0)</f>
        <v>1</v>
      </c>
      <c r="S387" s="21">
        <f>IF(Deals[[#This Row],[IsApproved]]=1,Deals[[#This Row],[Amount]],0)</f>
        <v>11600</v>
      </c>
      <c r="T387" s="21">
        <f>Deals[[#This Row],[ApprovedAmount]]*Deals[[#This Row],[ProfitRate]]</f>
        <v>689.04</v>
      </c>
    </row>
    <row r="388" spans="1:20">
      <c r="A388" s="2" t="s">
        <v>770</v>
      </c>
      <c r="B388" s="3">
        <v>46108</v>
      </c>
      <c r="C388" s="2" t="s">
        <v>771</v>
      </c>
      <c r="D388" s="2" t="s">
        <v>14</v>
      </c>
      <c r="E388" s="2" t="s">
        <v>43</v>
      </c>
      <c r="F388" s="2" t="s">
        <v>3</v>
      </c>
      <c r="G388" s="4">
        <v>83900</v>
      </c>
      <c r="H388" s="5">
        <v>6.6299999999999998E-2</v>
      </c>
      <c r="I388" s="2">
        <v>84</v>
      </c>
      <c r="J388" s="2" t="s">
        <v>48</v>
      </c>
      <c r="K388" s="2" t="s">
        <v>45</v>
      </c>
      <c r="L388" s="3">
        <v>46129</v>
      </c>
      <c r="M388" s="2" t="str">
        <f>_xlfn.XLOOKUP(Deals[[#This Row],[CustomerID]],Customers!A:A,Customers!F:F)</f>
        <v>Mass</v>
      </c>
      <c r="N388" s="2" t="str">
        <f>_xlfn.XLOOKUP(Deals[[#This Row],[CustomerID]],Customers!A:A,Customers!E:E)</f>
        <v>Non-Kuwaiti</v>
      </c>
      <c r="O388" s="2">
        <f>2026-_xlfn.XLOOKUP(Deals[[#This Row],[CustomerID]],Customers!A:A,Customers!D:D)</f>
        <v>70</v>
      </c>
      <c r="P388" s="2" t="str" cm="1">
        <f t="array" ref="P388">_xlfn.IFS(Deals[[#This Row],[Age]]&lt;30,"Under 30",Deals[[#This Row],[Age]]&lt;45,"30-44",TRUE,"45+")</f>
        <v>45+</v>
      </c>
      <c r="Q388" s="21">
        <f>IF(Deals[[#This Row],[Status]]="Pending","",Deals[[#This Row],[DecisionDate]]-Deals[[#This Row],[ApplicationDate]])</f>
        <v>21</v>
      </c>
      <c r="R388" s="21">
        <f>IF(Deals[[#This Row],[Status]]="Approved",1,0)</f>
        <v>0</v>
      </c>
      <c r="S388" s="21">
        <f>IF(Deals[[#This Row],[IsApproved]]=1,Deals[[#This Row],[Amount]],0)</f>
        <v>0</v>
      </c>
      <c r="T388" s="21">
        <f>Deals[[#This Row],[ApprovedAmount]]*Deals[[#This Row],[ProfitRate]]</f>
        <v>0</v>
      </c>
    </row>
    <row r="389" spans="1:20">
      <c r="A389" s="2" t="s">
        <v>772</v>
      </c>
      <c r="B389" s="3">
        <v>46108</v>
      </c>
      <c r="C389" s="2" t="s">
        <v>773</v>
      </c>
      <c r="D389" s="2" t="s">
        <v>54</v>
      </c>
      <c r="E389" s="2" t="s">
        <v>30</v>
      </c>
      <c r="F389" s="2" t="s">
        <v>31</v>
      </c>
      <c r="G389" s="4">
        <v>14600</v>
      </c>
      <c r="H389" s="5">
        <v>4.6300000000000001E-2</v>
      </c>
      <c r="I389" s="2">
        <v>36</v>
      </c>
      <c r="J389" s="2" t="s">
        <v>148</v>
      </c>
      <c r="K389" s="2" t="s">
        <v>17</v>
      </c>
      <c r="L389" s="3">
        <v>46112</v>
      </c>
      <c r="M389" s="2" t="str">
        <f>_xlfn.XLOOKUP(Deals[[#This Row],[CustomerID]],Customers!A:A,Customers!F:F)</f>
        <v>Mass</v>
      </c>
      <c r="N389" s="2" t="str">
        <f>_xlfn.XLOOKUP(Deals[[#This Row],[CustomerID]],Customers!A:A,Customers!E:E)</f>
        <v>Non-Kuwaiti</v>
      </c>
      <c r="O389" s="2">
        <f>2026-_xlfn.XLOOKUP(Deals[[#This Row],[CustomerID]],Customers!A:A,Customers!D:D)</f>
        <v>34</v>
      </c>
      <c r="P389" s="2" t="str" cm="1">
        <f t="array" ref="P389">_xlfn.IFS(Deals[[#This Row],[Age]]&lt;30,"Under 30",Deals[[#This Row],[Age]]&lt;45,"30-44",TRUE,"45+")</f>
        <v>30-44</v>
      </c>
      <c r="Q389" s="21">
        <f>IF(Deals[[#This Row],[Status]]="Pending","",Deals[[#This Row],[DecisionDate]]-Deals[[#This Row],[ApplicationDate]])</f>
        <v>4</v>
      </c>
      <c r="R389" s="21">
        <f>IF(Deals[[#This Row],[Status]]="Approved",1,0)</f>
        <v>1</v>
      </c>
      <c r="S389" s="21">
        <f>IF(Deals[[#This Row],[IsApproved]]=1,Deals[[#This Row],[Amount]],0)</f>
        <v>14600</v>
      </c>
      <c r="T389" s="21">
        <f>Deals[[#This Row],[ApprovedAmount]]*Deals[[#This Row],[ProfitRate]]</f>
        <v>675.98</v>
      </c>
    </row>
    <row r="390" spans="1:20">
      <c r="A390" s="2" t="s">
        <v>774</v>
      </c>
      <c r="B390" s="3">
        <v>46108</v>
      </c>
      <c r="C390" s="2" t="s">
        <v>596</v>
      </c>
      <c r="D390" s="2" t="s">
        <v>25</v>
      </c>
      <c r="E390" s="2" t="s">
        <v>30</v>
      </c>
      <c r="F390" s="2" t="s">
        <v>3</v>
      </c>
      <c r="G390" s="4">
        <v>9300</v>
      </c>
      <c r="H390" s="5">
        <v>3.85E-2</v>
      </c>
      <c r="I390" s="2">
        <v>36</v>
      </c>
      <c r="J390" s="2" t="s">
        <v>181</v>
      </c>
      <c r="K390" s="2" t="s">
        <v>17</v>
      </c>
      <c r="L390" s="3">
        <v>46111</v>
      </c>
      <c r="M390" s="2" t="str">
        <f>_xlfn.XLOOKUP(Deals[[#This Row],[CustomerID]],Customers!A:A,Customers!F:F)</f>
        <v>Affluent</v>
      </c>
      <c r="N390" s="2" t="str">
        <f>_xlfn.XLOOKUP(Deals[[#This Row],[CustomerID]],Customers!A:A,Customers!E:E)</f>
        <v>Non-Kuwaiti</v>
      </c>
      <c r="O390" s="2">
        <f>2026-_xlfn.XLOOKUP(Deals[[#This Row],[CustomerID]],Customers!A:A,Customers!D:D)</f>
        <v>25</v>
      </c>
      <c r="P390" s="2" t="str" cm="1">
        <f t="array" ref="P390">_xlfn.IFS(Deals[[#This Row],[Age]]&lt;30,"Under 30",Deals[[#This Row],[Age]]&lt;45,"30-44",TRUE,"45+")</f>
        <v>Under 30</v>
      </c>
      <c r="Q390" s="21">
        <f>IF(Deals[[#This Row],[Status]]="Pending","",Deals[[#This Row],[DecisionDate]]-Deals[[#This Row],[ApplicationDate]])</f>
        <v>3</v>
      </c>
      <c r="R390" s="21">
        <f>IF(Deals[[#This Row],[Status]]="Approved",1,0)</f>
        <v>1</v>
      </c>
      <c r="S390" s="21">
        <f>IF(Deals[[#This Row],[IsApproved]]=1,Deals[[#This Row],[Amount]],0)</f>
        <v>9300</v>
      </c>
      <c r="T390" s="21">
        <f>Deals[[#This Row],[ApprovedAmount]]*Deals[[#This Row],[ProfitRate]]</f>
        <v>358.05</v>
      </c>
    </row>
    <row r="391" spans="1:20">
      <c r="A391" s="2" t="s">
        <v>775</v>
      </c>
      <c r="B391" s="3">
        <v>46108</v>
      </c>
      <c r="C391" s="2" t="s">
        <v>776</v>
      </c>
      <c r="D391" s="2" t="s">
        <v>54</v>
      </c>
      <c r="E391" s="2" t="s">
        <v>21</v>
      </c>
      <c r="F391" s="2" t="s">
        <v>55</v>
      </c>
      <c r="G391" s="4">
        <v>190900</v>
      </c>
      <c r="H391" s="5">
        <v>3.8300000000000001E-2</v>
      </c>
      <c r="I391" s="2">
        <v>300</v>
      </c>
      <c r="J391" s="2" t="s">
        <v>56</v>
      </c>
      <c r="K391" s="2" t="s">
        <v>17</v>
      </c>
      <c r="L391" s="3">
        <v>46128</v>
      </c>
      <c r="M391" s="2" t="str">
        <f>_xlfn.XLOOKUP(Deals[[#This Row],[CustomerID]],Customers!A:A,Customers!F:F)</f>
        <v>Affluent</v>
      </c>
      <c r="N391" s="2" t="str">
        <f>_xlfn.XLOOKUP(Deals[[#This Row],[CustomerID]],Customers!A:A,Customers!E:E)</f>
        <v>Kuwaiti</v>
      </c>
      <c r="O391" s="2">
        <f>2026-_xlfn.XLOOKUP(Deals[[#This Row],[CustomerID]],Customers!A:A,Customers!D:D)</f>
        <v>26</v>
      </c>
      <c r="P391" s="2" t="str" cm="1">
        <f t="array" ref="P391">_xlfn.IFS(Deals[[#This Row],[Age]]&lt;30,"Under 30",Deals[[#This Row],[Age]]&lt;45,"30-44",TRUE,"45+")</f>
        <v>Under 30</v>
      </c>
      <c r="Q391" s="21">
        <f>IF(Deals[[#This Row],[Status]]="Pending","",Deals[[#This Row],[DecisionDate]]-Deals[[#This Row],[ApplicationDate]])</f>
        <v>20</v>
      </c>
      <c r="R391" s="21">
        <f>IF(Deals[[#This Row],[Status]]="Approved",1,0)</f>
        <v>1</v>
      </c>
      <c r="S391" s="21">
        <f>IF(Deals[[#This Row],[IsApproved]]=1,Deals[[#This Row],[Amount]],0)</f>
        <v>190900</v>
      </c>
      <c r="T391" s="21">
        <f>Deals[[#This Row],[ApprovedAmount]]*Deals[[#This Row],[ProfitRate]]</f>
        <v>7311.47</v>
      </c>
    </row>
    <row r="392" spans="1:20">
      <c r="A392" s="2" t="s">
        <v>777</v>
      </c>
      <c r="B392" s="3">
        <v>46109</v>
      </c>
      <c r="C392" s="2" t="s">
        <v>778</v>
      </c>
      <c r="D392" s="2" t="s">
        <v>54</v>
      </c>
      <c r="E392" s="2" t="s">
        <v>15</v>
      </c>
      <c r="F392" s="2" t="s">
        <v>3</v>
      </c>
      <c r="G392" s="4">
        <v>24500</v>
      </c>
      <c r="H392" s="5">
        <v>6.13E-2</v>
      </c>
      <c r="I392" s="2">
        <v>12</v>
      </c>
      <c r="J392" s="2" t="s">
        <v>148</v>
      </c>
      <c r="K392" s="2" t="s">
        <v>17</v>
      </c>
      <c r="L392" s="3">
        <v>46116</v>
      </c>
      <c r="M392" s="2" t="str">
        <f>_xlfn.XLOOKUP(Deals[[#This Row],[CustomerID]],Customers!A:A,Customers!F:F)</f>
        <v>Affluent</v>
      </c>
      <c r="N392" s="2" t="str">
        <f>_xlfn.XLOOKUP(Deals[[#This Row],[CustomerID]],Customers!A:A,Customers!E:E)</f>
        <v>Kuwaiti</v>
      </c>
      <c r="O392" s="2">
        <f>2026-_xlfn.XLOOKUP(Deals[[#This Row],[CustomerID]],Customers!A:A,Customers!D:D)</f>
        <v>30</v>
      </c>
      <c r="P392" s="2" t="str" cm="1">
        <f t="array" ref="P392">_xlfn.IFS(Deals[[#This Row],[Age]]&lt;30,"Under 30",Deals[[#This Row],[Age]]&lt;45,"30-44",TRUE,"45+")</f>
        <v>30-44</v>
      </c>
      <c r="Q392" s="21">
        <f>IF(Deals[[#This Row],[Status]]="Pending","",Deals[[#This Row],[DecisionDate]]-Deals[[#This Row],[ApplicationDate]])</f>
        <v>7</v>
      </c>
      <c r="R392" s="21">
        <f>IF(Deals[[#This Row],[Status]]="Approved",1,0)</f>
        <v>1</v>
      </c>
      <c r="S392" s="21">
        <f>IF(Deals[[#This Row],[IsApproved]]=1,Deals[[#This Row],[Amount]],0)</f>
        <v>24500</v>
      </c>
      <c r="T392" s="21">
        <f>Deals[[#This Row],[ApprovedAmount]]*Deals[[#This Row],[ProfitRate]]</f>
        <v>1501.85</v>
      </c>
    </row>
    <row r="393" spans="1:20">
      <c r="A393" s="2" t="s">
        <v>779</v>
      </c>
      <c r="B393" s="3">
        <v>46109</v>
      </c>
      <c r="C393" s="2" t="s">
        <v>503</v>
      </c>
      <c r="D393" s="2" t="s">
        <v>20</v>
      </c>
      <c r="E393" s="2" t="s">
        <v>43</v>
      </c>
      <c r="F393" s="2" t="s">
        <v>3</v>
      </c>
      <c r="G393" s="4">
        <v>39000</v>
      </c>
      <c r="H393" s="5">
        <v>7.5999999999999998E-2</v>
      </c>
      <c r="I393" s="2">
        <v>84</v>
      </c>
      <c r="J393" s="2" t="s">
        <v>44</v>
      </c>
      <c r="K393" s="2" t="s">
        <v>17</v>
      </c>
      <c r="L393" s="3">
        <v>46128</v>
      </c>
      <c r="M393" s="2" t="str">
        <f>_xlfn.XLOOKUP(Deals[[#This Row],[CustomerID]],Customers!A:A,Customers!F:F)</f>
        <v>Mass</v>
      </c>
      <c r="N393" s="2" t="str">
        <f>_xlfn.XLOOKUP(Deals[[#This Row],[CustomerID]],Customers!A:A,Customers!E:E)</f>
        <v>Kuwaiti</v>
      </c>
      <c r="O393" s="2">
        <f>2026-_xlfn.XLOOKUP(Deals[[#This Row],[CustomerID]],Customers!A:A,Customers!D:D)</f>
        <v>34</v>
      </c>
      <c r="P393" s="2" t="str" cm="1">
        <f t="array" ref="P393">_xlfn.IFS(Deals[[#This Row],[Age]]&lt;30,"Under 30",Deals[[#This Row],[Age]]&lt;45,"30-44",TRUE,"45+")</f>
        <v>30-44</v>
      </c>
      <c r="Q393" s="21">
        <f>IF(Deals[[#This Row],[Status]]="Pending","",Deals[[#This Row],[DecisionDate]]-Deals[[#This Row],[ApplicationDate]])</f>
        <v>19</v>
      </c>
      <c r="R393" s="21">
        <f>IF(Deals[[#This Row],[Status]]="Approved",1,0)</f>
        <v>1</v>
      </c>
      <c r="S393" s="21">
        <f>IF(Deals[[#This Row],[IsApproved]]=1,Deals[[#This Row],[Amount]],0)</f>
        <v>39000</v>
      </c>
      <c r="T393" s="21">
        <f>Deals[[#This Row],[ApprovedAmount]]*Deals[[#This Row],[ProfitRate]]</f>
        <v>2964</v>
      </c>
    </row>
    <row r="394" spans="1:20">
      <c r="A394" s="2" t="s">
        <v>780</v>
      </c>
      <c r="B394" s="3">
        <v>46109</v>
      </c>
      <c r="C394" s="2" t="s">
        <v>640</v>
      </c>
      <c r="D394" s="2" t="s">
        <v>54</v>
      </c>
      <c r="E394" s="2" t="s">
        <v>43</v>
      </c>
      <c r="F394" s="2" t="s">
        <v>3</v>
      </c>
      <c r="G394" s="4">
        <v>64000</v>
      </c>
      <c r="H394" s="5">
        <v>6.4399999999999999E-2</v>
      </c>
      <c r="I394" s="2">
        <v>60</v>
      </c>
      <c r="J394" s="2" t="s">
        <v>56</v>
      </c>
      <c r="K394" s="2" t="s">
        <v>17</v>
      </c>
      <c r="L394" s="3">
        <v>46124</v>
      </c>
      <c r="M394" s="2" t="str">
        <f>_xlfn.XLOOKUP(Deals[[#This Row],[CustomerID]],Customers!A:A,Customers!F:F)</f>
        <v>Affluent</v>
      </c>
      <c r="N394" s="2" t="str">
        <f>_xlfn.XLOOKUP(Deals[[#This Row],[CustomerID]],Customers!A:A,Customers!E:E)</f>
        <v>Kuwaiti</v>
      </c>
      <c r="O394" s="2">
        <f>2026-_xlfn.XLOOKUP(Deals[[#This Row],[CustomerID]],Customers!A:A,Customers!D:D)</f>
        <v>42</v>
      </c>
      <c r="P394" s="2" t="str" cm="1">
        <f t="array" ref="P394">_xlfn.IFS(Deals[[#This Row],[Age]]&lt;30,"Under 30",Deals[[#This Row],[Age]]&lt;45,"30-44",TRUE,"45+")</f>
        <v>30-44</v>
      </c>
      <c r="Q394" s="21">
        <f>IF(Deals[[#This Row],[Status]]="Pending","",Deals[[#This Row],[DecisionDate]]-Deals[[#This Row],[ApplicationDate]])</f>
        <v>15</v>
      </c>
      <c r="R394" s="21">
        <f>IF(Deals[[#This Row],[Status]]="Approved",1,0)</f>
        <v>1</v>
      </c>
      <c r="S394" s="21">
        <f>IF(Deals[[#This Row],[IsApproved]]=1,Deals[[#This Row],[Amount]],0)</f>
        <v>64000</v>
      </c>
      <c r="T394" s="21">
        <f>Deals[[#This Row],[ApprovedAmount]]*Deals[[#This Row],[ProfitRate]]</f>
        <v>4121.6000000000004</v>
      </c>
    </row>
    <row r="395" spans="1:20">
      <c r="A395" s="2" t="s">
        <v>782</v>
      </c>
      <c r="B395" s="3">
        <v>46109</v>
      </c>
      <c r="C395" s="2" t="s">
        <v>783</v>
      </c>
      <c r="D395" s="2" t="s">
        <v>54</v>
      </c>
      <c r="E395" s="2" t="s">
        <v>15</v>
      </c>
      <c r="F395" s="2" t="s">
        <v>31</v>
      </c>
      <c r="G395" s="4">
        <v>17100</v>
      </c>
      <c r="H395" s="5">
        <v>6.2799999999999995E-2</v>
      </c>
      <c r="I395" s="2">
        <v>24</v>
      </c>
      <c r="J395" s="2" t="s">
        <v>186</v>
      </c>
      <c r="K395" s="2" t="s">
        <v>17</v>
      </c>
      <c r="L395" s="3">
        <v>46116</v>
      </c>
      <c r="M395" s="2" t="str">
        <f>_xlfn.XLOOKUP(Deals[[#This Row],[CustomerID]],Customers!A:A,Customers!F:F)</f>
        <v>Affluent</v>
      </c>
      <c r="N395" s="2" t="str">
        <f>_xlfn.XLOOKUP(Deals[[#This Row],[CustomerID]],Customers!A:A,Customers!E:E)</f>
        <v>Non-Kuwaiti</v>
      </c>
      <c r="O395" s="2">
        <f>2026-_xlfn.XLOOKUP(Deals[[#This Row],[CustomerID]],Customers!A:A,Customers!D:D)</f>
        <v>34</v>
      </c>
      <c r="P395" s="2" t="str" cm="1">
        <f t="array" ref="P395">_xlfn.IFS(Deals[[#This Row],[Age]]&lt;30,"Under 30",Deals[[#This Row],[Age]]&lt;45,"30-44",TRUE,"45+")</f>
        <v>30-44</v>
      </c>
      <c r="Q395" s="21">
        <f>IF(Deals[[#This Row],[Status]]="Pending","",Deals[[#This Row],[DecisionDate]]-Deals[[#This Row],[ApplicationDate]])</f>
        <v>7</v>
      </c>
      <c r="R395" s="21">
        <f>IF(Deals[[#This Row],[Status]]="Approved",1,0)</f>
        <v>1</v>
      </c>
      <c r="S395" s="21">
        <f>IF(Deals[[#This Row],[IsApproved]]=1,Deals[[#This Row],[Amount]],0)</f>
        <v>17100</v>
      </c>
      <c r="T395" s="21">
        <f>Deals[[#This Row],[ApprovedAmount]]*Deals[[#This Row],[ProfitRate]]</f>
        <v>1073.8799999999999</v>
      </c>
    </row>
    <row r="396" spans="1:20">
      <c r="A396" s="2" t="s">
        <v>784</v>
      </c>
      <c r="B396" s="3">
        <v>46109</v>
      </c>
      <c r="C396" s="2" t="s">
        <v>139</v>
      </c>
      <c r="D396" s="2" t="s">
        <v>14</v>
      </c>
      <c r="E396" s="2" t="s">
        <v>21</v>
      </c>
      <c r="F396" s="2" t="s">
        <v>31</v>
      </c>
      <c r="G396" s="4">
        <v>134100</v>
      </c>
      <c r="H396" s="5">
        <v>3.0800000000000001E-2</v>
      </c>
      <c r="I396" s="2">
        <v>180</v>
      </c>
      <c r="J396" s="2" t="s">
        <v>16</v>
      </c>
      <c r="K396" s="2" t="s">
        <v>45</v>
      </c>
      <c r="L396" s="3">
        <v>46118</v>
      </c>
      <c r="M396" s="2" t="str">
        <f>_xlfn.XLOOKUP(Deals[[#This Row],[CustomerID]],Customers!A:A,Customers!F:F)</f>
        <v>Mass</v>
      </c>
      <c r="N396" s="2" t="str">
        <f>_xlfn.XLOOKUP(Deals[[#This Row],[CustomerID]],Customers!A:A,Customers!E:E)</f>
        <v>Kuwaiti</v>
      </c>
      <c r="O396" s="2">
        <f>2026-_xlfn.XLOOKUP(Deals[[#This Row],[CustomerID]],Customers!A:A,Customers!D:D)</f>
        <v>50</v>
      </c>
      <c r="P396" s="2" t="str" cm="1">
        <f t="array" ref="P396">_xlfn.IFS(Deals[[#This Row],[Age]]&lt;30,"Under 30",Deals[[#This Row],[Age]]&lt;45,"30-44",TRUE,"45+")</f>
        <v>45+</v>
      </c>
      <c r="Q396" s="21">
        <f>IF(Deals[[#This Row],[Status]]="Pending","",Deals[[#This Row],[DecisionDate]]-Deals[[#This Row],[ApplicationDate]])</f>
        <v>9</v>
      </c>
      <c r="R396" s="21">
        <f>IF(Deals[[#This Row],[Status]]="Approved",1,0)</f>
        <v>0</v>
      </c>
      <c r="S396" s="21">
        <f>IF(Deals[[#This Row],[IsApproved]]=1,Deals[[#This Row],[Amount]],0)</f>
        <v>0</v>
      </c>
      <c r="T396" s="21">
        <f>Deals[[#This Row],[ApprovedAmount]]*Deals[[#This Row],[ProfitRate]]</f>
        <v>0</v>
      </c>
    </row>
    <row r="397" spans="1:20">
      <c r="A397" s="2" t="s">
        <v>785</v>
      </c>
      <c r="B397" s="3">
        <v>46110</v>
      </c>
      <c r="C397" s="2" t="s">
        <v>96</v>
      </c>
      <c r="D397" s="2" t="s">
        <v>20</v>
      </c>
      <c r="E397" s="2" t="s">
        <v>15</v>
      </c>
      <c r="F397" s="2" t="s">
        <v>3</v>
      </c>
      <c r="G397" s="4">
        <v>9500</v>
      </c>
      <c r="H397" s="5">
        <v>6.8699999999999997E-2</v>
      </c>
      <c r="I397" s="2">
        <v>60</v>
      </c>
      <c r="J397" s="2" t="s">
        <v>37</v>
      </c>
      <c r="K397" s="2" t="s">
        <v>17</v>
      </c>
      <c r="L397" s="3">
        <v>46114</v>
      </c>
      <c r="M397" s="2" t="str">
        <f>_xlfn.XLOOKUP(Deals[[#This Row],[CustomerID]],Customers!A:A,Customers!F:F)</f>
        <v>Premium</v>
      </c>
      <c r="N397" s="2" t="str">
        <f>_xlfn.XLOOKUP(Deals[[#This Row],[CustomerID]],Customers!A:A,Customers!E:E)</f>
        <v>Kuwaiti</v>
      </c>
      <c r="O397" s="2">
        <f>2026-_xlfn.XLOOKUP(Deals[[#This Row],[CustomerID]],Customers!A:A,Customers!D:D)</f>
        <v>41</v>
      </c>
      <c r="P397" s="2" t="str" cm="1">
        <f t="array" ref="P397">_xlfn.IFS(Deals[[#This Row],[Age]]&lt;30,"Under 30",Deals[[#This Row],[Age]]&lt;45,"30-44",TRUE,"45+")</f>
        <v>30-44</v>
      </c>
      <c r="Q397" s="21">
        <f>IF(Deals[[#This Row],[Status]]="Pending","",Deals[[#This Row],[DecisionDate]]-Deals[[#This Row],[ApplicationDate]])</f>
        <v>4</v>
      </c>
      <c r="R397" s="21">
        <f>IF(Deals[[#This Row],[Status]]="Approved",1,0)</f>
        <v>1</v>
      </c>
      <c r="S397" s="21">
        <f>IF(Deals[[#This Row],[IsApproved]]=1,Deals[[#This Row],[Amount]],0)</f>
        <v>9500</v>
      </c>
      <c r="T397" s="21">
        <f>Deals[[#This Row],[ApprovedAmount]]*Deals[[#This Row],[ProfitRate]]</f>
        <v>652.65</v>
      </c>
    </row>
    <row r="398" spans="1:20">
      <c r="A398" s="2" t="s">
        <v>786</v>
      </c>
      <c r="B398" s="3">
        <v>46110</v>
      </c>
      <c r="C398" s="2" t="s">
        <v>120</v>
      </c>
      <c r="D398" s="2" t="s">
        <v>25</v>
      </c>
      <c r="E398" s="2" t="s">
        <v>21</v>
      </c>
      <c r="F398" s="2" t="s">
        <v>3</v>
      </c>
      <c r="G398" s="4">
        <v>209500</v>
      </c>
      <c r="H398" s="5">
        <v>3.4000000000000002E-2</v>
      </c>
      <c r="I398" s="2">
        <v>180</v>
      </c>
      <c r="J398" s="2" t="s">
        <v>181</v>
      </c>
      <c r="K398" s="2" t="s">
        <v>17</v>
      </c>
      <c r="L398" s="3">
        <v>46124</v>
      </c>
      <c r="M398" s="2" t="str">
        <f>_xlfn.XLOOKUP(Deals[[#This Row],[CustomerID]],Customers!A:A,Customers!F:F)</f>
        <v>Mass</v>
      </c>
      <c r="N398" s="2" t="str">
        <f>_xlfn.XLOOKUP(Deals[[#This Row],[CustomerID]],Customers!A:A,Customers!E:E)</f>
        <v>Kuwaiti</v>
      </c>
      <c r="O398" s="2">
        <f>2026-_xlfn.XLOOKUP(Deals[[#This Row],[CustomerID]],Customers!A:A,Customers!D:D)</f>
        <v>31</v>
      </c>
      <c r="P398" s="2" t="str" cm="1">
        <f t="array" ref="P398">_xlfn.IFS(Deals[[#This Row],[Age]]&lt;30,"Under 30",Deals[[#This Row],[Age]]&lt;45,"30-44",TRUE,"45+")</f>
        <v>30-44</v>
      </c>
      <c r="Q398" s="21">
        <f>IF(Deals[[#This Row],[Status]]="Pending","",Deals[[#This Row],[DecisionDate]]-Deals[[#This Row],[ApplicationDate]])</f>
        <v>14</v>
      </c>
      <c r="R398" s="21">
        <f>IF(Deals[[#This Row],[Status]]="Approved",1,0)</f>
        <v>1</v>
      </c>
      <c r="S398" s="21">
        <f>IF(Deals[[#This Row],[IsApproved]]=1,Deals[[#This Row],[Amount]],0)</f>
        <v>209500</v>
      </c>
      <c r="T398" s="21">
        <f>Deals[[#This Row],[ApprovedAmount]]*Deals[[#This Row],[ProfitRate]]</f>
        <v>7123.0000000000009</v>
      </c>
    </row>
    <row r="399" spans="1:20">
      <c r="A399" s="2" t="s">
        <v>787</v>
      </c>
      <c r="B399" s="3">
        <v>46110</v>
      </c>
      <c r="C399" s="2" t="s">
        <v>788</v>
      </c>
      <c r="D399" s="2" t="s">
        <v>29</v>
      </c>
      <c r="E399" s="2" t="s">
        <v>15</v>
      </c>
      <c r="F399" s="2" t="s">
        <v>3</v>
      </c>
      <c r="G399" s="4">
        <v>14200</v>
      </c>
      <c r="H399" s="5">
        <v>0.06</v>
      </c>
      <c r="I399" s="2">
        <v>24</v>
      </c>
      <c r="J399" s="2" t="s">
        <v>61</v>
      </c>
      <c r="K399" s="2" t="s">
        <v>17</v>
      </c>
      <c r="L399" s="3">
        <v>46116</v>
      </c>
      <c r="M399" s="2" t="str">
        <f>_xlfn.XLOOKUP(Deals[[#This Row],[CustomerID]],Customers!A:A,Customers!F:F)</f>
        <v>Mass</v>
      </c>
      <c r="N399" s="2" t="str">
        <f>_xlfn.XLOOKUP(Deals[[#This Row],[CustomerID]],Customers!A:A,Customers!E:E)</f>
        <v>Non-Kuwaiti</v>
      </c>
      <c r="O399" s="2">
        <f>2026-_xlfn.XLOOKUP(Deals[[#This Row],[CustomerID]],Customers!A:A,Customers!D:D)</f>
        <v>56</v>
      </c>
      <c r="P399" s="2" t="str" cm="1">
        <f t="array" ref="P399">_xlfn.IFS(Deals[[#This Row],[Age]]&lt;30,"Under 30",Deals[[#This Row],[Age]]&lt;45,"30-44",TRUE,"45+")</f>
        <v>45+</v>
      </c>
      <c r="Q399" s="21">
        <f>IF(Deals[[#This Row],[Status]]="Pending","",Deals[[#This Row],[DecisionDate]]-Deals[[#This Row],[ApplicationDate]])</f>
        <v>6</v>
      </c>
      <c r="R399" s="21">
        <f>IF(Deals[[#This Row],[Status]]="Approved",1,0)</f>
        <v>1</v>
      </c>
      <c r="S399" s="21">
        <f>IF(Deals[[#This Row],[IsApproved]]=1,Deals[[#This Row],[Amount]],0)</f>
        <v>14200</v>
      </c>
      <c r="T399" s="21">
        <f>Deals[[#This Row],[ApprovedAmount]]*Deals[[#This Row],[ProfitRate]]</f>
        <v>852</v>
      </c>
    </row>
    <row r="400" spans="1:20">
      <c r="A400" s="2" t="s">
        <v>789</v>
      </c>
      <c r="B400" s="3">
        <v>46111</v>
      </c>
      <c r="C400" s="2" t="s">
        <v>433</v>
      </c>
      <c r="D400" s="2" t="s">
        <v>20</v>
      </c>
      <c r="E400" s="2" t="s">
        <v>43</v>
      </c>
      <c r="F400" s="2" t="s">
        <v>3</v>
      </c>
      <c r="G400" s="4">
        <v>102700</v>
      </c>
      <c r="H400" s="5">
        <v>6.2E-2</v>
      </c>
      <c r="I400" s="2">
        <v>60</v>
      </c>
      <c r="J400" s="2" t="s">
        <v>44</v>
      </c>
      <c r="K400" s="2" t="s">
        <v>45</v>
      </c>
      <c r="L400" s="3">
        <v>46124</v>
      </c>
      <c r="M400" s="2" t="str">
        <f>_xlfn.XLOOKUP(Deals[[#This Row],[CustomerID]],Customers!A:A,Customers!F:F)</f>
        <v>Affluent</v>
      </c>
      <c r="N400" s="2" t="str">
        <f>_xlfn.XLOOKUP(Deals[[#This Row],[CustomerID]],Customers!A:A,Customers!E:E)</f>
        <v>Kuwaiti</v>
      </c>
      <c r="O400" s="2">
        <f>2026-_xlfn.XLOOKUP(Deals[[#This Row],[CustomerID]],Customers!A:A,Customers!D:D)</f>
        <v>40</v>
      </c>
      <c r="P400" s="2" t="str" cm="1">
        <f t="array" ref="P400">_xlfn.IFS(Deals[[#This Row],[Age]]&lt;30,"Under 30",Deals[[#This Row],[Age]]&lt;45,"30-44",TRUE,"45+")</f>
        <v>30-44</v>
      </c>
      <c r="Q400" s="21">
        <f>IF(Deals[[#This Row],[Status]]="Pending","",Deals[[#This Row],[DecisionDate]]-Deals[[#This Row],[ApplicationDate]])</f>
        <v>13</v>
      </c>
      <c r="R400" s="21">
        <f>IF(Deals[[#This Row],[Status]]="Approved",1,0)</f>
        <v>0</v>
      </c>
      <c r="S400" s="21">
        <f>IF(Deals[[#This Row],[IsApproved]]=1,Deals[[#This Row],[Amount]],0)</f>
        <v>0</v>
      </c>
      <c r="T400" s="21">
        <f>Deals[[#This Row],[ApprovedAmount]]*Deals[[#This Row],[ProfitRate]]</f>
        <v>0</v>
      </c>
    </row>
    <row r="401" spans="1:20">
      <c r="A401" s="2" t="s">
        <v>790</v>
      </c>
      <c r="B401" s="3">
        <v>46111</v>
      </c>
      <c r="C401" s="2" t="s">
        <v>791</v>
      </c>
      <c r="D401" s="2" t="s">
        <v>14</v>
      </c>
      <c r="E401" s="2" t="s">
        <v>15</v>
      </c>
      <c r="F401" s="2" t="s">
        <v>3</v>
      </c>
      <c r="G401" s="4">
        <v>18900</v>
      </c>
      <c r="H401" s="5">
        <v>5.2200000000000003E-2</v>
      </c>
      <c r="I401" s="2">
        <v>48</v>
      </c>
      <c r="J401" s="2" t="s">
        <v>16</v>
      </c>
      <c r="K401" s="2" t="s">
        <v>17</v>
      </c>
      <c r="L401" s="3">
        <v>46113</v>
      </c>
      <c r="M401" s="2" t="str">
        <f>_xlfn.XLOOKUP(Deals[[#This Row],[CustomerID]],Customers!A:A,Customers!F:F)</f>
        <v>Mass</v>
      </c>
      <c r="N401" s="2" t="str">
        <f>_xlfn.XLOOKUP(Deals[[#This Row],[CustomerID]],Customers!A:A,Customers!E:E)</f>
        <v>Kuwaiti</v>
      </c>
      <c r="O401" s="2">
        <f>2026-_xlfn.XLOOKUP(Deals[[#This Row],[CustomerID]],Customers!A:A,Customers!D:D)</f>
        <v>33</v>
      </c>
      <c r="P401" s="2" t="str" cm="1">
        <f t="array" ref="P401">_xlfn.IFS(Deals[[#This Row],[Age]]&lt;30,"Under 30",Deals[[#This Row],[Age]]&lt;45,"30-44",TRUE,"45+")</f>
        <v>30-44</v>
      </c>
      <c r="Q401" s="21">
        <f>IF(Deals[[#This Row],[Status]]="Pending","",Deals[[#This Row],[DecisionDate]]-Deals[[#This Row],[ApplicationDate]])</f>
        <v>2</v>
      </c>
      <c r="R401" s="21">
        <f>IF(Deals[[#This Row],[Status]]="Approved",1,0)</f>
        <v>1</v>
      </c>
      <c r="S401" s="21">
        <f>IF(Deals[[#This Row],[IsApproved]]=1,Deals[[#This Row],[Amount]],0)</f>
        <v>18900</v>
      </c>
      <c r="T401" s="21">
        <f>Deals[[#This Row],[ApprovedAmount]]*Deals[[#This Row],[ProfitRate]]</f>
        <v>986.58</v>
      </c>
    </row>
    <row r="402" spans="1:20">
      <c r="A402" s="2" t="s">
        <v>792</v>
      </c>
      <c r="B402" s="3">
        <v>46111</v>
      </c>
      <c r="C402" s="2" t="s">
        <v>793</v>
      </c>
      <c r="D402" s="2" t="s">
        <v>20</v>
      </c>
      <c r="E402" s="2" t="s">
        <v>21</v>
      </c>
      <c r="F402" s="2" t="s">
        <v>3</v>
      </c>
      <c r="G402" s="4">
        <v>114000</v>
      </c>
      <c r="H402" s="5">
        <v>4.48E-2</v>
      </c>
      <c r="I402" s="2">
        <v>240</v>
      </c>
      <c r="J402" s="2" t="s">
        <v>37</v>
      </c>
      <c r="K402" s="2" t="s">
        <v>45</v>
      </c>
      <c r="L402" s="3">
        <v>46133</v>
      </c>
      <c r="M402" s="2" t="str">
        <f>_xlfn.XLOOKUP(Deals[[#This Row],[CustomerID]],Customers!A:A,Customers!F:F)</f>
        <v>Mass</v>
      </c>
      <c r="N402" s="2" t="str">
        <f>_xlfn.XLOOKUP(Deals[[#This Row],[CustomerID]],Customers!A:A,Customers!E:E)</f>
        <v>Non-Kuwaiti</v>
      </c>
      <c r="O402" s="2">
        <f>2026-_xlfn.XLOOKUP(Deals[[#This Row],[CustomerID]],Customers!A:A,Customers!D:D)</f>
        <v>22</v>
      </c>
      <c r="P402" s="2" t="str" cm="1">
        <f t="array" ref="P402">_xlfn.IFS(Deals[[#This Row],[Age]]&lt;30,"Under 30",Deals[[#This Row],[Age]]&lt;45,"30-44",TRUE,"45+")</f>
        <v>Under 30</v>
      </c>
      <c r="Q402" s="21">
        <f>IF(Deals[[#This Row],[Status]]="Pending","",Deals[[#This Row],[DecisionDate]]-Deals[[#This Row],[ApplicationDate]])</f>
        <v>22</v>
      </c>
      <c r="R402" s="21">
        <f>IF(Deals[[#This Row],[Status]]="Approved",1,0)</f>
        <v>0</v>
      </c>
      <c r="S402" s="21">
        <f>IF(Deals[[#This Row],[IsApproved]]=1,Deals[[#This Row],[Amount]],0)</f>
        <v>0</v>
      </c>
      <c r="T402" s="21">
        <f>Deals[[#This Row],[ApprovedAmount]]*Deals[[#This Row],[ProfitRate]]</f>
        <v>0</v>
      </c>
    </row>
    <row r="403" spans="1:20">
      <c r="A403" s="2" t="s">
        <v>794</v>
      </c>
      <c r="B403" s="3">
        <v>46111</v>
      </c>
      <c r="C403" s="2" t="s">
        <v>295</v>
      </c>
      <c r="D403" s="2" t="s">
        <v>25</v>
      </c>
      <c r="E403" s="2" t="s">
        <v>15</v>
      </c>
      <c r="F403" s="2" t="s">
        <v>3</v>
      </c>
      <c r="G403" s="4">
        <v>19900</v>
      </c>
      <c r="H403" s="5">
        <v>5.5300000000000002E-2</v>
      </c>
      <c r="I403" s="2">
        <v>36</v>
      </c>
      <c r="J403" s="2" t="s">
        <v>66</v>
      </c>
      <c r="K403" s="2" t="s">
        <v>17</v>
      </c>
      <c r="L403" s="3">
        <v>46114</v>
      </c>
      <c r="M403" s="2" t="str">
        <f>_xlfn.XLOOKUP(Deals[[#This Row],[CustomerID]],Customers!A:A,Customers!F:F)</f>
        <v>Affluent</v>
      </c>
      <c r="N403" s="2" t="str">
        <f>_xlfn.XLOOKUP(Deals[[#This Row],[CustomerID]],Customers!A:A,Customers!E:E)</f>
        <v>Kuwaiti</v>
      </c>
      <c r="O403" s="2">
        <f>2026-_xlfn.XLOOKUP(Deals[[#This Row],[CustomerID]],Customers!A:A,Customers!D:D)</f>
        <v>56</v>
      </c>
      <c r="P403" s="2" t="str" cm="1">
        <f t="array" ref="P403">_xlfn.IFS(Deals[[#This Row],[Age]]&lt;30,"Under 30",Deals[[#This Row],[Age]]&lt;45,"30-44",TRUE,"45+")</f>
        <v>45+</v>
      </c>
      <c r="Q403" s="21">
        <f>IF(Deals[[#This Row],[Status]]="Pending","",Deals[[#This Row],[DecisionDate]]-Deals[[#This Row],[ApplicationDate]])</f>
        <v>3</v>
      </c>
      <c r="R403" s="21">
        <f>IF(Deals[[#This Row],[Status]]="Approved",1,0)</f>
        <v>1</v>
      </c>
      <c r="S403" s="21">
        <f>IF(Deals[[#This Row],[IsApproved]]=1,Deals[[#This Row],[Amount]],0)</f>
        <v>19900</v>
      </c>
      <c r="T403" s="21">
        <f>Deals[[#This Row],[ApprovedAmount]]*Deals[[#This Row],[ProfitRate]]</f>
        <v>1100.47</v>
      </c>
    </row>
    <row r="404" spans="1:20">
      <c r="A404" s="2" t="s">
        <v>795</v>
      </c>
      <c r="B404" s="3">
        <v>46111</v>
      </c>
      <c r="C404" s="2" t="s">
        <v>796</v>
      </c>
      <c r="D404" s="2" t="s">
        <v>20</v>
      </c>
      <c r="E404" s="2" t="s">
        <v>15</v>
      </c>
      <c r="F404" s="2" t="s">
        <v>55</v>
      </c>
      <c r="G404" s="4">
        <v>21900</v>
      </c>
      <c r="H404" s="5">
        <v>6.9599999999999995E-2</v>
      </c>
      <c r="I404" s="2">
        <v>48</v>
      </c>
      <c r="J404" s="2" t="s">
        <v>37</v>
      </c>
      <c r="K404" s="2" t="s">
        <v>45</v>
      </c>
      <c r="L404" s="3">
        <v>46114</v>
      </c>
      <c r="M404" s="2" t="str">
        <f>_xlfn.XLOOKUP(Deals[[#This Row],[CustomerID]],Customers!A:A,Customers!F:F)</f>
        <v>Mass</v>
      </c>
      <c r="N404" s="2" t="str">
        <f>_xlfn.XLOOKUP(Deals[[#This Row],[CustomerID]],Customers!A:A,Customers!E:E)</f>
        <v>Non-Kuwaiti</v>
      </c>
      <c r="O404" s="2">
        <f>2026-_xlfn.XLOOKUP(Deals[[#This Row],[CustomerID]],Customers!A:A,Customers!D:D)</f>
        <v>61</v>
      </c>
      <c r="P404" s="2" t="str" cm="1">
        <f t="array" ref="P404">_xlfn.IFS(Deals[[#This Row],[Age]]&lt;30,"Under 30",Deals[[#This Row],[Age]]&lt;45,"30-44",TRUE,"45+")</f>
        <v>45+</v>
      </c>
      <c r="Q404" s="21">
        <f>IF(Deals[[#This Row],[Status]]="Pending","",Deals[[#This Row],[DecisionDate]]-Deals[[#This Row],[ApplicationDate]])</f>
        <v>3</v>
      </c>
      <c r="R404" s="21">
        <f>IF(Deals[[#This Row],[Status]]="Approved",1,0)</f>
        <v>0</v>
      </c>
      <c r="S404" s="21">
        <f>IF(Deals[[#This Row],[IsApproved]]=1,Deals[[#This Row],[Amount]],0)</f>
        <v>0</v>
      </c>
      <c r="T404" s="21">
        <f>Deals[[#This Row],[ApprovedAmount]]*Deals[[#This Row],[ProfitRate]]</f>
        <v>0</v>
      </c>
    </row>
    <row r="405" spans="1:20">
      <c r="A405" s="2" t="s">
        <v>797</v>
      </c>
      <c r="B405" s="3">
        <v>46111</v>
      </c>
      <c r="C405" s="2" t="s">
        <v>798</v>
      </c>
      <c r="D405" s="2" t="s">
        <v>29</v>
      </c>
      <c r="E405" s="2" t="s">
        <v>43</v>
      </c>
      <c r="F405" s="2" t="s">
        <v>55</v>
      </c>
      <c r="G405" s="4">
        <v>67100</v>
      </c>
      <c r="H405" s="5">
        <v>7.5499999999999998E-2</v>
      </c>
      <c r="I405" s="2">
        <v>36</v>
      </c>
      <c r="J405" s="2" t="s">
        <v>61</v>
      </c>
      <c r="K405" s="2" t="s">
        <v>17</v>
      </c>
      <c r="L405" s="3">
        <v>46127</v>
      </c>
      <c r="M405" s="2" t="str">
        <f>_xlfn.XLOOKUP(Deals[[#This Row],[CustomerID]],Customers!A:A,Customers!F:F)</f>
        <v>Mass</v>
      </c>
      <c r="N405" s="2" t="str">
        <f>_xlfn.XLOOKUP(Deals[[#This Row],[CustomerID]],Customers!A:A,Customers!E:E)</f>
        <v>Kuwaiti</v>
      </c>
      <c r="O405" s="2">
        <f>2026-_xlfn.XLOOKUP(Deals[[#This Row],[CustomerID]],Customers!A:A,Customers!D:D)</f>
        <v>30</v>
      </c>
      <c r="P405" s="2" t="str" cm="1">
        <f t="array" ref="P405">_xlfn.IFS(Deals[[#This Row],[Age]]&lt;30,"Under 30",Deals[[#This Row],[Age]]&lt;45,"30-44",TRUE,"45+")</f>
        <v>30-44</v>
      </c>
      <c r="Q405" s="21">
        <f>IF(Deals[[#This Row],[Status]]="Pending","",Deals[[#This Row],[DecisionDate]]-Deals[[#This Row],[ApplicationDate]])</f>
        <v>16</v>
      </c>
      <c r="R405" s="21">
        <f>IF(Deals[[#This Row],[Status]]="Approved",1,0)</f>
        <v>1</v>
      </c>
      <c r="S405" s="21">
        <f>IF(Deals[[#This Row],[IsApproved]]=1,Deals[[#This Row],[Amount]],0)</f>
        <v>67100</v>
      </c>
      <c r="T405" s="21">
        <f>Deals[[#This Row],[ApprovedAmount]]*Deals[[#This Row],[ProfitRate]]</f>
        <v>5066.05</v>
      </c>
    </row>
    <row r="406" spans="1:20">
      <c r="A406" s="2" t="s">
        <v>799</v>
      </c>
      <c r="B406" s="3">
        <v>46112</v>
      </c>
      <c r="C406" s="2" t="s">
        <v>800</v>
      </c>
      <c r="D406" s="2" t="s">
        <v>14</v>
      </c>
      <c r="E406" s="2" t="s">
        <v>15</v>
      </c>
      <c r="F406" s="2" t="s">
        <v>3</v>
      </c>
      <c r="G406" s="4">
        <v>10100</v>
      </c>
      <c r="H406" s="5">
        <v>6.4399999999999999E-2</v>
      </c>
      <c r="I406" s="2">
        <v>36</v>
      </c>
      <c r="J406" s="2" t="s">
        <v>16</v>
      </c>
      <c r="K406" s="2" t="s">
        <v>17</v>
      </c>
      <c r="L406" s="3">
        <v>46118</v>
      </c>
      <c r="M406" s="2" t="str">
        <f>_xlfn.XLOOKUP(Deals[[#This Row],[CustomerID]],Customers!A:A,Customers!F:F)</f>
        <v>Mass</v>
      </c>
      <c r="N406" s="2" t="str">
        <f>_xlfn.XLOOKUP(Deals[[#This Row],[CustomerID]],Customers!A:A,Customers!E:E)</f>
        <v>Kuwaiti</v>
      </c>
      <c r="O406" s="2">
        <f>2026-_xlfn.XLOOKUP(Deals[[#This Row],[CustomerID]],Customers!A:A,Customers!D:D)</f>
        <v>50</v>
      </c>
      <c r="P406" s="2" t="str" cm="1">
        <f t="array" ref="P406">_xlfn.IFS(Deals[[#This Row],[Age]]&lt;30,"Under 30",Deals[[#This Row],[Age]]&lt;45,"30-44",TRUE,"45+")</f>
        <v>45+</v>
      </c>
      <c r="Q406" s="21">
        <f>IF(Deals[[#This Row],[Status]]="Pending","",Deals[[#This Row],[DecisionDate]]-Deals[[#This Row],[ApplicationDate]])</f>
        <v>6</v>
      </c>
      <c r="R406" s="21">
        <f>IF(Deals[[#This Row],[Status]]="Approved",1,0)</f>
        <v>1</v>
      </c>
      <c r="S406" s="21">
        <f>IF(Deals[[#This Row],[IsApproved]]=1,Deals[[#This Row],[Amount]],0)</f>
        <v>10100</v>
      </c>
      <c r="T406" s="21">
        <f>Deals[[#This Row],[ApprovedAmount]]*Deals[[#This Row],[ProfitRate]]</f>
        <v>650.43999999999994</v>
      </c>
    </row>
    <row r="407" spans="1:20">
      <c r="A407" s="2" t="s">
        <v>801</v>
      </c>
      <c r="B407" s="3">
        <v>46112</v>
      </c>
      <c r="C407" s="2" t="s">
        <v>322</v>
      </c>
      <c r="D407" s="2" t="s">
        <v>14</v>
      </c>
      <c r="E407" s="2" t="s">
        <v>15</v>
      </c>
      <c r="F407" s="2" t="s">
        <v>31</v>
      </c>
      <c r="G407" s="4">
        <v>10700</v>
      </c>
      <c r="H407" s="5">
        <v>6.0499999999999998E-2</v>
      </c>
      <c r="I407" s="2">
        <v>12</v>
      </c>
      <c r="J407" s="2" t="s">
        <v>16</v>
      </c>
      <c r="K407" s="2" t="s">
        <v>17</v>
      </c>
      <c r="L407" s="3">
        <v>46119</v>
      </c>
      <c r="M407" s="2" t="str">
        <f>_xlfn.XLOOKUP(Deals[[#This Row],[CustomerID]],Customers!A:A,Customers!F:F)</f>
        <v>Affluent</v>
      </c>
      <c r="N407" s="2" t="str">
        <f>_xlfn.XLOOKUP(Deals[[#This Row],[CustomerID]],Customers!A:A,Customers!E:E)</f>
        <v>Kuwaiti</v>
      </c>
      <c r="O407" s="2">
        <f>2026-_xlfn.XLOOKUP(Deals[[#This Row],[CustomerID]],Customers!A:A,Customers!D:D)</f>
        <v>35</v>
      </c>
      <c r="P407" s="2" t="str" cm="1">
        <f t="array" ref="P407">_xlfn.IFS(Deals[[#This Row],[Age]]&lt;30,"Under 30",Deals[[#This Row],[Age]]&lt;45,"30-44",TRUE,"45+")</f>
        <v>30-44</v>
      </c>
      <c r="Q407" s="21">
        <f>IF(Deals[[#This Row],[Status]]="Pending","",Deals[[#This Row],[DecisionDate]]-Deals[[#This Row],[ApplicationDate]])</f>
        <v>7</v>
      </c>
      <c r="R407" s="21">
        <f>IF(Deals[[#This Row],[Status]]="Approved",1,0)</f>
        <v>1</v>
      </c>
      <c r="S407" s="21">
        <f>IF(Deals[[#This Row],[IsApproved]]=1,Deals[[#This Row],[Amount]],0)</f>
        <v>10700</v>
      </c>
      <c r="T407" s="21">
        <f>Deals[[#This Row],[ApprovedAmount]]*Deals[[#This Row],[ProfitRate]]</f>
        <v>647.35</v>
      </c>
    </row>
    <row r="408" spans="1:20">
      <c r="A408" s="2" t="s">
        <v>802</v>
      </c>
      <c r="B408" s="3">
        <v>46112</v>
      </c>
      <c r="C408" s="2" t="s">
        <v>803</v>
      </c>
      <c r="D408" s="2" t="s">
        <v>14</v>
      </c>
      <c r="E408" s="2" t="s">
        <v>43</v>
      </c>
      <c r="F408" s="2" t="s">
        <v>3</v>
      </c>
      <c r="G408" s="4">
        <v>148900</v>
      </c>
      <c r="H408" s="5">
        <v>5.57E-2</v>
      </c>
      <c r="I408" s="2">
        <v>60</v>
      </c>
      <c r="J408" s="2" t="s">
        <v>40</v>
      </c>
      <c r="K408" s="2" t="s">
        <v>17</v>
      </c>
      <c r="L408" s="3">
        <v>46129</v>
      </c>
      <c r="M408" s="2" t="str">
        <f>_xlfn.XLOOKUP(Deals[[#This Row],[CustomerID]],Customers!A:A,Customers!F:F)</f>
        <v>Affluent</v>
      </c>
      <c r="N408" s="2" t="str">
        <f>_xlfn.XLOOKUP(Deals[[#This Row],[CustomerID]],Customers!A:A,Customers!E:E)</f>
        <v>Kuwaiti</v>
      </c>
      <c r="O408" s="2">
        <f>2026-_xlfn.XLOOKUP(Deals[[#This Row],[CustomerID]],Customers!A:A,Customers!D:D)</f>
        <v>23</v>
      </c>
      <c r="P408" s="2" t="str" cm="1">
        <f t="array" ref="P408">_xlfn.IFS(Deals[[#This Row],[Age]]&lt;30,"Under 30",Deals[[#This Row],[Age]]&lt;45,"30-44",TRUE,"45+")</f>
        <v>Under 30</v>
      </c>
      <c r="Q408" s="21">
        <f>IF(Deals[[#This Row],[Status]]="Pending","",Deals[[#This Row],[DecisionDate]]-Deals[[#This Row],[ApplicationDate]])</f>
        <v>17</v>
      </c>
      <c r="R408" s="21">
        <f>IF(Deals[[#This Row],[Status]]="Approved",1,0)</f>
        <v>1</v>
      </c>
      <c r="S408" s="21">
        <f>IF(Deals[[#This Row],[IsApproved]]=1,Deals[[#This Row],[Amount]],0)</f>
        <v>148900</v>
      </c>
      <c r="T408" s="21">
        <f>Deals[[#This Row],[ApprovedAmount]]*Deals[[#This Row],[ProfitRate]]</f>
        <v>8293.73</v>
      </c>
    </row>
    <row r="409" spans="1:20">
      <c r="A409" s="2" t="s">
        <v>804</v>
      </c>
      <c r="B409" s="3">
        <v>46112</v>
      </c>
      <c r="C409" s="2" t="s">
        <v>805</v>
      </c>
      <c r="D409" s="2" t="s">
        <v>71</v>
      </c>
      <c r="E409" s="2" t="s">
        <v>15</v>
      </c>
      <c r="F409" s="2" t="s">
        <v>3</v>
      </c>
      <c r="G409" s="4">
        <v>25000</v>
      </c>
      <c r="H409" s="5">
        <v>5.57E-2</v>
      </c>
      <c r="I409" s="2">
        <v>60</v>
      </c>
      <c r="J409" s="2" t="s">
        <v>72</v>
      </c>
      <c r="K409" s="2" t="s">
        <v>17</v>
      </c>
      <c r="L409" s="3">
        <v>46119</v>
      </c>
      <c r="M409" s="2" t="str">
        <f>_xlfn.XLOOKUP(Deals[[#This Row],[CustomerID]],Customers!A:A,Customers!F:F)</f>
        <v>Premium</v>
      </c>
      <c r="N409" s="2" t="str">
        <f>_xlfn.XLOOKUP(Deals[[#This Row],[CustomerID]],Customers!A:A,Customers!E:E)</f>
        <v>Kuwaiti</v>
      </c>
      <c r="O409" s="2">
        <f>2026-_xlfn.XLOOKUP(Deals[[#This Row],[CustomerID]],Customers!A:A,Customers!D:D)</f>
        <v>25</v>
      </c>
      <c r="P409" s="2" t="str" cm="1">
        <f t="array" ref="P409">_xlfn.IFS(Deals[[#This Row],[Age]]&lt;30,"Under 30",Deals[[#This Row],[Age]]&lt;45,"30-44",TRUE,"45+")</f>
        <v>Under 30</v>
      </c>
      <c r="Q409" s="21">
        <f>IF(Deals[[#This Row],[Status]]="Pending","",Deals[[#This Row],[DecisionDate]]-Deals[[#This Row],[ApplicationDate]])</f>
        <v>7</v>
      </c>
      <c r="R409" s="21">
        <f>IF(Deals[[#This Row],[Status]]="Approved",1,0)</f>
        <v>1</v>
      </c>
      <c r="S409" s="21">
        <f>IF(Deals[[#This Row],[IsApproved]]=1,Deals[[#This Row],[Amount]],0)</f>
        <v>25000</v>
      </c>
      <c r="T409" s="21">
        <f>Deals[[#This Row],[ApprovedAmount]]*Deals[[#This Row],[ProfitRate]]</f>
        <v>1392.5</v>
      </c>
    </row>
    <row r="410" spans="1:20">
      <c r="A410" s="2" t="s">
        <v>806</v>
      </c>
      <c r="B410" s="3">
        <v>46113</v>
      </c>
      <c r="C410" s="2" t="s">
        <v>807</v>
      </c>
      <c r="D410" s="2" t="s">
        <v>25</v>
      </c>
      <c r="E410" s="2" t="s">
        <v>15</v>
      </c>
      <c r="F410" s="2" t="s">
        <v>55</v>
      </c>
      <c r="G410" s="4">
        <v>12200</v>
      </c>
      <c r="H410" s="5">
        <v>5.1999999999999998E-2</v>
      </c>
      <c r="I410" s="2">
        <v>12</v>
      </c>
      <c r="J410" s="2" t="s">
        <v>26</v>
      </c>
      <c r="K410" s="2" t="s">
        <v>45</v>
      </c>
      <c r="L410" s="3">
        <v>46118</v>
      </c>
      <c r="M410" s="2" t="str">
        <f>_xlfn.XLOOKUP(Deals[[#This Row],[CustomerID]],Customers!A:A,Customers!F:F)</f>
        <v>Mass</v>
      </c>
      <c r="N410" s="2" t="str">
        <f>_xlfn.XLOOKUP(Deals[[#This Row],[CustomerID]],Customers!A:A,Customers!E:E)</f>
        <v>Kuwaiti</v>
      </c>
      <c r="O410" s="2">
        <f>2026-_xlfn.XLOOKUP(Deals[[#This Row],[CustomerID]],Customers!A:A,Customers!D:D)</f>
        <v>33</v>
      </c>
      <c r="P410" s="2" t="str" cm="1">
        <f t="array" ref="P410">_xlfn.IFS(Deals[[#This Row],[Age]]&lt;30,"Under 30",Deals[[#This Row],[Age]]&lt;45,"30-44",TRUE,"45+")</f>
        <v>30-44</v>
      </c>
      <c r="Q410" s="21">
        <f>IF(Deals[[#This Row],[Status]]="Pending","",Deals[[#This Row],[DecisionDate]]-Deals[[#This Row],[ApplicationDate]])</f>
        <v>5</v>
      </c>
      <c r="R410" s="21">
        <f>IF(Deals[[#This Row],[Status]]="Approved",1,0)</f>
        <v>0</v>
      </c>
      <c r="S410" s="21">
        <f>IF(Deals[[#This Row],[IsApproved]]=1,Deals[[#This Row],[Amount]],0)</f>
        <v>0</v>
      </c>
      <c r="T410" s="21">
        <f>Deals[[#This Row],[ApprovedAmount]]*Deals[[#This Row],[ProfitRate]]</f>
        <v>0</v>
      </c>
    </row>
    <row r="411" spans="1:20">
      <c r="A411" s="2" t="s">
        <v>808</v>
      </c>
      <c r="B411" s="3">
        <v>46113</v>
      </c>
      <c r="C411" s="2" t="s">
        <v>809</v>
      </c>
      <c r="D411" s="2" t="s">
        <v>71</v>
      </c>
      <c r="E411" s="2" t="s">
        <v>15</v>
      </c>
      <c r="F411" s="2" t="s">
        <v>31</v>
      </c>
      <c r="G411" s="4">
        <v>7900</v>
      </c>
      <c r="H411" s="5">
        <v>5.8099999999999999E-2</v>
      </c>
      <c r="I411" s="2">
        <v>24</v>
      </c>
      <c r="J411" s="2" t="s">
        <v>101</v>
      </c>
      <c r="K411" s="2" t="s">
        <v>17</v>
      </c>
      <c r="L411" s="3">
        <v>46118</v>
      </c>
      <c r="M411" s="2" t="str">
        <f>_xlfn.XLOOKUP(Deals[[#This Row],[CustomerID]],Customers!A:A,Customers!F:F)</f>
        <v>Mass</v>
      </c>
      <c r="N411" s="2" t="str">
        <f>_xlfn.XLOOKUP(Deals[[#This Row],[CustomerID]],Customers!A:A,Customers!E:E)</f>
        <v>Non-Kuwaiti</v>
      </c>
      <c r="O411" s="2">
        <f>2026-_xlfn.XLOOKUP(Deals[[#This Row],[CustomerID]],Customers!A:A,Customers!D:D)</f>
        <v>40</v>
      </c>
      <c r="P411" s="2" t="str" cm="1">
        <f t="array" ref="P411">_xlfn.IFS(Deals[[#This Row],[Age]]&lt;30,"Under 30",Deals[[#This Row],[Age]]&lt;45,"30-44",TRUE,"45+")</f>
        <v>30-44</v>
      </c>
      <c r="Q411" s="21">
        <f>IF(Deals[[#This Row],[Status]]="Pending","",Deals[[#This Row],[DecisionDate]]-Deals[[#This Row],[ApplicationDate]])</f>
        <v>5</v>
      </c>
      <c r="R411" s="21">
        <f>IF(Deals[[#This Row],[Status]]="Approved",1,0)</f>
        <v>1</v>
      </c>
      <c r="S411" s="21">
        <f>IF(Deals[[#This Row],[IsApproved]]=1,Deals[[#This Row],[Amount]],0)</f>
        <v>7900</v>
      </c>
      <c r="T411" s="21">
        <f>Deals[[#This Row],[ApprovedAmount]]*Deals[[#This Row],[ProfitRate]]</f>
        <v>458.99</v>
      </c>
    </row>
    <row r="412" spans="1:20">
      <c r="A412" s="2" t="s">
        <v>810</v>
      </c>
      <c r="B412" s="3">
        <v>46113</v>
      </c>
      <c r="C412" s="2" t="s">
        <v>811</v>
      </c>
      <c r="D412" s="2" t="s">
        <v>29</v>
      </c>
      <c r="E412" s="2" t="s">
        <v>43</v>
      </c>
      <c r="F412" s="2" t="s">
        <v>3</v>
      </c>
      <c r="G412" s="4">
        <v>67700</v>
      </c>
      <c r="H412" s="5">
        <v>6.4199999999999993E-2</v>
      </c>
      <c r="I412" s="2">
        <v>84</v>
      </c>
      <c r="J412" s="2" t="s">
        <v>32</v>
      </c>
      <c r="K412" s="2" t="s">
        <v>17</v>
      </c>
      <c r="L412" s="3">
        <v>46125</v>
      </c>
      <c r="M412" s="2" t="str">
        <f>_xlfn.XLOOKUP(Deals[[#This Row],[CustomerID]],Customers!A:A,Customers!F:F)</f>
        <v>Affluent</v>
      </c>
      <c r="N412" s="2" t="str">
        <f>_xlfn.XLOOKUP(Deals[[#This Row],[CustomerID]],Customers!A:A,Customers!E:E)</f>
        <v>Kuwaiti</v>
      </c>
      <c r="O412" s="2">
        <f>2026-_xlfn.XLOOKUP(Deals[[#This Row],[CustomerID]],Customers!A:A,Customers!D:D)</f>
        <v>33</v>
      </c>
      <c r="P412" s="2" t="str" cm="1">
        <f t="array" ref="P412">_xlfn.IFS(Deals[[#This Row],[Age]]&lt;30,"Under 30",Deals[[#This Row],[Age]]&lt;45,"30-44",TRUE,"45+")</f>
        <v>30-44</v>
      </c>
      <c r="Q412" s="21">
        <f>IF(Deals[[#This Row],[Status]]="Pending","",Deals[[#This Row],[DecisionDate]]-Deals[[#This Row],[ApplicationDate]])</f>
        <v>12</v>
      </c>
      <c r="R412" s="21">
        <f>IF(Deals[[#This Row],[Status]]="Approved",1,0)</f>
        <v>1</v>
      </c>
      <c r="S412" s="21">
        <f>IF(Deals[[#This Row],[IsApproved]]=1,Deals[[#This Row],[Amount]],0)</f>
        <v>67700</v>
      </c>
      <c r="T412" s="21">
        <f>Deals[[#This Row],[ApprovedAmount]]*Deals[[#This Row],[ProfitRate]]</f>
        <v>4346.3399999999992</v>
      </c>
    </row>
    <row r="413" spans="1:20">
      <c r="A413" s="2" t="s">
        <v>812</v>
      </c>
      <c r="B413" s="3">
        <v>46113</v>
      </c>
      <c r="C413" s="2" t="s">
        <v>813</v>
      </c>
      <c r="D413" s="2" t="s">
        <v>25</v>
      </c>
      <c r="E413" s="2" t="s">
        <v>30</v>
      </c>
      <c r="F413" s="2" t="s">
        <v>3</v>
      </c>
      <c r="G413" s="4">
        <v>12000</v>
      </c>
      <c r="H413" s="5">
        <v>4.1700000000000001E-2</v>
      </c>
      <c r="I413" s="2">
        <v>36</v>
      </c>
      <c r="J413" s="2" t="s">
        <v>181</v>
      </c>
      <c r="K413" s="2" t="s">
        <v>17</v>
      </c>
      <c r="L413" s="3">
        <v>46116</v>
      </c>
      <c r="M413" s="2" t="str">
        <f>_xlfn.XLOOKUP(Deals[[#This Row],[CustomerID]],Customers!A:A,Customers!F:F)</f>
        <v>Mass</v>
      </c>
      <c r="N413" s="2" t="str">
        <f>_xlfn.XLOOKUP(Deals[[#This Row],[CustomerID]],Customers!A:A,Customers!E:E)</f>
        <v>Kuwaiti</v>
      </c>
      <c r="O413" s="2">
        <f>2026-_xlfn.XLOOKUP(Deals[[#This Row],[CustomerID]],Customers!A:A,Customers!D:D)</f>
        <v>61</v>
      </c>
      <c r="P413" s="2" t="str" cm="1">
        <f t="array" ref="P413">_xlfn.IFS(Deals[[#This Row],[Age]]&lt;30,"Under 30",Deals[[#This Row],[Age]]&lt;45,"30-44",TRUE,"45+")</f>
        <v>45+</v>
      </c>
      <c r="Q413" s="21">
        <f>IF(Deals[[#This Row],[Status]]="Pending","",Deals[[#This Row],[DecisionDate]]-Deals[[#This Row],[ApplicationDate]])</f>
        <v>3</v>
      </c>
      <c r="R413" s="21">
        <f>IF(Deals[[#This Row],[Status]]="Approved",1,0)</f>
        <v>1</v>
      </c>
      <c r="S413" s="21">
        <f>IF(Deals[[#This Row],[IsApproved]]=1,Deals[[#This Row],[Amount]],0)</f>
        <v>12000</v>
      </c>
      <c r="T413" s="21">
        <f>Deals[[#This Row],[ApprovedAmount]]*Deals[[#This Row],[ProfitRate]]</f>
        <v>500.40000000000003</v>
      </c>
    </row>
    <row r="414" spans="1:20">
      <c r="A414" s="2" t="s">
        <v>814</v>
      </c>
      <c r="B414" s="3">
        <v>46113</v>
      </c>
      <c r="C414" s="2" t="s">
        <v>278</v>
      </c>
      <c r="D414" s="2" t="s">
        <v>25</v>
      </c>
      <c r="E414" s="2" t="s">
        <v>43</v>
      </c>
      <c r="F414" s="2" t="s">
        <v>3</v>
      </c>
      <c r="G414" s="4">
        <v>146100</v>
      </c>
      <c r="H414" s="5">
        <v>5.96E-2</v>
      </c>
      <c r="I414" s="2">
        <v>24</v>
      </c>
      <c r="J414" s="2" t="s">
        <v>26</v>
      </c>
      <c r="K414" s="2" t="s">
        <v>17</v>
      </c>
      <c r="L414" s="3">
        <v>46126</v>
      </c>
      <c r="M414" s="2" t="str">
        <f>_xlfn.XLOOKUP(Deals[[#This Row],[CustomerID]],Customers!A:A,Customers!F:F)</f>
        <v>Affluent</v>
      </c>
      <c r="N414" s="2" t="str">
        <f>_xlfn.XLOOKUP(Deals[[#This Row],[CustomerID]],Customers!A:A,Customers!E:E)</f>
        <v>Kuwaiti</v>
      </c>
      <c r="O414" s="2">
        <f>2026-_xlfn.XLOOKUP(Deals[[#This Row],[CustomerID]],Customers!A:A,Customers!D:D)</f>
        <v>26</v>
      </c>
      <c r="P414" s="2" t="str" cm="1">
        <f t="array" ref="P414">_xlfn.IFS(Deals[[#This Row],[Age]]&lt;30,"Under 30",Deals[[#This Row],[Age]]&lt;45,"30-44",TRUE,"45+")</f>
        <v>Under 30</v>
      </c>
      <c r="Q414" s="21">
        <f>IF(Deals[[#This Row],[Status]]="Pending","",Deals[[#This Row],[DecisionDate]]-Deals[[#This Row],[ApplicationDate]])</f>
        <v>13</v>
      </c>
      <c r="R414" s="21">
        <f>IF(Deals[[#This Row],[Status]]="Approved",1,0)</f>
        <v>1</v>
      </c>
      <c r="S414" s="21">
        <f>IF(Deals[[#This Row],[IsApproved]]=1,Deals[[#This Row],[Amount]],0)</f>
        <v>146100</v>
      </c>
      <c r="T414" s="21">
        <f>Deals[[#This Row],[ApprovedAmount]]*Deals[[#This Row],[ProfitRate]]</f>
        <v>8707.56</v>
      </c>
    </row>
    <row r="415" spans="1:20">
      <c r="A415" s="2" t="s">
        <v>815</v>
      </c>
      <c r="B415" s="3">
        <v>46113</v>
      </c>
      <c r="C415" s="2" t="s">
        <v>816</v>
      </c>
      <c r="D415" s="2" t="s">
        <v>29</v>
      </c>
      <c r="E415" s="2" t="s">
        <v>30</v>
      </c>
      <c r="F415" s="2" t="s">
        <v>31</v>
      </c>
      <c r="G415" s="4">
        <v>8600</v>
      </c>
      <c r="H415" s="5">
        <v>4.1599999999999998E-2</v>
      </c>
      <c r="I415" s="2">
        <v>60</v>
      </c>
      <c r="J415" s="2" t="s">
        <v>61</v>
      </c>
      <c r="K415" s="2" t="s">
        <v>17</v>
      </c>
      <c r="L415" s="3">
        <v>46115</v>
      </c>
      <c r="M415" s="2" t="str">
        <f>_xlfn.XLOOKUP(Deals[[#This Row],[CustomerID]],Customers!A:A,Customers!F:F)</f>
        <v>Mass</v>
      </c>
      <c r="N415" s="2" t="str">
        <f>_xlfn.XLOOKUP(Deals[[#This Row],[CustomerID]],Customers!A:A,Customers!E:E)</f>
        <v>Non-Kuwaiti</v>
      </c>
      <c r="O415" s="2">
        <f>2026-_xlfn.XLOOKUP(Deals[[#This Row],[CustomerID]],Customers!A:A,Customers!D:D)</f>
        <v>36</v>
      </c>
      <c r="P415" s="2" t="str" cm="1">
        <f t="array" ref="P415">_xlfn.IFS(Deals[[#This Row],[Age]]&lt;30,"Under 30",Deals[[#This Row],[Age]]&lt;45,"30-44",TRUE,"45+")</f>
        <v>30-44</v>
      </c>
      <c r="Q415" s="21">
        <f>IF(Deals[[#This Row],[Status]]="Pending","",Deals[[#This Row],[DecisionDate]]-Deals[[#This Row],[ApplicationDate]])</f>
        <v>2</v>
      </c>
      <c r="R415" s="21">
        <f>IF(Deals[[#This Row],[Status]]="Approved",1,0)</f>
        <v>1</v>
      </c>
      <c r="S415" s="21">
        <f>IF(Deals[[#This Row],[IsApproved]]=1,Deals[[#This Row],[Amount]],0)</f>
        <v>8600</v>
      </c>
      <c r="T415" s="21">
        <f>Deals[[#This Row],[ApprovedAmount]]*Deals[[#This Row],[ProfitRate]]</f>
        <v>357.76</v>
      </c>
    </row>
    <row r="416" spans="1:20">
      <c r="A416" s="2" t="s">
        <v>817</v>
      </c>
      <c r="B416" s="3">
        <v>46113</v>
      </c>
      <c r="C416" s="2" t="s">
        <v>625</v>
      </c>
      <c r="D416" s="2" t="s">
        <v>25</v>
      </c>
      <c r="E416" s="2" t="s">
        <v>15</v>
      </c>
      <c r="F416" s="2" t="s">
        <v>31</v>
      </c>
      <c r="G416" s="4">
        <v>7400</v>
      </c>
      <c r="H416" s="5">
        <v>5.0500000000000003E-2</v>
      </c>
      <c r="I416" s="2">
        <v>24</v>
      </c>
      <c r="J416" s="2" t="s">
        <v>66</v>
      </c>
      <c r="K416" s="2" t="s">
        <v>45</v>
      </c>
      <c r="L416" s="3">
        <v>46114</v>
      </c>
      <c r="M416" s="2" t="str">
        <f>_xlfn.XLOOKUP(Deals[[#This Row],[CustomerID]],Customers!A:A,Customers!F:F)</f>
        <v>Mass</v>
      </c>
      <c r="N416" s="2" t="str">
        <f>_xlfn.XLOOKUP(Deals[[#This Row],[CustomerID]],Customers!A:A,Customers!E:E)</f>
        <v>Kuwaiti</v>
      </c>
      <c r="O416" s="2">
        <f>2026-_xlfn.XLOOKUP(Deals[[#This Row],[CustomerID]],Customers!A:A,Customers!D:D)</f>
        <v>49</v>
      </c>
      <c r="P416" s="2" t="str" cm="1">
        <f t="array" ref="P416">_xlfn.IFS(Deals[[#This Row],[Age]]&lt;30,"Under 30",Deals[[#This Row],[Age]]&lt;45,"30-44",TRUE,"45+")</f>
        <v>45+</v>
      </c>
      <c r="Q416" s="21">
        <f>IF(Deals[[#This Row],[Status]]="Pending","",Deals[[#This Row],[DecisionDate]]-Deals[[#This Row],[ApplicationDate]])</f>
        <v>1</v>
      </c>
      <c r="R416" s="21">
        <f>IF(Deals[[#This Row],[Status]]="Approved",1,0)</f>
        <v>0</v>
      </c>
      <c r="S416" s="21">
        <f>IF(Deals[[#This Row],[IsApproved]]=1,Deals[[#This Row],[Amount]],0)</f>
        <v>0</v>
      </c>
      <c r="T416" s="21">
        <f>Deals[[#This Row],[ApprovedAmount]]*Deals[[#This Row],[ProfitRate]]</f>
        <v>0</v>
      </c>
    </row>
    <row r="417" spans="1:20">
      <c r="A417" s="2" t="s">
        <v>818</v>
      </c>
      <c r="B417" s="3">
        <v>46113</v>
      </c>
      <c r="C417" s="2" t="s">
        <v>819</v>
      </c>
      <c r="D417" s="2" t="s">
        <v>71</v>
      </c>
      <c r="E417" s="2" t="s">
        <v>15</v>
      </c>
      <c r="F417" s="2" t="s">
        <v>55</v>
      </c>
      <c r="G417" s="4">
        <v>25000</v>
      </c>
      <c r="H417" s="5">
        <v>5.5599999999999997E-2</v>
      </c>
      <c r="I417" s="2">
        <v>60</v>
      </c>
      <c r="J417" s="2" t="s">
        <v>101</v>
      </c>
      <c r="K417" s="2" t="s">
        <v>45</v>
      </c>
      <c r="L417" s="3">
        <v>46117</v>
      </c>
      <c r="M417" s="2" t="str">
        <f>_xlfn.XLOOKUP(Deals[[#This Row],[CustomerID]],Customers!A:A,Customers!F:F)</f>
        <v>Premium</v>
      </c>
      <c r="N417" s="2" t="str">
        <f>_xlfn.XLOOKUP(Deals[[#This Row],[CustomerID]],Customers!A:A,Customers!E:E)</f>
        <v>Kuwaiti</v>
      </c>
      <c r="O417" s="2">
        <f>2026-_xlfn.XLOOKUP(Deals[[#This Row],[CustomerID]],Customers!A:A,Customers!D:D)</f>
        <v>49</v>
      </c>
      <c r="P417" s="2" t="str" cm="1">
        <f t="array" ref="P417">_xlfn.IFS(Deals[[#This Row],[Age]]&lt;30,"Under 30",Deals[[#This Row],[Age]]&lt;45,"30-44",TRUE,"45+")</f>
        <v>45+</v>
      </c>
      <c r="Q417" s="21">
        <f>IF(Deals[[#This Row],[Status]]="Pending","",Deals[[#This Row],[DecisionDate]]-Deals[[#This Row],[ApplicationDate]])</f>
        <v>4</v>
      </c>
      <c r="R417" s="21">
        <f>IF(Deals[[#This Row],[Status]]="Approved",1,0)</f>
        <v>0</v>
      </c>
      <c r="S417" s="21">
        <f>IF(Deals[[#This Row],[IsApproved]]=1,Deals[[#This Row],[Amount]],0)</f>
        <v>0</v>
      </c>
      <c r="T417" s="21">
        <f>Deals[[#This Row],[ApprovedAmount]]*Deals[[#This Row],[ProfitRate]]</f>
        <v>0</v>
      </c>
    </row>
    <row r="418" spans="1:20">
      <c r="A418" s="2" t="s">
        <v>820</v>
      </c>
      <c r="B418" s="3">
        <v>46114</v>
      </c>
      <c r="C418" s="2" t="s">
        <v>821</v>
      </c>
      <c r="D418" s="2" t="s">
        <v>25</v>
      </c>
      <c r="E418" s="2" t="s">
        <v>30</v>
      </c>
      <c r="F418" s="2" t="s">
        <v>3</v>
      </c>
      <c r="G418" s="4">
        <v>8000</v>
      </c>
      <c r="H418" s="5">
        <v>4.5600000000000002E-2</v>
      </c>
      <c r="I418" s="2">
        <v>36</v>
      </c>
      <c r="J418" s="2" t="s">
        <v>26</v>
      </c>
      <c r="K418" s="2" t="s">
        <v>17</v>
      </c>
      <c r="L418" s="3">
        <v>46117</v>
      </c>
      <c r="M418" s="2" t="str">
        <f>_xlfn.XLOOKUP(Deals[[#This Row],[CustomerID]],Customers!A:A,Customers!F:F)</f>
        <v>Premium</v>
      </c>
      <c r="N418" s="2" t="str">
        <f>_xlfn.XLOOKUP(Deals[[#This Row],[CustomerID]],Customers!A:A,Customers!E:E)</f>
        <v>Kuwaiti</v>
      </c>
      <c r="O418" s="2">
        <f>2026-_xlfn.XLOOKUP(Deals[[#This Row],[CustomerID]],Customers!A:A,Customers!D:D)</f>
        <v>22</v>
      </c>
      <c r="P418" s="2" t="str" cm="1">
        <f t="array" ref="P418">_xlfn.IFS(Deals[[#This Row],[Age]]&lt;30,"Under 30",Deals[[#This Row],[Age]]&lt;45,"30-44",TRUE,"45+")</f>
        <v>Under 30</v>
      </c>
      <c r="Q418" s="21">
        <f>IF(Deals[[#This Row],[Status]]="Pending","",Deals[[#This Row],[DecisionDate]]-Deals[[#This Row],[ApplicationDate]])</f>
        <v>3</v>
      </c>
      <c r="R418" s="21">
        <f>IF(Deals[[#This Row],[Status]]="Approved",1,0)</f>
        <v>1</v>
      </c>
      <c r="S418" s="21">
        <f>IF(Deals[[#This Row],[IsApproved]]=1,Deals[[#This Row],[Amount]],0)</f>
        <v>8000</v>
      </c>
      <c r="T418" s="21">
        <f>Deals[[#This Row],[ApprovedAmount]]*Deals[[#This Row],[ProfitRate]]</f>
        <v>364.8</v>
      </c>
    </row>
    <row r="419" spans="1:20">
      <c r="A419" s="2" t="s">
        <v>822</v>
      </c>
      <c r="B419" s="3">
        <v>46114</v>
      </c>
      <c r="C419" s="2" t="s">
        <v>823</v>
      </c>
      <c r="D419" s="2" t="s">
        <v>20</v>
      </c>
      <c r="E419" s="2" t="s">
        <v>30</v>
      </c>
      <c r="F419" s="2" t="s">
        <v>3</v>
      </c>
      <c r="G419" s="4">
        <v>5000</v>
      </c>
      <c r="H419" s="5">
        <v>3.56E-2</v>
      </c>
      <c r="I419" s="2">
        <v>36</v>
      </c>
      <c r="J419" s="2" t="s">
        <v>37</v>
      </c>
      <c r="K419" s="2" t="s">
        <v>17</v>
      </c>
      <c r="L419" s="3">
        <v>46118</v>
      </c>
      <c r="M419" s="2" t="str">
        <f>_xlfn.XLOOKUP(Deals[[#This Row],[CustomerID]],Customers!A:A,Customers!F:F)</f>
        <v>Affluent</v>
      </c>
      <c r="N419" s="2" t="str">
        <f>_xlfn.XLOOKUP(Deals[[#This Row],[CustomerID]],Customers!A:A,Customers!E:E)</f>
        <v>Kuwaiti</v>
      </c>
      <c r="O419" s="2">
        <f>2026-_xlfn.XLOOKUP(Deals[[#This Row],[CustomerID]],Customers!A:A,Customers!D:D)</f>
        <v>42</v>
      </c>
      <c r="P419" s="2" t="str" cm="1">
        <f t="array" ref="P419">_xlfn.IFS(Deals[[#This Row],[Age]]&lt;30,"Under 30",Deals[[#This Row],[Age]]&lt;45,"30-44",TRUE,"45+")</f>
        <v>30-44</v>
      </c>
      <c r="Q419" s="21">
        <f>IF(Deals[[#This Row],[Status]]="Pending","",Deals[[#This Row],[DecisionDate]]-Deals[[#This Row],[ApplicationDate]])</f>
        <v>4</v>
      </c>
      <c r="R419" s="21">
        <f>IF(Deals[[#This Row],[Status]]="Approved",1,0)</f>
        <v>1</v>
      </c>
      <c r="S419" s="21">
        <f>IF(Deals[[#This Row],[IsApproved]]=1,Deals[[#This Row],[Amount]],0)</f>
        <v>5000</v>
      </c>
      <c r="T419" s="21">
        <f>Deals[[#This Row],[ApprovedAmount]]*Deals[[#This Row],[ProfitRate]]</f>
        <v>178</v>
      </c>
    </row>
    <row r="420" spans="1:20">
      <c r="A420" s="2" t="s">
        <v>824</v>
      </c>
      <c r="B420" s="3">
        <v>46114</v>
      </c>
      <c r="C420" s="2" t="s">
        <v>100</v>
      </c>
      <c r="D420" s="2" t="s">
        <v>54</v>
      </c>
      <c r="E420" s="2" t="s">
        <v>43</v>
      </c>
      <c r="F420" s="2" t="s">
        <v>31</v>
      </c>
      <c r="G420" s="4">
        <v>159600</v>
      </c>
      <c r="H420" s="5">
        <v>6.3799999999999996E-2</v>
      </c>
      <c r="I420" s="2">
        <v>24</v>
      </c>
      <c r="J420" s="2" t="s">
        <v>186</v>
      </c>
      <c r="K420" s="2" t="s">
        <v>45</v>
      </c>
      <c r="L420" s="3">
        <v>46134</v>
      </c>
      <c r="M420" s="2" t="str">
        <f>_xlfn.XLOOKUP(Deals[[#This Row],[CustomerID]],Customers!A:A,Customers!F:F)</f>
        <v>Affluent</v>
      </c>
      <c r="N420" s="2" t="str">
        <f>_xlfn.XLOOKUP(Deals[[#This Row],[CustomerID]],Customers!A:A,Customers!E:E)</f>
        <v>Kuwaiti</v>
      </c>
      <c r="O420" s="2">
        <f>2026-_xlfn.XLOOKUP(Deals[[#This Row],[CustomerID]],Customers!A:A,Customers!D:D)</f>
        <v>34</v>
      </c>
      <c r="P420" s="2" t="str" cm="1">
        <f t="array" ref="P420">_xlfn.IFS(Deals[[#This Row],[Age]]&lt;30,"Under 30",Deals[[#This Row],[Age]]&lt;45,"30-44",TRUE,"45+")</f>
        <v>30-44</v>
      </c>
      <c r="Q420" s="21">
        <f>IF(Deals[[#This Row],[Status]]="Pending","",Deals[[#This Row],[DecisionDate]]-Deals[[#This Row],[ApplicationDate]])</f>
        <v>20</v>
      </c>
      <c r="R420" s="21">
        <f>IF(Deals[[#This Row],[Status]]="Approved",1,0)</f>
        <v>0</v>
      </c>
      <c r="S420" s="21">
        <f>IF(Deals[[#This Row],[IsApproved]]=1,Deals[[#This Row],[Amount]],0)</f>
        <v>0</v>
      </c>
      <c r="T420" s="21">
        <f>Deals[[#This Row],[ApprovedAmount]]*Deals[[#This Row],[ProfitRate]]</f>
        <v>0</v>
      </c>
    </row>
    <row r="421" spans="1:20">
      <c r="A421" s="2" t="s">
        <v>825</v>
      </c>
      <c r="B421" s="3">
        <v>46114</v>
      </c>
      <c r="C421" s="2" t="s">
        <v>826</v>
      </c>
      <c r="D421" s="2" t="s">
        <v>14</v>
      </c>
      <c r="E421" s="2" t="s">
        <v>30</v>
      </c>
      <c r="F421" s="2" t="s">
        <v>3</v>
      </c>
      <c r="G421" s="4">
        <v>4200</v>
      </c>
      <c r="H421" s="5">
        <v>3.61E-2</v>
      </c>
      <c r="I421" s="2">
        <v>36</v>
      </c>
      <c r="J421" s="2" t="s">
        <v>48</v>
      </c>
      <c r="K421" s="2" t="s">
        <v>45</v>
      </c>
      <c r="L421" s="3">
        <v>46116</v>
      </c>
      <c r="M421" s="2" t="str">
        <f>_xlfn.XLOOKUP(Deals[[#This Row],[CustomerID]],Customers!A:A,Customers!F:F)</f>
        <v>Mass</v>
      </c>
      <c r="N421" s="2" t="str">
        <f>_xlfn.XLOOKUP(Deals[[#This Row],[CustomerID]],Customers!A:A,Customers!E:E)</f>
        <v>Kuwaiti</v>
      </c>
      <c r="O421" s="2">
        <f>2026-_xlfn.XLOOKUP(Deals[[#This Row],[CustomerID]],Customers!A:A,Customers!D:D)</f>
        <v>30</v>
      </c>
      <c r="P421" s="2" t="str" cm="1">
        <f t="array" ref="P421">_xlfn.IFS(Deals[[#This Row],[Age]]&lt;30,"Under 30",Deals[[#This Row],[Age]]&lt;45,"30-44",TRUE,"45+")</f>
        <v>30-44</v>
      </c>
      <c r="Q421" s="21">
        <f>IF(Deals[[#This Row],[Status]]="Pending","",Deals[[#This Row],[DecisionDate]]-Deals[[#This Row],[ApplicationDate]])</f>
        <v>2</v>
      </c>
      <c r="R421" s="21">
        <f>IF(Deals[[#This Row],[Status]]="Approved",1,0)</f>
        <v>0</v>
      </c>
      <c r="S421" s="21">
        <f>IF(Deals[[#This Row],[IsApproved]]=1,Deals[[#This Row],[Amount]],0)</f>
        <v>0</v>
      </c>
      <c r="T421" s="21">
        <f>Deals[[#This Row],[ApprovedAmount]]*Deals[[#This Row],[ProfitRate]]</f>
        <v>0</v>
      </c>
    </row>
    <row r="422" spans="1:20">
      <c r="A422" s="2" t="s">
        <v>827</v>
      </c>
      <c r="B422" s="3">
        <v>46114</v>
      </c>
      <c r="C422" s="2" t="s">
        <v>828</v>
      </c>
      <c r="D422" s="2" t="s">
        <v>25</v>
      </c>
      <c r="E422" s="2" t="s">
        <v>30</v>
      </c>
      <c r="F422" s="2" t="s">
        <v>3</v>
      </c>
      <c r="G422" s="4">
        <v>9600</v>
      </c>
      <c r="H422" s="5">
        <v>3.5999999999999997E-2</v>
      </c>
      <c r="I422" s="2">
        <v>48</v>
      </c>
      <c r="J422" s="2" t="s">
        <v>181</v>
      </c>
      <c r="K422" s="2" t="s">
        <v>17</v>
      </c>
      <c r="L422" s="3">
        <v>46117</v>
      </c>
      <c r="M422" s="2" t="str">
        <f>_xlfn.XLOOKUP(Deals[[#This Row],[CustomerID]],Customers!A:A,Customers!F:F)</f>
        <v>Premium</v>
      </c>
      <c r="N422" s="2" t="str">
        <f>_xlfn.XLOOKUP(Deals[[#This Row],[CustomerID]],Customers!A:A,Customers!E:E)</f>
        <v>Kuwaiti</v>
      </c>
      <c r="O422" s="2">
        <f>2026-_xlfn.XLOOKUP(Deals[[#This Row],[CustomerID]],Customers!A:A,Customers!D:D)</f>
        <v>37</v>
      </c>
      <c r="P422" s="2" t="str" cm="1">
        <f t="array" ref="P422">_xlfn.IFS(Deals[[#This Row],[Age]]&lt;30,"Under 30",Deals[[#This Row],[Age]]&lt;45,"30-44",TRUE,"45+")</f>
        <v>30-44</v>
      </c>
      <c r="Q422" s="21">
        <f>IF(Deals[[#This Row],[Status]]="Pending","",Deals[[#This Row],[DecisionDate]]-Deals[[#This Row],[ApplicationDate]])</f>
        <v>3</v>
      </c>
      <c r="R422" s="21">
        <f>IF(Deals[[#This Row],[Status]]="Approved",1,0)</f>
        <v>1</v>
      </c>
      <c r="S422" s="21">
        <f>IF(Deals[[#This Row],[IsApproved]]=1,Deals[[#This Row],[Amount]],0)</f>
        <v>9600</v>
      </c>
      <c r="T422" s="21">
        <f>Deals[[#This Row],[ApprovedAmount]]*Deals[[#This Row],[ProfitRate]]</f>
        <v>345.59999999999997</v>
      </c>
    </row>
    <row r="423" spans="1:20">
      <c r="A423" s="2" t="s">
        <v>829</v>
      </c>
      <c r="B423" s="3">
        <v>46114</v>
      </c>
      <c r="C423" s="2" t="s">
        <v>830</v>
      </c>
      <c r="D423" s="2" t="s">
        <v>20</v>
      </c>
      <c r="E423" s="2" t="s">
        <v>21</v>
      </c>
      <c r="F423" s="2" t="s">
        <v>3</v>
      </c>
      <c r="G423" s="4">
        <v>66500</v>
      </c>
      <c r="H423" s="5">
        <v>3.7100000000000001E-2</v>
      </c>
      <c r="I423" s="2">
        <v>120</v>
      </c>
      <c r="J423" s="2" t="s">
        <v>37</v>
      </c>
      <c r="K423" s="2" t="s">
        <v>17</v>
      </c>
      <c r="L423" s="3">
        <v>46131</v>
      </c>
      <c r="M423" s="2" t="str">
        <f>_xlfn.XLOOKUP(Deals[[#This Row],[CustomerID]],Customers!A:A,Customers!F:F)</f>
        <v>Mass</v>
      </c>
      <c r="N423" s="2" t="str">
        <f>_xlfn.XLOOKUP(Deals[[#This Row],[CustomerID]],Customers!A:A,Customers!E:E)</f>
        <v>Kuwaiti</v>
      </c>
      <c r="O423" s="2">
        <f>2026-_xlfn.XLOOKUP(Deals[[#This Row],[CustomerID]],Customers!A:A,Customers!D:D)</f>
        <v>32</v>
      </c>
      <c r="P423" s="2" t="str" cm="1">
        <f t="array" ref="P423">_xlfn.IFS(Deals[[#This Row],[Age]]&lt;30,"Under 30",Deals[[#This Row],[Age]]&lt;45,"30-44",TRUE,"45+")</f>
        <v>30-44</v>
      </c>
      <c r="Q423" s="21">
        <f>IF(Deals[[#This Row],[Status]]="Pending","",Deals[[#This Row],[DecisionDate]]-Deals[[#This Row],[ApplicationDate]])</f>
        <v>17</v>
      </c>
      <c r="R423" s="21">
        <f>IF(Deals[[#This Row],[Status]]="Approved",1,0)</f>
        <v>1</v>
      </c>
      <c r="S423" s="21">
        <f>IF(Deals[[#This Row],[IsApproved]]=1,Deals[[#This Row],[Amount]],0)</f>
        <v>66500</v>
      </c>
      <c r="T423" s="21">
        <f>Deals[[#This Row],[ApprovedAmount]]*Deals[[#This Row],[ProfitRate]]</f>
        <v>2467.15</v>
      </c>
    </row>
    <row r="424" spans="1:20">
      <c r="A424" s="2" t="s">
        <v>831</v>
      </c>
      <c r="B424" s="3">
        <v>46115</v>
      </c>
      <c r="C424" s="2" t="s">
        <v>788</v>
      </c>
      <c r="D424" s="2" t="s">
        <v>71</v>
      </c>
      <c r="E424" s="2" t="s">
        <v>30</v>
      </c>
      <c r="F424" s="2" t="s">
        <v>3</v>
      </c>
      <c r="G424" s="4">
        <v>8300</v>
      </c>
      <c r="H424" s="5">
        <v>4.4600000000000001E-2</v>
      </c>
      <c r="I424" s="2">
        <v>60</v>
      </c>
      <c r="J424" s="2" t="s">
        <v>94</v>
      </c>
      <c r="K424" s="2" t="s">
        <v>17</v>
      </c>
      <c r="L424" s="3">
        <v>46117</v>
      </c>
      <c r="M424" s="2" t="str">
        <f>_xlfn.XLOOKUP(Deals[[#This Row],[CustomerID]],Customers!A:A,Customers!F:F)</f>
        <v>Mass</v>
      </c>
      <c r="N424" s="2" t="str">
        <f>_xlfn.XLOOKUP(Deals[[#This Row],[CustomerID]],Customers!A:A,Customers!E:E)</f>
        <v>Non-Kuwaiti</v>
      </c>
      <c r="O424" s="2">
        <f>2026-_xlfn.XLOOKUP(Deals[[#This Row],[CustomerID]],Customers!A:A,Customers!D:D)</f>
        <v>56</v>
      </c>
      <c r="P424" s="2" t="str" cm="1">
        <f t="array" ref="P424">_xlfn.IFS(Deals[[#This Row],[Age]]&lt;30,"Under 30",Deals[[#This Row],[Age]]&lt;45,"30-44",TRUE,"45+")</f>
        <v>45+</v>
      </c>
      <c r="Q424" s="21">
        <f>IF(Deals[[#This Row],[Status]]="Pending","",Deals[[#This Row],[DecisionDate]]-Deals[[#This Row],[ApplicationDate]])</f>
        <v>2</v>
      </c>
      <c r="R424" s="21">
        <f>IF(Deals[[#This Row],[Status]]="Approved",1,0)</f>
        <v>1</v>
      </c>
      <c r="S424" s="21">
        <f>IF(Deals[[#This Row],[IsApproved]]=1,Deals[[#This Row],[Amount]],0)</f>
        <v>8300</v>
      </c>
      <c r="T424" s="21">
        <f>Deals[[#This Row],[ApprovedAmount]]*Deals[[#This Row],[ProfitRate]]</f>
        <v>370.18</v>
      </c>
    </row>
    <row r="425" spans="1:20">
      <c r="A425" s="2" t="s">
        <v>833</v>
      </c>
      <c r="B425" s="3">
        <v>46115</v>
      </c>
      <c r="C425" s="2" t="s">
        <v>834</v>
      </c>
      <c r="D425" s="2" t="s">
        <v>20</v>
      </c>
      <c r="E425" s="2" t="s">
        <v>15</v>
      </c>
      <c r="F425" s="2" t="s">
        <v>3</v>
      </c>
      <c r="G425" s="4">
        <v>8700</v>
      </c>
      <c r="H425" s="5">
        <v>5.04E-2</v>
      </c>
      <c r="I425" s="2">
        <v>60</v>
      </c>
      <c r="J425" s="2" t="s">
        <v>37</v>
      </c>
      <c r="K425" s="2" t="s">
        <v>45</v>
      </c>
      <c r="L425" s="3">
        <v>46118</v>
      </c>
      <c r="M425" s="2" t="str">
        <f>_xlfn.XLOOKUP(Deals[[#This Row],[CustomerID]],Customers!A:A,Customers!F:F)</f>
        <v>Mass</v>
      </c>
      <c r="N425" s="2" t="str">
        <f>_xlfn.XLOOKUP(Deals[[#This Row],[CustomerID]],Customers!A:A,Customers!E:E)</f>
        <v>Kuwaiti</v>
      </c>
      <c r="O425" s="2">
        <f>2026-_xlfn.XLOOKUP(Deals[[#This Row],[CustomerID]],Customers!A:A,Customers!D:D)</f>
        <v>38</v>
      </c>
      <c r="P425" s="2" t="str" cm="1">
        <f t="array" ref="P425">_xlfn.IFS(Deals[[#This Row],[Age]]&lt;30,"Under 30",Deals[[#This Row],[Age]]&lt;45,"30-44",TRUE,"45+")</f>
        <v>30-44</v>
      </c>
      <c r="Q425" s="21">
        <f>IF(Deals[[#This Row],[Status]]="Pending","",Deals[[#This Row],[DecisionDate]]-Deals[[#This Row],[ApplicationDate]])</f>
        <v>3</v>
      </c>
      <c r="R425" s="21">
        <f>IF(Deals[[#This Row],[Status]]="Approved",1,0)</f>
        <v>0</v>
      </c>
      <c r="S425" s="21">
        <f>IF(Deals[[#This Row],[IsApproved]]=1,Deals[[#This Row],[Amount]],0)</f>
        <v>0</v>
      </c>
      <c r="T425" s="21">
        <f>Deals[[#This Row],[ApprovedAmount]]*Deals[[#This Row],[ProfitRate]]</f>
        <v>0</v>
      </c>
    </row>
    <row r="426" spans="1:20">
      <c r="A426" s="2" t="s">
        <v>835</v>
      </c>
      <c r="B426" s="3">
        <v>46115</v>
      </c>
      <c r="C426" s="2" t="s">
        <v>274</v>
      </c>
      <c r="D426" s="2" t="s">
        <v>29</v>
      </c>
      <c r="E426" s="2" t="s">
        <v>15</v>
      </c>
      <c r="F426" s="2" t="s">
        <v>31</v>
      </c>
      <c r="G426" s="4">
        <v>11200</v>
      </c>
      <c r="H426" s="5">
        <v>6.7699999999999996E-2</v>
      </c>
      <c r="I426" s="2">
        <v>12</v>
      </c>
      <c r="J426" s="2" t="s">
        <v>61</v>
      </c>
      <c r="K426" s="2" t="s">
        <v>17</v>
      </c>
      <c r="L426" s="3">
        <v>46115</v>
      </c>
      <c r="M426" s="2" t="str">
        <f>_xlfn.XLOOKUP(Deals[[#This Row],[CustomerID]],Customers!A:A,Customers!F:F)</f>
        <v>Mass</v>
      </c>
      <c r="N426" s="2" t="str">
        <f>_xlfn.XLOOKUP(Deals[[#This Row],[CustomerID]],Customers!A:A,Customers!E:E)</f>
        <v>Kuwaiti</v>
      </c>
      <c r="O426" s="2">
        <f>2026-_xlfn.XLOOKUP(Deals[[#This Row],[CustomerID]],Customers!A:A,Customers!D:D)</f>
        <v>53</v>
      </c>
      <c r="P426" s="2" t="str" cm="1">
        <f t="array" ref="P426">_xlfn.IFS(Deals[[#This Row],[Age]]&lt;30,"Under 30",Deals[[#This Row],[Age]]&lt;45,"30-44",TRUE,"45+")</f>
        <v>45+</v>
      </c>
      <c r="Q426" s="21">
        <f>IF(Deals[[#This Row],[Status]]="Pending","",Deals[[#This Row],[DecisionDate]]-Deals[[#This Row],[ApplicationDate]])</f>
        <v>0</v>
      </c>
      <c r="R426" s="21">
        <f>IF(Deals[[#This Row],[Status]]="Approved",1,0)</f>
        <v>1</v>
      </c>
      <c r="S426" s="21">
        <f>IF(Deals[[#This Row],[IsApproved]]=1,Deals[[#This Row],[Amount]],0)</f>
        <v>11200</v>
      </c>
      <c r="T426" s="21">
        <f>Deals[[#This Row],[ApprovedAmount]]*Deals[[#This Row],[ProfitRate]]</f>
        <v>758.24</v>
      </c>
    </row>
    <row r="427" spans="1:20">
      <c r="A427" s="2" t="s">
        <v>836</v>
      </c>
      <c r="B427" s="3">
        <v>46116</v>
      </c>
      <c r="C427" s="2" t="s">
        <v>837</v>
      </c>
      <c r="D427" s="2" t="s">
        <v>14</v>
      </c>
      <c r="E427" s="2" t="s">
        <v>15</v>
      </c>
      <c r="F427" s="2" t="s">
        <v>55</v>
      </c>
      <c r="G427" s="4">
        <v>5100</v>
      </c>
      <c r="H427" s="5">
        <v>6.2600000000000003E-2</v>
      </c>
      <c r="I427" s="2">
        <v>60</v>
      </c>
      <c r="J427" s="2" t="s">
        <v>48</v>
      </c>
      <c r="K427" s="2" t="s">
        <v>17</v>
      </c>
      <c r="L427" s="3">
        <v>46118</v>
      </c>
      <c r="M427" s="2" t="str">
        <f>_xlfn.XLOOKUP(Deals[[#This Row],[CustomerID]],Customers!A:A,Customers!F:F)</f>
        <v>Affluent</v>
      </c>
      <c r="N427" s="2" t="str">
        <f>_xlfn.XLOOKUP(Deals[[#This Row],[CustomerID]],Customers!A:A,Customers!E:E)</f>
        <v>Kuwaiti</v>
      </c>
      <c r="O427" s="2">
        <f>2026-_xlfn.XLOOKUP(Deals[[#This Row],[CustomerID]],Customers!A:A,Customers!D:D)</f>
        <v>22</v>
      </c>
      <c r="P427" s="2" t="str" cm="1">
        <f t="array" ref="P427">_xlfn.IFS(Deals[[#This Row],[Age]]&lt;30,"Under 30",Deals[[#This Row],[Age]]&lt;45,"30-44",TRUE,"45+")</f>
        <v>Under 30</v>
      </c>
      <c r="Q427" s="21">
        <f>IF(Deals[[#This Row],[Status]]="Pending","",Deals[[#This Row],[DecisionDate]]-Deals[[#This Row],[ApplicationDate]])</f>
        <v>2</v>
      </c>
      <c r="R427" s="21">
        <f>IF(Deals[[#This Row],[Status]]="Approved",1,0)</f>
        <v>1</v>
      </c>
      <c r="S427" s="21">
        <f>IF(Deals[[#This Row],[IsApproved]]=1,Deals[[#This Row],[Amount]],0)</f>
        <v>5100</v>
      </c>
      <c r="T427" s="21">
        <f>Deals[[#This Row],[ApprovedAmount]]*Deals[[#This Row],[ProfitRate]]</f>
        <v>319.26</v>
      </c>
    </row>
    <row r="428" spans="1:20">
      <c r="A428" s="2" t="s">
        <v>838</v>
      </c>
      <c r="B428" s="3">
        <v>46116</v>
      </c>
      <c r="C428" s="2" t="s">
        <v>839</v>
      </c>
      <c r="D428" s="2" t="s">
        <v>20</v>
      </c>
      <c r="E428" s="2" t="s">
        <v>15</v>
      </c>
      <c r="F428" s="2" t="s">
        <v>3</v>
      </c>
      <c r="G428" s="4">
        <v>22600</v>
      </c>
      <c r="H428" s="5">
        <v>5.16E-2</v>
      </c>
      <c r="I428" s="2">
        <v>48</v>
      </c>
      <c r="J428" s="2" t="s">
        <v>44</v>
      </c>
      <c r="K428" s="2" t="s">
        <v>17</v>
      </c>
      <c r="L428" s="3">
        <v>46118</v>
      </c>
      <c r="M428" s="2" t="str">
        <f>_xlfn.XLOOKUP(Deals[[#This Row],[CustomerID]],Customers!A:A,Customers!F:F)</f>
        <v>Mass</v>
      </c>
      <c r="N428" s="2" t="str">
        <f>_xlfn.XLOOKUP(Deals[[#This Row],[CustomerID]],Customers!A:A,Customers!E:E)</f>
        <v>Kuwaiti</v>
      </c>
      <c r="O428" s="2">
        <f>2026-_xlfn.XLOOKUP(Deals[[#This Row],[CustomerID]],Customers!A:A,Customers!D:D)</f>
        <v>34</v>
      </c>
      <c r="P428" s="2" t="str" cm="1">
        <f t="array" ref="P428">_xlfn.IFS(Deals[[#This Row],[Age]]&lt;30,"Under 30",Deals[[#This Row],[Age]]&lt;45,"30-44",TRUE,"45+")</f>
        <v>30-44</v>
      </c>
      <c r="Q428" s="21">
        <f>IF(Deals[[#This Row],[Status]]="Pending","",Deals[[#This Row],[DecisionDate]]-Deals[[#This Row],[ApplicationDate]])</f>
        <v>2</v>
      </c>
      <c r="R428" s="21">
        <f>IF(Deals[[#This Row],[Status]]="Approved",1,0)</f>
        <v>1</v>
      </c>
      <c r="S428" s="21">
        <f>IF(Deals[[#This Row],[IsApproved]]=1,Deals[[#This Row],[Amount]],0)</f>
        <v>22600</v>
      </c>
      <c r="T428" s="21">
        <f>Deals[[#This Row],[ApprovedAmount]]*Deals[[#This Row],[ProfitRate]]</f>
        <v>1166.1600000000001</v>
      </c>
    </row>
    <row r="429" spans="1:20">
      <c r="A429" s="2" t="s">
        <v>840</v>
      </c>
      <c r="B429" s="3">
        <v>46116</v>
      </c>
      <c r="C429" s="2" t="s">
        <v>368</v>
      </c>
      <c r="D429" s="2" t="s">
        <v>29</v>
      </c>
      <c r="E429" s="2" t="s">
        <v>30</v>
      </c>
      <c r="F429" s="2" t="s">
        <v>3</v>
      </c>
      <c r="G429" s="4">
        <v>9100</v>
      </c>
      <c r="H429" s="5">
        <v>4.1700000000000001E-2</v>
      </c>
      <c r="I429" s="2">
        <v>48</v>
      </c>
      <c r="J429" s="2" t="s">
        <v>32</v>
      </c>
      <c r="K429" s="2" t="s">
        <v>45</v>
      </c>
      <c r="L429" s="3">
        <v>46117</v>
      </c>
      <c r="M429" s="2" t="str">
        <f>_xlfn.XLOOKUP(Deals[[#This Row],[CustomerID]],Customers!A:A,Customers!F:F)</f>
        <v>Affluent</v>
      </c>
      <c r="N429" s="2" t="str">
        <f>_xlfn.XLOOKUP(Deals[[#This Row],[CustomerID]],Customers!A:A,Customers!E:E)</f>
        <v>Non-Kuwaiti</v>
      </c>
      <c r="O429" s="2">
        <f>2026-_xlfn.XLOOKUP(Deals[[#This Row],[CustomerID]],Customers!A:A,Customers!D:D)</f>
        <v>56</v>
      </c>
      <c r="P429" s="2" t="str" cm="1">
        <f t="array" ref="P429">_xlfn.IFS(Deals[[#This Row],[Age]]&lt;30,"Under 30",Deals[[#This Row],[Age]]&lt;45,"30-44",TRUE,"45+")</f>
        <v>45+</v>
      </c>
      <c r="Q429" s="21">
        <f>IF(Deals[[#This Row],[Status]]="Pending","",Deals[[#This Row],[DecisionDate]]-Deals[[#This Row],[ApplicationDate]])</f>
        <v>1</v>
      </c>
      <c r="R429" s="21">
        <f>IF(Deals[[#This Row],[Status]]="Approved",1,0)</f>
        <v>0</v>
      </c>
      <c r="S429" s="21">
        <f>IF(Deals[[#This Row],[IsApproved]]=1,Deals[[#This Row],[Amount]],0)</f>
        <v>0</v>
      </c>
      <c r="T429" s="21">
        <f>Deals[[#This Row],[ApprovedAmount]]*Deals[[#This Row],[ProfitRate]]</f>
        <v>0</v>
      </c>
    </row>
    <row r="430" spans="1:20">
      <c r="A430" s="2" t="s">
        <v>841</v>
      </c>
      <c r="B430" s="3">
        <v>46116</v>
      </c>
      <c r="C430" s="2" t="s">
        <v>842</v>
      </c>
      <c r="D430" s="2" t="s">
        <v>71</v>
      </c>
      <c r="E430" s="2" t="s">
        <v>30</v>
      </c>
      <c r="F430" s="2" t="s">
        <v>3</v>
      </c>
      <c r="G430" s="4">
        <v>11300</v>
      </c>
      <c r="H430" s="5">
        <v>4.02E-2</v>
      </c>
      <c r="I430" s="2">
        <v>48</v>
      </c>
      <c r="J430" s="2" t="s">
        <v>101</v>
      </c>
      <c r="K430" s="2" t="s">
        <v>17</v>
      </c>
      <c r="L430" s="3">
        <v>46120</v>
      </c>
      <c r="M430" s="2" t="str">
        <f>_xlfn.XLOOKUP(Deals[[#This Row],[CustomerID]],Customers!A:A,Customers!F:F)</f>
        <v>Affluent</v>
      </c>
      <c r="N430" s="2" t="str">
        <f>_xlfn.XLOOKUP(Deals[[#This Row],[CustomerID]],Customers!A:A,Customers!E:E)</f>
        <v>Non-Kuwaiti</v>
      </c>
      <c r="O430" s="2">
        <f>2026-_xlfn.XLOOKUP(Deals[[#This Row],[CustomerID]],Customers!A:A,Customers!D:D)</f>
        <v>22</v>
      </c>
      <c r="P430" s="2" t="str" cm="1">
        <f t="array" ref="P430">_xlfn.IFS(Deals[[#This Row],[Age]]&lt;30,"Under 30",Deals[[#This Row],[Age]]&lt;45,"30-44",TRUE,"45+")</f>
        <v>Under 30</v>
      </c>
      <c r="Q430" s="21">
        <f>IF(Deals[[#This Row],[Status]]="Pending","",Deals[[#This Row],[DecisionDate]]-Deals[[#This Row],[ApplicationDate]])</f>
        <v>4</v>
      </c>
      <c r="R430" s="21">
        <f>IF(Deals[[#This Row],[Status]]="Approved",1,0)</f>
        <v>1</v>
      </c>
      <c r="S430" s="21">
        <f>IF(Deals[[#This Row],[IsApproved]]=1,Deals[[#This Row],[Amount]],0)</f>
        <v>11300</v>
      </c>
      <c r="T430" s="21">
        <f>Deals[[#This Row],[ApprovedAmount]]*Deals[[#This Row],[ProfitRate]]</f>
        <v>454.26</v>
      </c>
    </row>
    <row r="431" spans="1:20">
      <c r="A431" s="2" t="s">
        <v>843</v>
      </c>
      <c r="B431" s="3">
        <v>46116</v>
      </c>
      <c r="C431" s="2" t="s">
        <v>515</v>
      </c>
      <c r="D431" s="2" t="s">
        <v>71</v>
      </c>
      <c r="E431" s="2" t="s">
        <v>30</v>
      </c>
      <c r="F431" s="2" t="s">
        <v>3</v>
      </c>
      <c r="G431" s="4">
        <v>8900</v>
      </c>
      <c r="H431" s="5">
        <v>3.5400000000000001E-2</v>
      </c>
      <c r="I431" s="2">
        <v>48</v>
      </c>
      <c r="J431" s="2" t="s">
        <v>72</v>
      </c>
      <c r="K431" s="2" t="s">
        <v>17</v>
      </c>
      <c r="L431" s="3">
        <v>46117</v>
      </c>
      <c r="M431" s="2" t="str">
        <f>_xlfn.XLOOKUP(Deals[[#This Row],[CustomerID]],Customers!A:A,Customers!F:F)</f>
        <v>Mass</v>
      </c>
      <c r="N431" s="2" t="str">
        <f>_xlfn.XLOOKUP(Deals[[#This Row],[CustomerID]],Customers!A:A,Customers!E:E)</f>
        <v>Kuwaiti</v>
      </c>
      <c r="O431" s="2">
        <f>2026-_xlfn.XLOOKUP(Deals[[#This Row],[CustomerID]],Customers!A:A,Customers!D:D)</f>
        <v>54</v>
      </c>
      <c r="P431" s="2" t="str" cm="1">
        <f t="array" ref="P431">_xlfn.IFS(Deals[[#This Row],[Age]]&lt;30,"Under 30",Deals[[#This Row],[Age]]&lt;45,"30-44",TRUE,"45+")</f>
        <v>45+</v>
      </c>
      <c r="Q431" s="21">
        <f>IF(Deals[[#This Row],[Status]]="Pending","",Deals[[#This Row],[DecisionDate]]-Deals[[#This Row],[ApplicationDate]])</f>
        <v>1</v>
      </c>
      <c r="R431" s="21">
        <f>IF(Deals[[#This Row],[Status]]="Approved",1,0)</f>
        <v>1</v>
      </c>
      <c r="S431" s="21">
        <f>IF(Deals[[#This Row],[IsApproved]]=1,Deals[[#This Row],[Amount]],0)</f>
        <v>8900</v>
      </c>
      <c r="T431" s="21">
        <f>Deals[[#This Row],[ApprovedAmount]]*Deals[[#This Row],[ProfitRate]]</f>
        <v>315.06</v>
      </c>
    </row>
    <row r="432" spans="1:20">
      <c r="A432" s="2" t="s">
        <v>844</v>
      </c>
      <c r="B432" s="3">
        <v>46116</v>
      </c>
      <c r="C432" s="2" t="s">
        <v>845</v>
      </c>
      <c r="D432" s="2" t="s">
        <v>71</v>
      </c>
      <c r="E432" s="2" t="s">
        <v>43</v>
      </c>
      <c r="F432" s="2" t="s">
        <v>3</v>
      </c>
      <c r="G432" s="4">
        <v>162200</v>
      </c>
      <c r="H432" s="5">
        <v>7.9899999999999999E-2</v>
      </c>
      <c r="I432" s="2">
        <v>36</v>
      </c>
      <c r="J432" s="2" t="s">
        <v>72</v>
      </c>
      <c r="K432" s="2" t="s">
        <v>17</v>
      </c>
      <c r="L432" s="3">
        <v>46135</v>
      </c>
      <c r="M432" s="2" t="str">
        <f>_xlfn.XLOOKUP(Deals[[#This Row],[CustomerID]],Customers!A:A,Customers!F:F)</f>
        <v>Affluent</v>
      </c>
      <c r="N432" s="2" t="str">
        <f>_xlfn.XLOOKUP(Deals[[#This Row],[CustomerID]],Customers!A:A,Customers!E:E)</f>
        <v>Non-Kuwaiti</v>
      </c>
      <c r="O432" s="2">
        <f>2026-_xlfn.XLOOKUP(Deals[[#This Row],[CustomerID]],Customers!A:A,Customers!D:D)</f>
        <v>58</v>
      </c>
      <c r="P432" s="2" t="str" cm="1">
        <f t="array" ref="P432">_xlfn.IFS(Deals[[#This Row],[Age]]&lt;30,"Under 30",Deals[[#This Row],[Age]]&lt;45,"30-44",TRUE,"45+")</f>
        <v>45+</v>
      </c>
      <c r="Q432" s="21">
        <f>IF(Deals[[#This Row],[Status]]="Pending","",Deals[[#This Row],[DecisionDate]]-Deals[[#This Row],[ApplicationDate]])</f>
        <v>19</v>
      </c>
      <c r="R432" s="21">
        <f>IF(Deals[[#This Row],[Status]]="Approved",1,0)</f>
        <v>1</v>
      </c>
      <c r="S432" s="21">
        <f>IF(Deals[[#This Row],[IsApproved]]=1,Deals[[#This Row],[Amount]],0)</f>
        <v>162200</v>
      </c>
      <c r="T432" s="21">
        <f>Deals[[#This Row],[ApprovedAmount]]*Deals[[#This Row],[ProfitRate]]</f>
        <v>12959.78</v>
      </c>
    </row>
    <row r="433" spans="1:20">
      <c r="A433" s="2" t="s">
        <v>846</v>
      </c>
      <c r="B433" s="3">
        <v>46116</v>
      </c>
      <c r="C433" s="2" t="s">
        <v>847</v>
      </c>
      <c r="D433" s="2" t="s">
        <v>54</v>
      </c>
      <c r="E433" s="2" t="s">
        <v>15</v>
      </c>
      <c r="F433" s="2" t="s">
        <v>31</v>
      </c>
      <c r="G433" s="4">
        <v>15600</v>
      </c>
      <c r="H433" s="5">
        <v>6.4899999999999999E-2</v>
      </c>
      <c r="I433" s="2">
        <v>48</v>
      </c>
      <c r="J433" s="2" t="s">
        <v>148</v>
      </c>
      <c r="K433" s="2" t="s">
        <v>17</v>
      </c>
      <c r="L433" s="3">
        <v>46119</v>
      </c>
      <c r="M433" s="2" t="str">
        <f>_xlfn.XLOOKUP(Deals[[#This Row],[CustomerID]],Customers!A:A,Customers!F:F)</f>
        <v>Affluent</v>
      </c>
      <c r="N433" s="2" t="str">
        <f>_xlfn.XLOOKUP(Deals[[#This Row],[CustomerID]],Customers!A:A,Customers!E:E)</f>
        <v>Non-Kuwaiti</v>
      </c>
      <c r="O433" s="2">
        <f>2026-_xlfn.XLOOKUP(Deals[[#This Row],[CustomerID]],Customers!A:A,Customers!D:D)</f>
        <v>29</v>
      </c>
      <c r="P433" s="2" t="str" cm="1">
        <f t="array" ref="P433">_xlfn.IFS(Deals[[#This Row],[Age]]&lt;30,"Under 30",Deals[[#This Row],[Age]]&lt;45,"30-44",TRUE,"45+")</f>
        <v>Under 30</v>
      </c>
      <c r="Q433" s="21">
        <f>IF(Deals[[#This Row],[Status]]="Pending","",Deals[[#This Row],[DecisionDate]]-Deals[[#This Row],[ApplicationDate]])</f>
        <v>3</v>
      </c>
      <c r="R433" s="21">
        <f>IF(Deals[[#This Row],[Status]]="Approved",1,0)</f>
        <v>1</v>
      </c>
      <c r="S433" s="21">
        <f>IF(Deals[[#This Row],[IsApproved]]=1,Deals[[#This Row],[Amount]],0)</f>
        <v>15600</v>
      </c>
      <c r="T433" s="21">
        <f>Deals[[#This Row],[ApprovedAmount]]*Deals[[#This Row],[ProfitRate]]</f>
        <v>1012.4399999999999</v>
      </c>
    </row>
    <row r="434" spans="1:20">
      <c r="A434" s="2" t="s">
        <v>850</v>
      </c>
      <c r="B434" s="3">
        <v>46117</v>
      </c>
      <c r="C434" s="2" t="s">
        <v>13</v>
      </c>
      <c r="D434" s="2" t="s">
        <v>29</v>
      </c>
      <c r="E434" s="2" t="s">
        <v>43</v>
      </c>
      <c r="F434" s="2" t="s">
        <v>3</v>
      </c>
      <c r="G434" s="4">
        <v>72400</v>
      </c>
      <c r="H434" s="5">
        <v>5.5399999999999998E-2</v>
      </c>
      <c r="I434" s="2">
        <v>24</v>
      </c>
      <c r="J434" s="2" t="s">
        <v>123</v>
      </c>
      <c r="K434" s="2" t="s">
        <v>45</v>
      </c>
      <c r="L434" s="3">
        <v>46126</v>
      </c>
      <c r="M434" s="2" t="str">
        <f>_xlfn.XLOOKUP(Deals[[#This Row],[CustomerID]],Customers!A:A,Customers!F:F)</f>
        <v>Affluent</v>
      </c>
      <c r="N434" s="2" t="str">
        <f>_xlfn.XLOOKUP(Deals[[#This Row],[CustomerID]],Customers!A:A,Customers!E:E)</f>
        <v>Kuwaiti</v>
      </c>
      <c r="O434" s="2">
        <f>2026-_xlfn.XLOOKUP(Deals[[#This Row],[CustomerID]],Customers!A:A,Customers!D:D)</f>
        <v>53</v>
      </c>
      <c r="P434" s="2" t="str" cm="1">
        <f t="array" ref="P434">_xlfn.IFS(Deals[[#This Row],[Age]]&lt;30,"Under 30",Deals[[#This Row],[Age]]&lt;45,"30-44",TRUE,"45+")</f>
        <v>45+</v>
      </c>
      <c r="Q434" s="21">
        <f>IF(Deals[[#This Row],[Status]]="Pending","",Deals[[#This Row],[DecisionDate]]-Deals[[#This Row],[ApplicationDate]])</f>
        <v>9</v>
      </c>
      <c r="R434" s="21">
        <f>IF(Deals[[#This Row],[Status]]="Approved",1,0)</f>
        <v>0</v>
      </c>
      <c r="S434" s="21">
        <f>IF(Deals[[#This Row],[IsApproved]]=1,Deals[[#This Row],[Amount]],0)</f>
        <v>0</v>
      </c>
      <c r="T434" s="21">
        <f>Deals[[#This Row],[ApprovedAmount]]*Deals[[#This Row],[ProfitRate]]</f>
        <v>0</v>
      </c>
    </row>
    <row r="435" spans="1:20">
      <c r="A435" s="2" t="s">
        <v>851</v>
      </c>
      <c r="B435" s="3">
        <v>46117</v>
      </c>
      <c r="C435" s="2" t="s">
        <v>65</v>
      </c>
      <c r="D435" s="2" t="s">
        <v>29</v>
      </c>
      <c r="E435" s="2" t="s">
        <v>21</v>
      </c>
      <c r="F435" s="2" t="s">
        <v>3</v>
      </c>
      <c r="G435" s="4">
        <v>154500</v>
      </c>
      <c r="H435" s="5">
        <v>3.7699999999999997E-2</v>
      </c>
      <c r="I435" s="2">
        <v>300</v>
      </c>
      <c r="J435" s="2" t="s">
        <v>32</v>
      </c>
      <c r="K435" s="2" t="s">
        <v>17</v>
      </c>
      <c r="L435" s="3">
        <v>46132</v>
      </c>
      <c r="M435" s="2" t="str">
        <f>_xlfn.XLOOKUP(Deals[[#This Row],[CustomerID]],Customers!A:A,Customers!F:F)</f>
        <v>Mass</v>
      </c>
      <c r="N435" s="2" t="str">
        <f>_xlfn.XLOOKUP(Deals[[#This Row],[CustomerID]],Customers!A:A,Customers!E:E)</f>
        <v>Non-Kuwaiti</v>
      </c>
      <c r="O435" s="2">
        <f>2026-_xlfn.XLOOKUP(Deals[[#This Row],[CustomerID]],Customers!A:A,Customers!D:D)</f>
        <v>25</v>
      </c>
      <c r="P435" s="2" t="str" cm="1">
        <f t="array" ref="P435">_xlfn.IFS(Deals[[#This Row],[Age]]&lt;30,"Under 30",Deals[[#This Row],[Age]]&lt;45,"30-44",TRUE,"45+")</f>
        <v>Under 30</v>
      </c>
      <c r="Q435" s="21">
        <f>IF(Deals[[#This Row],[Status]]="Pending","",Deals[[#This Row],[DecisionDate]]-Deals[[#This Row],[ApplicationDate]])</f>
        <v>15</v>
      </c>
      <c r="R435" s="21">
        <f>IF(Deals[[#This Row],[Status]]="Approved",1,0)</f>
        <v>1</v>
      </c>
      <c r="S435" s="21">
        <f>IF(Deals[[#This Row],[IsApproved]]=1,Deals[[#This Row],[Amount]],0)</f>
        <v>154500</v>
      </c>
      <c r="T435" s="21">
        <f>Deals[[#This Row],[ApprovedAmount]]*Deals[[#This Row],[ProfitRate]]</f>
        <v>5824.65</v>
      </c>
    </row>
    <row r="436" spans="1:20">
      <c r="A436" s="2" t="s">
        <v>852</v>
      </c>
      <c r="B436" s="3">
        <v>46117</v>
      </c>
      <c r="C436" s="2" t="s">
        <v>771</v>
      </c>
      <c r="D436" s="2" t="s">
        <v>25</v>
      </c>
      <c r="E436" s="2" t="s">
        <v>21</v>
      </c>
      <c r="F436" s="2" t="s">
        <v>31</v>
      </c>
      <c r="G436" s="4">
        <v>67500</v>
      </c>
      <c r="H436" s="5">
        <v>4.4499999999999998E-2</v>
      </c>
      <c r="I436" s="2">
        <v>240</v>
      </c>
      <c r="J436" s="2" t="s">
        <v>66</v>
      </c>
      <c r="K436" s="2" t="s">
        <v>45</v>
      </c>
      <c r="L436" s="3">
        <v>46129</v>
      </c>
      <c r="M436" s="2" t="str">
        <f>_xlfn.XLOOKUP(Deals[[#This Row],[CustomerID]],Customers!A:A,Customers!F:F)</f>
        <v>Mass</v>
      </c>
      <c r="N436" s="2" t="str">
        <f>_xlfn.XLOOKUP(Deals[[#This Row],[CustomerID]],Customers!A:A,Customers!E:E)</f>
        <v>Non-Kuwaiti</v>
      </c>
      <c r="O436" s="2">
        <f>2026-_xlfn.XLOOKUP(Deals[[#This Row],[CustomerID]],Customers!A:A,Customers!D:D)</f>
        <v>70</v>
      </c>
      <c r="P436" s="2" t="str" cm="1">
        <f t="array" ref="P436">_xlfn.IFS(Deals[[#This Row],[Age]]&lt;30,"Under 30",Deals[[#This Row],[Age]]&lt;45,"30-44",TRUE,"45+")</f>
        <v>45+</v>
      </c>
      <c r="Q436" s="21">
        <f>IF(Deals[[#This Row],[Status]]="Pending","",Deals[[#This Row],[DecisionDate]]-Deals[[#This Row],[ApplicationDate]])</f>
        <v>12</v>
      </c>
      <c r="R436" s="21">
        <f>IF(Deals[[#This Row],[Status]]="Approved",1,0)</f>
        <v>0</v>
      </c>
      <c r="S436" s="21">
        <f>IF(Deals[[#This Row],[IsApproved]]=1,Deals[[#This Row],[Amount]],0)</f>
        <v>0</v>
      </c>
      <c r="T436" s="21">
        <f>Deals[[#This Row],[ApprovedAmount]]*Deals[[#This Row],[ProfitRate]]</f>
        <v>0</v>
      </c>
    </row>
    <row r="437" spans="1:20">
      <c r="A437" s="2" t="s">
        <v>853</v>
      </c>
      <c r="B437" s="3">
        <v>46117</v>
      </c>
      <c r="C437" s="2" t="s">
        <v>854</v>
      </c>
      <c r="D437" s="2" t="s">
        <v>54</v>
      </c>
      <c r="E437" s="2" t="s">
        <v>21</v>
      </c>
      <c r="F437" s="2" t="s">
        <v>55</v>
      </c>
      <c r="G437" s="4">
        <v>157100</v>
      </c>
      <c r="H437" s="5">
        <v>4.19E-2</v>
      </c>
      <c r="I437" s="2">
        <v>240</v>
      </c>
      <c r="J437" s="2" t="s">
        <v>186</v>
      </c>
      <c r="K437" s="2" t="s">
        <v>17</v>
      </c>
      <c r="L437" s="3">
        <v>46140</v>
      </c>
      <c r="M437" s="2" t="str">
        <f>_xlfn.XLOOKUP(Deals[[#This Row],[CustomerID]],Customers!A:A,Customers!F:F)</f>
        <v>Affluent</v>
      </c>
      <c r="N437" s="2" t="str">
        <f>_xlfn.XLOOKUP(Deals[[#This Row],[CustomerID]],Customers!A:A,Customers!E:E)</f>
        <v>Kuwaiti</v>
      </c>
      <c r="O437" s="2">
        <f>2026-_xlfn.XLOOKUP(Deals[[#This Row],[CustomerID]],Customers!A:A,Customers!D:D)</f>
        <v>58</v>
      </c>
      <c r="P437" s="2" t="str" cm="1">
        <f t="array" ref="P437">_xlfn.IFS(Deals[[#This Row],[Age]]&lt;30,"Under 30",Deals[[#This Row],[Age]]&lt;45,"30-44",TRUE,"45+")</f>
        <v>45+</v>
      </c>
      <c r="Q437" s="21">
        <f>IF(Deals[[#This Row],[Status]]="Pending","",Deals[[#This Row],[DecisionDate]]-Deals[[#This Row],[ApplicationDate]])</f>
        <v>23</v>
      </c>
      <c r="R437" s="21">
        <f>IF(Deals[[#This Row],[Status]]="Approved",1,0)</f>
        <v>1</v>
      </c>
      <c r="S437" s="21">
        <f>IF(Deals[[#This Row],[IsApproved]]=1,Deals[[#This Row],[Amount]],0)</f>
        <v>157100</v>
      </c>
      <c r="T437" s="21">
        <f>Deals[[#This Row],[ApprovedAmount]]*Deals[[#This Row],[ProfitRate]]</f>
        <v>6582.49</v>
      </c>
    </row>
    <row r="438" spans="1:20">
      <c r="A438" s="2" t="s">
        <v>855</v>
      </c>
      <c r="B438" s="3">
        <v>46118</v>
      </c>
      <c r="C438" s="2" t="s">
        <v>856</v>
      </c>
      <c r="D438" s="2" t="s">
        <v>71</v>
      </c>
      <c r="E438" s="2" t="s">
        <v>15</v>
      </c>
      <c r="F438" s="2" t="s">
        <v>3</v>
      </c>
      <c r="G438" s="4">
        <v>4000</v>
      </c>
      <c r="H438" s="5">
        <v>6.9900000000000004E-2</v>
      </c>
      <c r="I438" s="2">
        <v>24</v>
      </c>
      <c r="J438" s="2" t="s">
        <v>72</v>
      </c>
      <c r="K438" s="2" t="s">
        <v>45</v>
      </c>
      <c r="L438" s="3">
        <v>46125</v>
      </c>
      <c r="M438" s="2" t="str">
        <f>_xlfn.XLOOKUP(Deals[[#This Row],[CustomerID]],Customers!A:A,Customers!F:F)</f>
        <v>Mass</v>
      </c>
      <c r="N438" s="2" t="str">
        <f>_xlfn.XLOOKUP(Deals[[#This Row],[CustomerID]],Customers!A:A,Customers!E:E)</f>
        <v>Kuwaiti</v>
      </c>
      <c r="O438" s="2">
        <f>2026-_xlfn.XLOOKUP(Deals[[#This Row],[CustomerID]],Customers!A:A,Customers!D:D)</f>
        <v>47</v>
      </c>
      <c r="P438" s="2" t="str" cm="1">
        <f t="array" ref="P438">_xlfn.IFS(Deals[[#This Row],[Age]]&lt;30,"Under 30",Deals[[#This Row],[Age]]&lt;45,"30-44",TRUE,"45+")</f>
        <v>45+</v>
      </c>
      <c r="Q438" s="21">
        <f>IF(Deals[[#This Row],[Status]]="Pending","",Deals[[#This Row],[DecisionDate]]-Deals[[#This Row],[ApplicationDate]])</f>
        <v>7</v>
      </c>
      <c r="R438" s="21">
        <f>IF(Deals[[#This Row],[Status]]="Approved",1,0)</f>
        <v>0</v>
      </c>
      <c r="S438" s="21">
        <f>IF(Deals[[#This Row],[IsApproved]]=1,Deals[[#This Row],[Amount]],0)</f>
        <v>0</v>
      </c>
      <c r="T438" s="21">
        <f>Deals[[#This Row],[ApprovedAmount]]*Deals[[#This Row],[ProfitRate]]</f>
        <v>0</v>
      </c>
    </row>
    <row r="439" spans="1:20">
      <c r="A439" s="2" t="s">
        <v>857</v>
      </c>
      <c r="B439" s="3">
        <v>46119</v>
      </c>
      <c r="C439" s="2" t="s">
        <v>858</v>
      </c>
      <c r="D439" s="2" t="s">
        <v>29</v>
      </c>
      <c r="E439" s="2" t="s">
        <v>15</v>
      </c>
      <c r="F439" s="2" t="s">
        <v>31</v>
      </c>
      <c r="G439" s="4">
        <v>17300</v>
      </c>
      <c r="H439" s="5">
        <v>6.2399999999999997E-2</v>
      </c>
      <c r="I439" s="2">
        <v>12</v>
      </c>
      <c r="J439" s="2" t="s">
        <v>32</v>
      </c>
      <c r="K439" s="2" t="s">
        <v>17</v>
      </c>
      <c r="L439" s="3">
        <v>46125</v>
      </c>
      <c r="M439" s="2" t="str">
        <f>_xlfn.XLOOKUP(Deals[[#This Row],[CustomerID]],Customers!A:A,Customers!F:F)</f>
        <v>Affluent</v>
      </c>
      <c r="N439" s="2" t="str">
        <f>_xlfn.XLOOKUP(Deals[[#This Row],[CustomerID]],Customers!A:A,Customers!E:E)</f>
        <v>Kuwaiti</v>
      </c>
      <c r="O439" s="2">
        <f>2026-_xlfn.XLOOKUP(Deals[[#This Row],[CustomerID]],Customers!A:A,Customers!D:D)</f>
        <v>68</v>
      </c>
      <c r="P439" s="2" t="str" cm="1">
        <f t="array" ref="P439">_xlfn.IFS(Deals[[#This Row],[Age]]&lt;30,"Under 30",Deals[[#This Row],[Age]]&lt;45,"30-44",TRUE,"45+")</f>
        <v>45+</v>
      </c>
      <c r="Q439" s="21">
        <f>IF(Deals[[#This Row],[Status]]="Pending","",Deals[[#This Row],[DecisionDate]]-Deals[[#This Row],[ApplicationDate]])</f>
        <v>6</v>
      </c>
      <c r="R439" s="21">
        <f>IF(Deals[[#This Row],[Status]]="Approved",1,0)</f>
        <v>1</v>
      </c>
      <c r="S439" s="21">
        <f>IF(Deals[[#This Row],[IsApproved]]=1,Deals[[#This Row],[Amount]],0)</f>
        <v>17300</v>
      </c>
      <c r="T439" s="21">
        <f>Deals[[#This Row],[ApprovedAmount]]*Deals[[#This Row],[ProfitRate]]</f>
        <v>1079.52</v>
      </c>
    </row>
    <row r="440" spans="1:20">
      <c r="A440" s="2" t="s">
        <v>859</v>
      </c>
      <c r="B440" s="3">
        <v>46119</v>
      </c>
      <c r="C440" s="2" t="s">
        <v>860</v>
      </c>
      <c r="D440" s="2" t="s">
        <v>20</v>
      </c>
      <c r="E440" s="2" t="s">
        <v>15</v>
      </c>
      <c r="F440" s="2" t="s">
        <v>3</v>
      </c>
      <c r="G440" s="4">
        <v>16000</v>
      </c>
      <c r="H440" s="5">
        <v>5.1400000000000001E-2</v>
      </c>
      <c r="I440" s="2">
        <v>36</v>
      </c>
      <c r="J440" s="2" t="s">
        <v>44</v>
      </c>
      <c r="K440" s="2" t="s">
        <v>17</v>
      </c>
      <c r="L440" s="3">
        <v>46122</v>
      </c>
      <c r="M440" s="2" t="str">
        <f>_xlfn.XLOOKUP(Deals[[#This Row],[CustomerID]],Customers!A:A,Customers!F:F)</f>
        <v>Affluent</v>
      </c>
      <c r="N440" s="2" t="str">
        <f>_xlfn.XLOOKUP(Deals[[#This Row],[CustomerID]],Customers!A:A,Customers!E:E)</f>
        <v>Kuwaiti</v>
      </c>
      <c r="O440" s="2">
        <f>2026-_xlfn.XLOOKUP(Deals[[#This Row],[CustomerID]],Customers!A:A,Customers!D:D)</f>
        <v>28</v>
      </c>
      <c r="P440" s="2" t="str" cm="1">
        <f t="array" ref="P440">_xlfn.IFS(Deals[[#This Row],[Age]]&lt;30,"Under 30",Deals[[#This Row],[Age]]&lt;45,"30-44",TRUE,"45+")</f>
        <v>Under 30</v>
      </c>
      <c r="Q440" s="21">
        <f>IF(Deals[[#This Row],[Status]]="Pending","",Deals[[#This Row],[DecisionDate]]-Deals[[#This Row],[ApplicationDate]])</f>
        <v>3</v>
      </c>
      <c r="R440" s="21">
        <f>IF(Deals[[#This Row],[Status]]="Approved",1,0)</f>
        <v>1</v>
      </c>
      <c r="S440" s="21">
        <f>IF(Deals[[#This Row],[IsApproved]]=1,Deals[[#This Row],[Amount]],0)</f>
        <v>16000</v>
      </c>
      <c r="T440" s="21">
        <f>Deals[[#This Row],[ApprovedAmount]]*Deals[[#This Row],[ProfitRate]]</f>
        <v>822.4</v>
      </c>
    </row>
    <row r="441" spans="1:20">
      <c r="A441" s="2" t="s">
        <v>861</v>
      </c>
      <c r="B441" s="3">
        <v>46119</v>
      </c>
      <c r="C441" s="2" t="s">
        <v>862</v>
      </c>
      <c r="D441" s="2" t="s">
        <v>54</v>
      </c>
      <c r="E441" s="2" t="s">
        <v>15</v>
      </c>
      <c r="F441" s="2" t="s">
        <v>3</v>
      </c>
      <c r="G441" s="4">
        <v>25000</v>
      </c>
      <c r="H441" s="5">
        <v>6.0199999999999997E-2</v>
      </c>
      <c r="I441" s="2">
        <v>60</v>
      </c>
      <c r="J441" s="2" t="s">
        <v>186</v>
      </c>
      <c r="K441" s="2" t="s">
        <v>17</v>
      </c>
      <c r="L441" s="3">
        <v>46124</v>
      </c>
      <c r="M441" s="2" t="str">
        <f>_xlfn.XLOOKUP(Deals[[#This Row],[CustomerID]],Customers!A:A,Customers!F:F)</f>
        <v>Premium</v>
      </c>
      <c r="N441" s="2" t="str">
        <f>_xlfn.XLOOKUP(Deals[[#This Row],[CustomerID]],Customers!A:A,Customers!E:E)</f>
        <v>Kuwaiti</v>
      </c>
      <c r="O441" s="2">
        <f>2026-_xlfn.XLOOKUP(Deals[[#This Row],[CustomerID]],Customers!A:A,Customers!D:D)</f>
        <v>37</v>
      </c>
      <c r="P441" s="2" t="str" cm="1">
        <f t="array" ref="P441">_xlfn.IFS(Deals[[#This Row],[Age]]&lt;30,"Under 30",Deals[[#This Row],[Age]]&lt;45,"30-44",TRUE,"45+")</f>
        <v>30-44</v>
      </c>
      <c r="Q441" s="21">
        <f>IF(Deals[[#This Row],[Status]]="Pending","",Deals[[#This Row],[DecisionDate]]-Deals[[#This Row],[ApplicationDate]])</f>
        <v>5</v>
      </c>
      <c r="R441" s="21">
        <f>IF(Deals[[#This Row],[Status]]="Approved",1,0)</f>
        <v>1</v>
      </c>
      <c r="S441" s="21">
        <f>IF(Deals[[#This Row],[IsApproved]]=1,Deals[[#This Row],[Amount]],0)</f>
        <v>25000</v>
      </c>
      <c r="T441" s="21">
        <f>Deals[[#This Row],[ApprovedAmount]]*Deals[[#This Row],[ProfitRate]]</f>
        <v>1505</v>
      </c>
    </row>
    <row r="442" spans="1:20">
      <c r="A442" s="2" t="s">
        <v>863</v>
      </c>
      <c r="B442" s="3">
        <v>46120</v>
      </c>
      <c r="C442" s="2" t="s">
        <v>864</v>
      </c>
      <c r="D442" s="2" t="s">
        <v>71</v>
      </c>
      <c r="E442" s="2" t="s">
        <v>43</v>
      </c>
      <c r="F442" s="2" t="s">
        <v>3</v>
      </c>
      <c r="G442" s="4">
        <v>42000</v>
      </c>
      <c r="H442" s="5">
        <v>6.7599999999999993E-2</v>
      </c>
      <c r="I442" s="2">
        <v>60</v>
      </c>
      <c r="J442" s="2" t="s">
        <v>94</v>
      </c>
      <c r="K442" s="2" t="s">
        <v>17</v>
      </c>
      <c r="L442" s="3">
        <v>46138</v>
      </c>
      <c r="M442" s="2" t="str">
        <f>_xlfn.XLOOKUP(Deals[[#This Row],[CustomerID]],Customers!A:A,Customers!F:F)</f>
        <v>Mass</v>
      </c>
      <c r="N442" s="2" t="str">
        <f>_xlfn.XLOOKUP(Deals[[#This Row],[CustomerID]],Customers!A:A,Customers!E:E)</f>
        <v>Non-Kuwaiti</v>
      </c>
      <c r="O442" s="2">
        <f>2026-_xlfn.XLOOKUP(Deals[[#This Row],[CustomerID]],Customers!A:A,Customers!D:D)</f>
        <v>39</v>
      </c>
      <c r="P442" s="2" t="str" cm="1">
        <f t="array" ref="P442">_xlfn.IFS(Deals[[#This Row],[Age]]&lt;30,"Under 30",Deals[[#This Row],[Age]]&lt;45,"30-44",TRUE,"45+")</f>
        <v>30-44</v>
      </c>
      <c r="Q442" s="21">
        <f>IF(Deals[[#This Row],[Status]]="Pending","",Deals[[#This Row],[DecisionDate]]-Deals[[#This Row],[ApplicationDate]])</f>
        <v>18</v>
      </c>
      <c r="R442" s="21">
        <f>IF(Deals[[#This Row],[Status]]="Approved",1,0)</f>
        <v>1</v>
      </c>
      <c r="S442" s="21">
        <f>IF(Deals[[#This Row],[IsApproved]]=1,Deals[[#This Row],[Amount]],0)</f>
        <v>42000</v>
      </c>
      <c r="T442" s="21">
        <f>Deals[[#This Row],[ApprovedAmount]]*Deals[[#This Row],[ProfitRate]]</f>
        <v>2839.2</v>
      </c>
    </row>
    <row r="443" spans="1:20">
      <c r="A443" s="2" t="s">
        <v>865</v>
      </c>
      <c r="B443" s="3">
        <v>46120</v>
      </c>
      <c r="C443" s="2" t="s">
        <v>866</v>
      </c>
      <c r="D443" s="2" t="s">
        <v>29</v>
      </c>
      <c r="E443" s="2" t="s">
        <v>30</v>
      </c>
      <c r="F443" s="2" t="s">
        <v>3</v>
      </c>
      <c r="G443" s="4">
        <v>6900</v>
      </c>
      <c r="H443" s="5">
        <v>4.1399999999999999E-2</v>
      </c>
      <c r="I443" s="2">
        <v>60</v>
      </c>
      <c r="J443" s="2" t="s">
        <v>123</v>
      </c>
      <c r="K443" s="2" t="s">
        <v>17</v>
      </c>
      <c r="L443" s="3">
        <v>46124</v>
      </c>
      <c r="M443" s="2" t="str">
        <f>_xlfn.XLOOKUP(Deals[[#This Row],[CustomerID]],Customers!A:A,Customers!F:F)</f>
        <v>Mass</v>
      </c>
      <c r="N443" s="2" t="str">
        <f>_xlfn.XLOOKUP(Deals[[#This Row],[CustomerID]],Customers!A:A,Customers!E:E)</f>
        <v>Kuwaiti</v>
      </c>
      <c r="O443" s="2">
        <f>2026-_xlfn.XLOOKUP(Deals[[#This Row],[CustomerID]],Customers!A:A,Customers!D:D)</f>
        <v>45</v>
      </c>
      <c r="P443" s="2" t="str" cm="1">
        <f t="array" ref="P443">_xlfn.IFS(Deals[[#This Row],[Age]]&lt;30,"Under 30",Deals[[#This Row],[Age]]&lt;45,"30-44",TRUE,"45+")</f>
        <v>45+</v>
      </c>
      <c r="Q443" s="21">
        <f>IF(Deals[[#This Row],[Status]]="Pending","",Deals[[#This Row],[DecisionDate]]-Deals[[#This Row],[ApplicationDate]])</f>
        <v>4</v>
      </c>
      <c r="R443" s="21">
        <f>IF(Deals[[#This Row],[Status]]="Approved",1,0)</f>
        <v>1</v>
      </c>
      <c r="S443" s="21">
        <f>IF(Deals[[#This Row],[IsApproved]]=1,Deals[[#This Row],[Amount]],0)</f>
        <v>6900</v>
      </c>
      <c r="T443" s="21">
        <f>Deals[[#This Row],[ApprovedAmount]]*Deals[[#This Row],[ProfitRate]]</f>
        <v>285.65999999999997</v>
      </c>
    </row>
    <row r="444" spans="1:20">
      <c r="A444" s="2" t="s">
        <v>867</v>
      </c>
      <c r="B444" s="3">
        <v>46120</v>
      </c>
      <c r="C444" s="2" t="s">
        <v>868</v>
      </c>
      <c r="D444" s="2" t="s">
        <v>25</v>
      </c>
      <c r="E444" s="2" t="s">
        <v>30</v>
      </c>
      <c r="F444" s="2" t="s">
        <v>31</v>
      </c>
      <c r="G444" s="4">
        <v>12300</v>
      </c>
      <c r="H444" s="5">
        <v>4.53E-2</v>
      </c>
      <c r="I444" s="2">
        <v>48</v>
      </c>
      <c r="J444" s="2" t="s">
        <v>26</v>
      </c>
      <c r="K444" s="2" t="s">
        <v>17</v>
      </c>
      <c r="L444" s="3">
        <v>46122</v>
      </c>
      <c r="M444" s="2" t="str">
        <f>_xlfn.XLOOKUP(Deals[[#This Row],[CustomerID]],Customers!A:A,Customers!F:F)</f>
        <v>Mass</v>
      </c>
      <c r="N444" s="2" t="str">
        <f>_xlfn.XLOOKUP(Deals[[#This Row],[CustomerID]],Customers!A:A,Customers!E:E)</f>
        <v>Kuwaiti</v>
      </c>
      <c r="O444" s="2">
        <f>2026-_xlfn.XLOOKUP(Deals[[#This Row],[CustomerID]],Customers!A:A,Customers!D:D)</f>
        <v>55</v>
      </c>
      <c r="P444" s="2" t="str" cm="1">
        <f t="array" ref="P444">_xlfn.IFS(Deals[[#This Row],[Age]]&lt;30,"Under 30",Deals[[#This Row],[Age]]&lt;45,"30-44",TRUE,"45+")</f>
        <v>45+</v>
      </c>
      <c r="Q444" s="21">
        <f>IF(Deals[[#This Row],[Status]]="Pending","",Deals[[#This Row],[DecisionDate]]-Deals[[#This Row],[ApplicationDate]])</f>
        <v>2</v>
      </c>
      <c r="R444" s="21">
        <f>IF(Deals[[#This Row],[Status]]="Approved",1,0)</f>
        <v>1</v>
      </c>
      <c r="S444" s="21">
        <f>IF(Deals[[#This Row],[IsApproved]]=1,Deals[[#This Row],[Amount]],0)</f>
        <v>12300</v>
      </c>
      <c r="T444" s="21">
        <f>Deals[[#This Row],[ApprovedAmount]]*Deals[[#This Row],[ProfitRate]]</f>
        <v>557.19000000000005</v>
      </c>
    </row>
    <row r="445" spans="1:20">
      <c r="A445" s="2" t="s">
        <v>869</v>
      </c>
      <c r="B445" s="3">
        <v>46120</v>
      </c>
      <c r="C445" s="2" t="s">
        <v>870</v>
      </c>
      <c r="D445" s="2" t="s">
        <v>20</v>
      </c>
      <c r="E445" s="2" t="s">
        <v>43</v>
      </c>
      <c r="F445" s="2" t="s">
        <v>31</v>
      </c>
      <c r="G445" s="4">
        <v>114500</v>
      </c>
      <c r="H445" s="5">
        <v>6.4199999999999993E-2</v>
      </c>
      <c r="I445" s="2">
        <v>84</v>
      </c>
      <c r="J445" s="2" t="s">
        <v>22</v>
      </c>
      <c r="K445" s="2" t="s">
        <v>45</v>
      </c>
      <c r="L445" s="3">
        <v>46128</v>
      </c>
      <c r="M445" s="2" t="str">
        <f>_xlfn.XLOOKUP(Deals[[#This Row],[CustomerID]],Customers!A:A,Customers!F:F)</f>
        <v>Mass</v>
      </c>
      <c r="N445" s="2" t="str">
        <f>_xlfn.XLOOKUP(Deals[[#This Row],[CustomerID]],Customers!A:A,Customers!E:E)</f>
        <v>Non-Kuwaiti</v>
      </c>
      <c r="O445" s="2">
        <f>2026-_xlfn.XLOOKUP(Deals[[#This Row],[CustomerID]],Customers!A:A,Customers!D:D)</f>
        <v>51</v>
      </c>
      <c r="P445" s="2" t="str" cm="1">
        <f t="array" ref="P445">_xlfn.IFS(Deals[[#This Row],[Age]]&lt;30,"Under 30",Deals[[#This Row],[Age]]&lt;45,"30-44",TRUE,"45+")</f>
        <v>45+</v>
      </c>
      <c r="Q445" s="21">
        <f>IF(Deals[[#This Row],[Status]]="Pending","",Deals[[#This Row],[DecisionDate]]-Deals[[#This Row],[ApplicationDate]])</f>
        <v>8</v>
      </c>
      <c r="R445" s="21">
        <f>IF(Deals[[#This Row],[Status]]="Approved",1,0)</f>
        <v>0</v>
      </c>
      <c r="S445" s="21">
        <f>IF(Deals[[#This Row],[IsApproved]]=1,Deals[[#This Row],[Amount]],0)</f>
        <v>0</v>
      </c>
      <c r="T445" s="21">
        <f>Deals[[#This Row],[ApprovedAmount]]*Deals[[#This Row],[ProfitRate]]</f>
        <v>0</v>
      </c>
    </row>
    <row r="446" spans="1:20">
      <c r="A446" s="2" t="s">
        <v>871</v>
      </c>
      <c r="B446" s="3">
        <v>46120</v>
      </c>
      <c r="C446" s="2" t="s">
        <v>350</v>
      </c>
      <c r="D446" s="2" t="s">
        <v>29</v>
      </c>
      <c r="E446" s="2" t="s">
        <v>15</v>
      </c>
      <c r="F446" s="2" t="s">
        <v>3</v>
      </c>
      <c r="G446" s="4">
        <v>3500</v>
      </c>
      <c r="H446" s="5">
        <v>6.1100000000000002E-2</v>
      </c>
      <c r="I446" s="2">
        <v>48</v>
      </c>
      <c r="J446" s="2" t="s">
        <v>61</v>
      </c>
      <c r="K446" s="2" t="s">
        <v>17</v>
      </c>
      <c r="L446" s="3">
        <v>46125</v>
      </c>
      <c r="M446" s="2" t="str">
        <f>_xlfn.XLOOKUP(Deals[[#This Row],[CustomerID]],Customers!A:A,Customers!F:F)</f>
        <v>Premium</v>
      </c>
      <c r="N446" s="2" t="str">
        <f>_xlfn.XLOOKUP(Deals[[#This Row],[CustomerID]],Customers!A:A,Customers!E:E)</f>
        <v>Non-Kuwaiti</v>
      </c>
      <c r="O446" s="2">
        <f>2026-_xlfn.XLOOKUP(Deals[[#This Row],[CustomerID]],Customers!A:A,Customers!D:D)</f>
        <v>32</v>
      </c>
      <c r="P446" s="2" t="str" cm="1">
        <f t="array" ref="P446">_xlfn.IFS(Deals[[#This Row],[Age]]&lt;30,"Under 30",Deals[[#This Row],[Age]]&lt;45,"30-44",TRUE,"45+")</f>
        <v>30-44</v>
      </c>
      <c r="Q446" s="21">
        <f>IF(Deals[[#This Row],[Status]]="Pending","",Deals[[#This Row],[DecisionDate]]-Deals[[#This Row],[ApplicationDate]])</f>
        <v>5</v>
      </c>
      <c r="R446" s="21">
        <f>IF(Deals[[#This Row],[Status]]="Approved",1,0)</f>
        <v>1</v>
      </c>
      <c r="S446" s="21">
        <f>IF(Deals[[#This Row],[IsApproved]]=1,Deals[[#This Row],[Amount]],0)</f>
        <v>3500</v>
      </c>
      <c r="T446" s="21">
        <f>Deals[[#This Row],[ApprovedAmount]]*Deals[[#This Row],[ProfitRate]]</f>
        <v>213.85</v>
      </c>
    </row>
    <row r="447" spans="1:20">
      <c r="A447" s="2" t="s">
        <v>873</v>
      </c>
      <c r="B447" s="3">
        <v>46120</v>
      </c>
      <c r="C447" s="2" t="s">
        <v>874</v>
      </c>
      <c r="D447" s="2" t="s">
        <v>71</v>
      </c>
      <c r="E447" s="2" t="s">
        <v>21</v>
      </c>
      <c r="F447" s="2" t="s">
        <v>3</v>
      </c>
      <c r="G447" s="4">
        <v>222800</v>
      </c>
      <c r="H447" s="5">
        <v>3.8300000000000001E-2</v>
      </c>
      <c r="I447" s="2">
        <v>300</v>
      </c>
      <c r="J447" s="2" t="s">
        <v>72</v>
      </c>
      <c r="K447" s="2" t="s">
        <v>17</v>
      </c>
      <c r="L447" s="3">
        <v>46140</v>
      </c>
      <c r="M447" s="2" t="str">
        <f>_xlfn.XLOOKUP(Deals[[#This Row],[CustomerID]],Customers!A:A,Customers!F:F)</f>
        <v>Mass</v>
      </c>
      <c r="N447" s="2" t="str">
        <f>_xlfn.XLOOKUP(Deals[[#This Row],[CustomerID]],Customers!A:A,Customers!E:E)</f>
        <v>Kuwaiti</v>
      </c>
      <c r="O447" s="2">
        <f>2026-_xlfn.XLOOKUP(Deals[[#This Row],[CustomerID]],Customers!A:A,Customers!D:D)</f>
        <v>38</v>
      </c>
      <c r="P447" s="2" t="str" cm="1">
        <f t="array" ref="P447">_xlfn.IFS(Deals[[#This Row],[Age]]&lt;30,"Under 30",Deals[[#This Row],[Age]]&lt;45,"30-44",TRUE,"45+")</f>
        <v>30-44</v>
      </c>
      <c r="Q447" s="21">
        <f>IF(Deals[[#This Row],[Status]]="Pending","",Deals[[#This Row],[DecisionDate]]-Deals[[#This Row],[ApplicationDate]])</f>
        <v>20</v>
      </c>
      <c r="R447" s="21">
        <f>IF(Deals[[#This Row],[Status]]="Approved",1,0)</f>
        <v>1</v>
      </c>
      <c r="S447" s="21">
        <f>IF(Deals[[#This Row],[IsApproved]]=1,Deals[[#This Row],[Amount]],0)</f>
        <v>222800</v>
      </c>
      <c r="T447" s="21">
        <f>Deals[[#This Row],[ApprovedAmount]]*Deals[[#This Row],[ProfitRate]]</f>
        <v>8533.24</v>
      </c>
    </row>
    <row r="448" spans="1:20">
      <c r="A448" s="2" t="s">
        <v>875</v>
      </c>
      <c r="B448" s="3">
        <v>46120</v>
      </c>
      <c r="C448" s="2" t="s">
        <v>487</v>
      </c>
      <c r="D448" s="2" t="s">
        <v>25</v>
      </c>
      <c r="E448" s="2" t="s">
        <v>30</v>
      </c>
      <c r="F448" s="2" t="s">
        <v>31</v>
      </c>
      <c r="G448" s="4">
        <v>5600</v>
      </c>
      <c r="H448" s="5">
        <v>3.7400000000000003E-2</v>
      </c>
      <c r="I448" s="2">
        <v>60</v>
      </c>
      <c r="J448" s="2" t="s">
        <v>181</v>
      </c>
      <c r="K448" s="2" t="s">
        <v>17</v>
      </c>
      <c r="L448" s="3">
        <v>46122</v>
      </c>
      <c r="M448" s="2" t="str">
        <f>_xlfn.XLOOKUP(Deals[[#This Row],[CustomerID]],Customers!A:A,Customers!F:F)</f>
        <v>Mass</v>
      </c>
      <c r="N448" s="2" t="str">
        <f>_xlfn.XLOOKUP(Deals[[#This Row],[CustomerID]],Customers!A:A,Customers!E:E)</f>
        <v>Kuwaiti</v>
      </c>
      <c r="O448" s="2">
        <f>2026-_xlfn.XLOOKUP(Deals[[#This Row],[CustomerID]],Customers!A:A,Customers!D:D)</f>
        <v>36</v>
      </c>
      <c r="P448" s="2" t="str" cm="1">
        <f t="array" ref="P448">_xlfn.IFS(Deals[[#This Row],[Age]]&lt;30,"Under 30",Deals[[#This Row],[Age]]&lt;45,"30-44",TRUE,"45+")</f>
        <v>30-44</v>
      </c>
      <c r="Q448" s="21">
        <f>IF(Deals[[#This Row],[Status]]="Pending","",Deals[[#This Row],[DecisionDate]]-Deals[[#This Row],[ApplicationDate]])</f>
        <v>2</v>
      </c>
      <c r="R448" s="21">
        <f>IF(Deals[[#This Row],[Status]]="Approved",1,0)</f>
        <v>1</v>
      </c>
      <c r="S448" s="21">
        <f>IF(Deals[[#This Row],[IsApproved]]=1,Deals[[#This Row],[Amount]],0)</f>
        <v>5600</v>
      </c>
      <c r="T448" s="21">
        <f>Deals[[#This Row],[ApprovedAmount]]*Deals[[#This Row],[ProfitRate]]</f>
        <v>209.44000000000003</v>
      </c>
    </row>
    <row r="449" spans="1:20">
      <c r="A449" s="2" t="s">
        <v>876</v>
      </c>
      <c r="B449" s="3">
        <v>46121</v>
      </c>
      <c r="C449" s="2" t="s">
        <v>877</v>
      </c>
      <c r="D449" s="2" t="s">
        <v>25</v>
      </c>
      <c r="E449" s="2" t="s">
        <v>30</v>
      </c>
      <c r="F449" s="2" t="s">
        <v>3</v>
      </c>
      <c r="G449" s="4">
        <v>6800</v>
      </c>
      <c r="H449" s="5">
        <v>4.7600000000000003E-2</v>
      </c>
      <c r="I449" s="2">
        <v>48</v>
      </c>
      <c r="J449" s="2" t="s">
        <v>181</v>
      </c>
      <c r="K449" s="2" t="s">
        <v>17</v>
      </c>
      <c r="L449" s="3">
        <v>46125</v>
      </c>
      <c r="M449" s="2" t="str">
        <f>_xlfn.XLOOKUP(Deals[[#This Row],[CustomerID]],Customers!A:A,Customers!F:F)</f>
        <v>Affluent</v>
      </c>
      <c r="N449" s="2" t="str">
        <f>_xlfn.XLOOKUP(Deals[[#This Row],[CustomerID]],Customers!A:A,Customers!E:E)</f>
        <v>Non-Kuwaiti</v>
      </c>
      <c r="O449" s="2">
        <f>2026-_xlfn.XLOOKUP(Deals[[#This Row],[CustomerID]],Customers!A:A,Customers!D:D)</f>
        <v>22</v>
      </c>
      <c r="P449" s="2" t="str" cm="1">
        <f t="array" ref="P449">_xlfn.IFS(Deals[[#This Row],[Age]]&lt;30,"Under 30",Deals[[#This Row],[Age]]&lt;45,"30-44",TRUE,"45+")</f>
        <v>Under 30</v>
      </c>
      <c r="Q449" s="21">
        <f>IF(Deals[[#This Row],[Status]]="Pending","",Deals[[#This Row],[DecisionDate]]-Deals[[#This Row],[ApplicationDate]])</f>
        <v>4</v>
      </c>
      <c r="R449" s="21">
        <f>IF(Deals[[#This Row],[Status]]="Approved",1,0)</f>
        <v>1</v>
      </c>
      <c r="S449" s="21">
        <f>IF(Deals[[#This Row],[IsApproved]]=1,Deals[[#This Row],[Amount]],0)</f>
        <v>6800</v>
      </c>
      <c r="T449" s="21">
        <f>Deals[[#This Row],[ApprovedAmount]]*Deals[[#This Row],[ProfitRate]]</f>
        <v>323.68</v>
      </c>
    </row>
    <row r="450" spans="1:20">
      <c r="A450" s="2" t="s">
        <v>878</v>
      </c>
      <c r="B450" s="3">
        <v>46122</v>
      </c>
      <c r="C450" s="2" t="s">
        <v>879</v>
      </c>
      <c r="D450" s="2" t="s">
        <v>71</v>
      </c>
      <c r="E450" s="2" t="s">
        <v>43</v>
      </c>
      <c r="F450" s="2" t="s">
        <v>3</v>
      </c>
      <c r="G450" s="4">
        <v>92800</v>
      </c>
      <c r="H450" s="5">
        <v>6.2700000000000006E-2</v>
      </c>
      <c r="I450" s="2">
        <v>24</v>
      </c>
      <c r="J450" s="2" t="s">
        <v>72</v>
      </c>
      <c r="K450" s="2" t="s">
        <v>17</v>
      </c>
      <c r="L450" s="3">
        <v>46136</v>
      </c>
      <c r="M450" s="2" t="str">
        <f>_xlfn.XLOOKUP(Deals[[#This Row],[CustomerID]],Customers!A:A,Customers!F:F)</f>
        <v>Mass</v>
      </c>
      <c r="N450" s="2" t="str">
        <f>_xlfn.XLOOKUP(Deals[[#This Row],[CustomerID]],Customers!A:A,Customers!E:E)</f>
        <v>Kuwaiti</v>
      </c>
      <c r="O450" s="2">
        <f>2026-_xlfn.XLOOKUP(Deals[[#This Row],[CustomerID]],Customers!A:A,Customers!D:D)</f>
        <v>32</v>
      </c>
      <c r="P450" s="2" t="str" cm="1">
        <f t="array" ref="P450">_xlfn.IFS(Deals[[#This Row],[Age]]&lt;30,"Under 30",Deals[[#This Row],[Age]]&lt;45,"30-44",TRUE,"45+")</f>
        <v>30-44</v>
      </c>
      <c r="Q450" s="21">
        <f>IF(Deals[[#This Row],[Status]]="Pending","",Deals[[#This Row],[DecisionDate]]-Deals[[#This Row],[ApplicationDate]])</f>
        <v>14</v>
      </c>
      <c r="R450" s="21">
        <f>IF(Deals[[#This Row],[Status]]="Approved",1,0)</f>
        <v>1</v>
      </c>
      <c r="S450" s="21">
        <f>IF(Deals[[#This Row],[IsApproved]]=1,Deals[[#This Row],[Amount]],0)</f>
        <v>92800</v>
      </c>
      <c r="T450" s="21">
        <f>Deals[[#This Row],[ApprovedAmount]]*Deals[[#This Row],[ProfitRate]]</f>
        <v>5818.56</v>
      </c>
    </row>
    <row r="451" spans="1:20">
      <c r="A451" s="2" t="s">
        <v>880</v>
      </c>
      <c r="B451" s="3">
        <v>46122</v>
      </c>
      <c r="C451" s="2" t="s">
        <v>881</v>
      </c>
      <c r="D451" s="2" t="s">
        <v>25</v>
      </c>
      <c r="E451" s="2" t="s">
        <v>21</v>
      </c>
      <c r="F451" s="2" t="s">
        <v>3</v>
      </c>
      <c r="G451" s="4">
        <v>109700</v>
      </c>
      <c r="H451" s="5">
        <v>4.4600000000000001E-2</v>
      </c>
      <c r="I451" s="2">
        <v>300</v>
      </c>
      <c r="J451" s="2" t="s">
        <v>26</v>
      </c>
      <c r="K451" s="2" t="s">
        <v>45</v>
      </c>
      <c r="L451" s="3">
        <v>46149</v>
      </c>
      <c r="M451" s="2" t="str">
        <f>_xlfn.XLOOKUP(Deals[[#This Row],[CustomerID]],Customers!A:A,Customers!F:F)</f>
        <v>Mass</v>
      </c>
      <c r="N451" s="2" t="str">
        <f>_xlfn.XLOOKUP(Deals[[#This Row],[CustomerID]],Customers!A:A,Customers!E:E)</f>
        <v>Kuwaiti</v>
      </c>
      <c r="O451" s="2">
        <f>2026-_xlfn.XLOOKUP(Deals[[#This Row],[CustomerID]],Customers!A:A,Customers!D:D)</f>
        <v>35</v>
      </c>
      <c r="P451" s="2" t="str" cm="1">
        <f t="array" ref="P451">_xlfn.IFS(Deals[[#This Row],[Age]]&lt;30,"Under 30",Deals[[#This Row],[Age]]&lt;45,"30-44",TRUE,"45+")</f>
        <v>30-44</v>
      </c>
      <c r="Q451" s="21">
        <f>IF(Deals[[#This Row],[Status]]="Pending","",Deals[[#This Row],[DecisionDate]]-Deals[[#This Row],[ApplicationDate]])</f>
        <v>27</v>
      </c>
      <c r="R451" s="21">
        <f>IF(Deals[[#This Row],[Status]]="Approved",1,0)</f>
        <v>0</v>
      </c>
      <c r="S451" s="21">
        <f>IF(Deals[[#This Row],[IsApproved]]=1,Deals[[#This Row],[Amount]],0)</f>
        <v>0</v>
      </c>
      <c r="T451" s="21">
        <f>Deals[[#This Row],[ApprovedAmount]]*Deals[[#This Row],[ProfitRate]]</f>
        <v>0</v>
      </c>
    </row>
    <row r="452" spans="1:20">
      <c r="A452" s="2" t="s">
        <v>882</v>
      </c>
      <c r="B452" s="3">
        <v>46122</v>
      </c>
      <c r="C452" s="2" t="s">
        <v>673</v>
      </c>
      <c r="D452" s="2" t="s">
        <v>71</v>
      </c>
      <c r="E452" s="2" t="s">
        <v>30</v>
      </c>
      <c r="F452" s="2" t="s">
        <v>55</v>
      </c>
      <c r="G452" s="4">
        <v>5500</v>
      </c>
      <c r="H452" s="5">
        <v>4.1300000000000003E-2</v>
      </c>
      <c r="I452" s="2">
        <v>48</v>
      </c>
      <c r="J452" s="2" t="s">
        <v>72</v>
      </c>
      <c r="K452" s="2" t="s">
        <v>45</v>
      </c>
      <c r="L452" s="3">
        <v>46125</v>
      </c>
      <c r="M452" s="2" t="str">
        <f>_xlfn.XLOOKUP(Deals[[#This Row],[CustomerID]],Customers!A:A,Customers!F:F)</f>
        <v>Mass</v>
      </c>
      <c r="N452" s="2" t="str">
        <f>_xlfn.XLOOKUP(Deals[[#This Row],[CustomerID]],Customers!A:A,Customers!E:E)</f>
        <v>Kuwaiti</v>
      </c>
      <c r="O452" s="2">
        <f>2026-_xlfn.XLOOKUP(Deals[[#This Row],[CustomerID]],Customers!A:A,Customers!D:D)</f>
        <v>49</v>
      </c>
      <c r="P452" s="2" t="str" cm="1">
        <f t="array" ref="P452">_xlfn.IFS(Deals[[#This Row],[Age]]&lt;30,"Under 30",Deals[[#This Row],[Age]]&lt;45,"30-44",TRUE,"45+")</f>
        <v>45+</v>
      </c>
      <c r="Q452" s="21">
        <f>IF(Deals[[#This Row],[Status]]="Pending","",Deals[[#This Row],[DecisionDate]]-Deals[[#This Row],[ApplicationDate]])</f>
        <v>3</v>
      </c>
      <c r="R452" s="21">
        <f>IF(Deals[[#This Row],[Status]]="Approved",1,0)</f>
        <v>0</v>
      </c>
      <c r="S452" s="21">
        <f>IF(Deals[[#This Row],[IsApproved]]=1,Deals[[#This Row],[Amount]],0)</f>
        <v>0</v>
      </c>
      <c r="T452" s="21">
        <f>Deals[[#This Row],[ApprovedAmount]]*Deals[[#This Row],[ProfitRate]]</f>
        <v>0</v>
      </c>
    </row>
    <row r="453" spans="1:20">
      <c r="A453" s="2" t="s">
        <v>883</v>
      </c>
      <c r="B453" s="3">
        <v>46122</v>
      </c>
      <c r="C453" s="2" t="s">
        <v>884</v>
      </c>
      <c r="D453" s="2" t="s">
        <v>25</v>
      </c>
      <c r="E453" s="2" t="s">
        <v>15</v>
      </c>
      <c r="F453" s="2" t="s">
        <v>3</v>
      </c>
      <c r="G453" s="4">
        <v>23300</v>
      </c>
      <c r="H453" s="5">
        <v>5.8400000000000001E-2</v>
      </c>
      <c r="I453" s="2">
        <v>36</v>
      </c>
      <c r="J453" s="2" t="s">
        <v>66</v>
      </c>
      <c r="K453" s="2" t="s">
        <v>17</v>
      </c>
      <c r="L453" s="3">
        <v>46125</v>
      </c>
      <c r="M453" s="2" t="str">
        <f>_xlfn.XLOOKUP(Deals[[#This Row],[CustomerID]],Customers!A:A,Customers!F:F)</f>
        <v>Mass</v>
      </c>
      <c r="N453" s="2" t="str">
        <f>_xlfn.XLOOKUP(Deals[[#This Row],[CustomerID]],Customers!A:A,Customers!E:E)</f>
        <v>Kuwaiti</v>
      </c>
      <c r="O453" s="2">
        <f>2026-_xlfn.XLOOKUP(Deals[[#This Row],[CustomerID]],Customers!A:A,Customers!D:D)</f>
        <v>43</v>
      </c>
      <c r="P453" s="2" t="str" cm="1">
        <f t="array" ref="P453">_xlfn.IFS(Deals[[#This Row],[Age]]&lt;30,"Under 30",Deals[[#This Row],[Age]]&lt;45,"30-44",TRUE,"45+")</f>
        <v>30-44</v>
      </c>
      <c r="Q453" s="21">
        <f>IF(Deals[[#This Row],[Status]]="Pending","",Deals[[#This Row],[DecisionDate]]-Deals[[#This Row],[ApplicationDate]])</f>
        <v>3</v>
      </c>
      <c r="R453" s="21">
        <f>IF(Deals[[#This Row],[Status]]="Approved",1,0)</f>
        <v>1</v>
      </c>
      <c r="S453" s="21">
        <f>IF(Deals[[#This Row],[IsApproved]]=1,Deals[[#This Row],[Amount]],0)</f>
        <v>23300</v>
      </c>
      <c r="T453" s="21">
        <f>Deals[[#This Row],[ApprovedAmount]]*Deals[[#This Row],[ProfitRate]]</f>
        <v>1360.72</v>
      </c>
    </row>
    <row r="454" spans="1:20">
      <c r="A454" s="2" t="s">
        <v>885</v>
      </c>
      <c r="B454" s="3">
        <v>46122</v>
      </c>
      <c r="C454" s="2" t="s">
        <v>886</v>
      </c>
      <c r="D454" s="2" t="s">
        <v>25</v>
      </c>
      <c r="E454" s="2" t="s">
        <v>15</v>
      </c>
      <c r="F454" s="2" t="s">
        <v>3</v>
      </c>
      <c r="G454" s="4">
        <v>23000</v>
      </c>
      <c r="H454" s="5">
        <v>5.5100000000000003E-2</v>
      </c>
      <c r="I454" s="2">
        <v>48</v>
      </c>
      <c r="J454" s="2" t="s">
        <v>66</v>
      </c>
      <c r="K454" s="2" t="s">
        <v>17</v>
      </c>
      <c r="L454" s="3">
        <v>46124</v>
      </c>
      <c r="M454" s="2" t="str">
        <f>_xlfn.XLOOKUP(Deals[[#This Row],[CustomerID]],Customers!A:A,Customers!F:F)</f>
        <v>Mass</v>
      </c>
      <c r="N454" s="2" t="str">
        <f>_xlfn.XLOOKUP(Deals[[#This Row],[CustomerID]],Customers!A:A,Customers!E:E)</f>
        <v>Non-Kuwaiti</v>
      </c>
      <c r="O454" s="2">
        <f>2026-_xlfn.XLOOKUP(Deals[[#This Row],[CustomerID]],Customers!A:A,Customers!D:D)</f>
        <v>71</v>
      </c>
      <c r="P454" s="2" t="str" cm="1">
        <f t="array" ref="P454">_xlfn.IFS(Deals[[#This Row],[Age]]&lt;30,"Under 30",Deals[[#This Row],[Age]]&lt;45,"30-44",TRUE,"45+")</f>
        <v>45+</v>
      </c>
      <c r="Q454" s="21">
        <f>IF(Deals[[#This Row],[Status]]="Pending","",Deals[[#This Row],[DecisionDate]]-Deals[[#This Row],[ApplicationDate]])</f>
        <v>2</v>
      </c>
      <c r="R454" s="21">
        <f>IF(Deals[[#This Row],[Status]]="Approved",1,0)</f>
        <v>1</v>
      </c>
      <c r="S454" s="21">
        <f>IF(Deals[[#This Row],[IsApproved]]=1,Deals[[#This Row],[Amount]],0)</f>
        <v>23000</v>
      </c>
      <c r="T454" s="21">
        <f>Deals[[#This Row],[ApprovedAmount]]*Deals[[#This Row],[ProfitRate]]</f>
        <v>1267.3000000000002</v>
      </c>
    </row>
    <row r="455" spans="1:20">
      <c r="A455" s="2" t="s">
        <v>887</v>
      </c>
      <c r="B455" s="3">
        <v>46122</v>
      </c>
      <c r="C455" s="2" t="s">
        <v>888</v>
      </c>
      <c r="D455" s="2" t="s">
        <v>20</v>
      </c>
      <c r="E455" s="2" t="s">
        <v>30</v>
      </c>
      <c r="F455" s="2" t="s">
        <v>55</v>
      </c>
      <c r="G455" s="4">
        <v>11300</v>
      </c>
      <c r="H455" s="5">
        <v>4.3200000000000002E-2</v>
      </c>
      <c r="I455" s="2">
        <v>48</v>
      </c>
      <c r="J455" s="2" t="s">
        <v>22</v>
      </c>
      <c r="K455" s="2" t="s">
        <v>17</v>
      </c>
      <c r="L455" s="3">
        <v>46127</v>
      </c>
      <c r="M455" s="2" t="str">
        <f>_xlfn.XLOOKUP(Deals[[#This Row],[CustomerID]],Customers!A:A,Customers!F:F)</f>
        <v>Affluent</v>
      </c>
      <c r="N455" s="2" t="str">
        <f>_xlfn.XLOOKUP(Deals[[#This Row],[CustomerID]],Customers!A:A,Customers!E:E)</f>
        <v>Kuwaiti</v>
      </c>
      <c r="O455" s="2">
        <f>2026-_xlfn.XLOOKUP(Deals[[#This Row],[CustomerID]],Customers!A:A,Customers!D:D)</f>
        <v>24</v>
      </c>
      <c r="P455" s="2" t="str" cm="1">
        <f t="array" ref="P455">_xlfn.IFS(Deals[[#This Row],[Age]]&lt;30,"Under 30",Deals[[#This Row],[Age]]&lt;45,"30-44",TRUE,"45+")</f>
        <v>Under 30</v>
      </c>
      <c r="Q455" s="21">
        <f>IF(Deals[[#This Row],[Status]]="Pending","",Deals[[#This Row],[DecisionDate]]-Deals[[#This Row],[ApplicationDate]])</f>
        <v>5</v>
      </c>
      <c r="R455" s="21">
        <f>IF(Deals[[#This Row],[Status]]="Approved",1,0)</f>
        <v>1</v>
      </c>
      <c r="S455" s="21">
        <f>IF(Deals[[#This Row],[IsApproved]]=1,Deals[[#This Row],[Amount]],0)</f>
        <v>11300</v>
      </c>
      <c r="T455" s="21">
        <f>Deals[[#This Row],[ApprovedAmount]]*Deals[[#This Row],[ProfitRate]]</f>
        <v>488.16</v>
      </c>
    </row>
    <row r="456" spans="1:20">
      <c r="A456" s="2" t="s">
        <v>889</v>
      </c>
      <c r="B456" s="3">
        <v>46122</v>
      </c>
      <c r="C456" s="2" t="s">
        <v>751</v>
      </c>
      <c r="D456" s="2" t="s">
        <v>25</v>
      </c>
      <c r="E456" s="2" t="s">
        <v>30</v>
      </c>
      <c r="F456" s="2" t="s">
        <v>3</v>
      </c>
      <c r="G456" s="4">
        <v>18700</v>
      </c>
      <c r="H456" s="5">
        <v>4.2299999999999997E-2</v>
      </c>
      <c r="I456" s="2">
        <v>60</v>
      </c>
      <c r="J456" s="2" t="s">
        <v>181</v>
      </c>
      <c r="K456" s="2" t="s">
        <v>17</v>
      </c>
      <c r="L456" s="3">
        <v>46123</v>
      </c>
      <c r="M456" s="2" t="str">
        <f>_xlfn.XLOOKUP(Deals[[#This Row],[CustomerID]],Customers!A:A,Customers!F:F)</f>
        <v>Premium</v>
      </c>
      <c r="N456" s="2" t="str">
        <f>_xlfn.XLOOKUP(Deals[[#This Row],[CustomerID]],Customers!A:A,Customers!E:E)</f>
        <v>Non-Kuwaiti</v>
      </c>
      <c r="O456" s="2">
        <f>2026-_xlfn.XLOOKUP(Deals[[#This Row],[CustomerID]],Customers!A:A,Customers!D:D)</f>
        <v>56</v>
      </c>
      <c r="P456" s="2" t="str" cm="1">
        <f t="array" ref="P456">_xlfn.IFS(Deals[[#This Row],[Age]]&lt;30,"Under 30",Deals[[#This Row],[Age]]&lt;45,"30-44",TRUE,"45+")</f>
        <v>45+</v>
      </c>
      <c r="Q456" s="21">
        <f>IF(Deals[[#This Row],[Status]]="Pending","",Deals[[#This Row],[DecisionDate]]-Deals[[#This Row],[ApplicationDate]])</f>
        <v>1</v>
      </c>
      <c r="R456" s="21">
        <f>IF(Deals[[#This Row],[Status]]="Approved",1,0)</f>
        <v>1</v>
      </c>
      <c r="S456" s="21">
        <f>IF(Deals[[#This Row],[IsApproved]]=1,Deals[[#This Row],[Amount]],0)</f>
        <v>18700</v>
      </c>
      <c r="T456" s="21">
        <f>Deals[[#This Row],[ApprovedAmount]]*Deals[[#This Row],[ProfitRate]]</f>
        <v>791.01</v>
      </c>
    </row>
    <row r="457" spans="1:20">
      <c r="A457" s="2" t="s">
        <v>890</v>
      </c>
      <c r="B457" s="3">
        <v>46123</v>
      </c>
      <c r="C457" s="2" t="s">
        <v>891</v>
      </c>
      <c r="D457" s="2" t="s">
        <v>29</v>
      </c>
      <c r="E457" s="2" t="s">
        <v>30</v>
      </c>
      <c r="F457" s="2" t="s">
        <v>31</v>
      </c>
      <c r="G457" s="4">
        <v>11600</v>
      </c>
      <c r="H457" s="5">
        <v>3.7699999999999997E-2</v>
      </c>
      <c r="I457" s="2">
        <v>36</v>
      </c>
      <c r="J457" s="2" t="s">
        <v>61</v>
      </c>
      <c r="K457" s="2" t="s">
        <v>17</v>
      </c>
      <c r="L457" s="3">
        <v>46125</v>
      </c>
      <c r="M457" s="2" t="str">
        <f>_xlfn.XLOOKUP(Deals[[#This Row],[CustomerID]],Customers!A:A,Customers!F:F)</f>
        <v>Mass</v>
      </c>
      <c r="N457" s="2" t="str">
        <f>_xlfn.XLOOKUP(Deals[[#This Row],[CustomerID]],Customers!A:A,Customers!E:E)</f>
        <v>Kuwaiti</v>
      </c>
      <c r="O457" s="2">
        <f>2026-_xlfn.XLOOKUP(Deals[[#This Row],[CustomerID]],Customers!A:A,Customers!D:D)</f>
        <v>48</v>
      </c>
      <c r="P457" s="2" t="str" cm="1">
        <f t="array" ref="P457">_xlfn.IFS(Deals[[#This Row],[Age]]&lt;30,"Under 30",Deals[[#This Row],[Age]]&lt;45,"30-44",TRUE,"45+")</f>
        <v>45+</v>
      </c>
      <c r="Q457" s="21">
        <f>IF(Deals[[#This Row],[Status]]="Pending","",Deals[[#This Row],[DecisionDate]]-Deals[[#This Row],[ApplicationDate]])</f>
        <v>2</v>
      </c>
      <c r="R457" s="21">
        <f>IF(Deals[[#This Row],[Status]]="Approved",1,0)</f>
        <v>1</v>
      </c>
      <c r="S457" s="21">
        <f>IF(Deals[[#This Row],[IsApproved]]=1,Deals[[#This Row],[Amount]],0)</f>
        <v>11600</v>
      </c>
      <c r="T457" s="21">
        <f>Deals[[#This Row],[ApprovedAmount]]*Deals[[#This Row],[ProfitRate]]</f>
        <v>437.32</v>
      </c>
    </row>
    <row r="458" spans="1:20">
      <c r="A458" s="2" t="s">
        <v>892</v>
      </c>
      <c r="B458" s="3">
        <v>46123</v>
      </c>
      <c r="C458" s="2" t="s">
        <v>893</v>
      </c>
      <c r="D458" s="2" t="s">
        <v>14</v>
      </c>
      <c r="E458" s="2" t="s">
        <v>43</v>
      </c>
      <c r="F458" s="2" t="s">
        <v>3</v>
      </c>
      <c r="G458" s="4">
        <v>30500</v>
      </c>
      <c r="H458" s="5">
        <v>7.5399999999999995E-2</v>
      </c>
      <c r="I458" s="2">
        <v>24</v>
      </c>
      <c r="J458" s="2" t="s">
        <v>16</v>
      </c>
      <c r="K458" s="2" t="s">
        <v>17</v>
      </c>
      <c r="L458" s="3">
        <v>46133</v>
      </c>
      <c r="M458" s="2" t="str">
        <f>_xlfn.XLOOKUP(Deals[[#This Row],[CustomerID]],Customers!A:A,Customers!F:F)</f>
        <v>Mass</v>
      </c>
      <c r="N458" s="2" t="str">
        <f>_xlfn.XLOOKUP(Deals[[#This Row],[CustomerID]],Customers!A:A,Customers!E:E)</f>
        <v>Kuwaiti</v>
      </c>
      <c r="O458" s="2">
        <f>2026-_xlfn.XLOOKUP(Deals[[#This Row],[CustomerID]],Customers!A:A,Customers!D:D)</f>
        <v>26</v>
      </c>
      <c r="P458" s="2" t="str" cm="1">
        <f t="array" ref="P458">_xlfn.IFS(Deals[[#This Row],[Age]]&lt;30,"Under 30",Deals[[#This Row],[Age]]&lt;45,"30-44",TRUE,"45+")</f>
        <v>Under 30</v>
      </c>
      <c r="Q458" s="21">
        <f>IF(Deals[[#This Row],[Status]]="Pending","",Deals[[#This Row],[DecisionDate]]-Deals[[#This Row],[ApplicationDate]])</f>
        <v>10</v>
      </c>
      <c r="R458" s="21">
        <f>IF(Deals[[#This Row],[Status]]="Approved",1,0)</f>
        <v>1</v>
      </c>
      <c r="S458" s="21">
        <f>IF(Deals[[#This Row],[IsApproved]]=1,Deals[[#This Row],[Amount]],0)</f>
        <v>30500</v>
      </c>
      <c r="T458" s="21">
        <f>Deals[[#This Row],[ApprovedAmount]]*Deals[[#This Row],[ProfitRate]]</f>
        <v>2299.6999999999998</v>
      </c>
    </row>
    <row r="459" spans="1:20">
      <c r="A459" s="2" t="s">
        <v>894</v>
      </c>
      <c r="B459" s="3">
        <v>46123</v>
      </c>
      <c r="C459" s="2" t="s">
        <v>856</v>
      </c>
      <c r="D459" s="2" t="s">
        <v>29</v>
      </c>
      <c r="E459" s="2" t="s">
        <v>21</v>
      </c>
      <c r="F459" s="2" t="s">
        <v>3</v>
      </c>
      <c r="G459" s="4">
        <v>133100</v>
      </c>
      <c r="H459" s="5">
        <v>4.2900000000000001E-2</v>
      </c>
      <c r="I459" s="2">
        <v>300</v>
      </c>
      <c r="J459" s="2" t="s">
        <v>32</v>
      </c>
      <c r="K459" s="2" t="s">
        <v>45</v>
      </c>
      <c r="L459" s="3">
        <v>46133</v>
      </c>
      <c r="M459" s="2" t="str">
        <f>_xlfn.XLOOKUP(Deals[[#This Row],[CustomerID]],Customers!A:A,Customers!F:F)</f>
        <v>Mass</v>
      </c>
      <c r="N459" s="2" t="str">
        <f>_xlfn.XLOOKUP(Deals[[#This Row],[CustomerID]],Customers!A:A,Customers!E:E)</f>
        <v>Kuwaiti</v>
      </c>
      <c r="O459" s="2">
        <f>2026-_xlfn.XLOOKUP(Deals[[#This Row],[CustomerID]],Customers!A:A,Customers!D:D)</f>
        <v>47</v>
      </c>
      <c r="P459" s="2" t="str" cm="1">
        <f t="array" ref="P459">_xlfn.IFS(Deals[[#This Row],[Age]]&lt;30,"Under 30",Deals[[#This Row],[Age]]&lt;45,"30-44",TRUE,"45+")</f>
        <v>45+</v>
      </c>
      <c r="Q459" s="21">
        <f>IF(Deals[[#This Row],[Status]]="Pending","",Deals[[#This Row],[DecisionDate]]-Deals[[#This Row],[ApplicationDate]])</f>
        <v>10</v>
      </c>
      <c r="R459" s="21">
        <f>IF(Deals[[#This Row],[Status]]="Approved",1,0)</f>
        <v>0</v>
      </c>
      <c r="S459" s="21">
        <f>IF(Deals[[#This Row],[IsApproved]]=1,Deals[[#This Row],[Amount]],0)</f>
        <v>0</v>
      </c>
      <c r="T459" s="21">
        <f>Deals[[#This Row],[ApprovedAmount]]*Deals[[#This Row],[ProfitRate]]</f>
        <v>0</v>
      </c>
    </row>
    <row r="460" spans="1:20">
      <c r="A460" s="2" t="s">
        <v>895</v>
      </c>
      <c r="B460" s="3">
        <v>46123</v>
      </c>
      <c r="C460" s="2" t="s">
        <v>896</v>
      </c>
      <c r="D460" s="2" t="s">
        <v>14</v>
      </c>
      <c r="E460" s="2" t="s">
        <v>21</v>
      </c>
      <c r="F460" s="2" t="s">
        <v>3</v>
      </c>
      <c r="G460" s="4">
        <v>188600</v>
      </c>
      <c r="H460" s="5">
        <v>3.3599999999999998E-2</v>
      </c>
      <c r="I460" s="2">
        <v>120</v>
      </c>
      <c r="J460" s="2" t="s">
        <v>16</v>
      </c>
      <c r="K460" s="2" t="s">
        <v>17</v>
      </c>
      <c r="L460" s="3">
        <v>46139</v>
      </c>
      <c r="M460" s="2" t="str">
        <f>_xlfn.XLOOKUP(Deals[[#This Row],[CustomerID]],Customers!A:A,Customers!F:F)</f>
        <v>Affluent</v>
      </c>
      <c r="N460" s="2" t="str">
        <f>_xlfn.XLOOKUP(Deals[[#This Row],[CustomerID]],Customers!A:A,Customers!E:E)</f>
        <v>Kuwaiti</v>
      </c>
      <c r="O460" s="2">
        <f>2026-_xlfn.XLOOKUP(Deals[[#This Row],[CustomerID]],Customers!A:A,Customers!D:D)</f>
        <v>68</v>
      </c>
      <c r="P460" s="2" t="str" cm="1">
        <f t="array" ref="P460">_xlfn.IFS(Deals[[#This Row],[Age]]&lt;30,"Under 30",Deals[[#This Row],[Age]]&lt;45,"30-44",TRUE,"45+")</f>
        <v>45+</v>
      </c>
      <c r="Q460" s="21">
        <f>IF(Deals[[#This Row],[Status]]="Pending","",Deals[[#This Row],[DecisionDate]]-Deals[[#This Row],[ApplicationDate]])</f>
        <v>16</v>
      </c>
      <c r="R460" s="21">
        <f>IF(Deals[[#This Row],[Status]]="Approved",1,0)</f>
        <v>1</v>
      </c>
      <c r="S460" s="21">
        <f>IF(Deals[[#This Row],[IsApproved]]=1,Deals[[#This Row],[Amount]],0)</f>
        <v>188600</v>
      </c>
      <c r="T460" s="21">
        <f>Deals[[#This Row],[ApprovedAmount]]*Deals[[#This Row],[ProfitRate]]</f>
        <v>6336.96</v>
      </c>
    </row>
    <row r="461" spans="1:20">
      <c r="A461" s="2" t="s">
        <v>897</v>
      </c>
      <c r="B461" s="3">
        <v>46123</v>
      </c>
      <c r="C461" s="2" t="s">
        <v>898</v>
      </c>
      <c r="D461" s="2" t="s">
        <v>25</v>
      </c>
      <c r="E461" s="2" t="s">
        <v>30</v>
      </c>
      <c r="F461" s="2" t="s">
        <v>55</v>
      </c>
      <c r="G461" s="4">
        <v>13700</v>
      </c>
      <c r="H461" s="5">
        <v>4.1200000000000001E-2</v>
      </c>
      <c r="I461" s="2">
        <v>60</v>
      </c>
      <c r="J461" s="2" t="s">
        <v>66</v>
      </c>
      <c r="K461" s="2" t="s">
        <v>17</v>
      </c>
      <c r="L461" s="3">
        <v>46125</v>
      </c>
      <c r="M461" s="2" t="str">
        <f>_xlfn.XLOOKUP(Deals[[#This Row],[CustomerID]],Customers!A:A,Customers!F:F)</f>
        <v>Mass</v>
      </c>
      <c r="N461" s="2" t="str">
        <f>_xlfn.XLOOKUP(Deals[[#This Row],[CustomerID]],Customers!A:A,Customers!E:E)</f>
        <v>Non-Kuwaiti</v>
      </c>
      <c r="O461" s="2">
        <f>2026-_xlfn.XLOOKUP(Deals[[#This Row],[CustomerID]],Customers!A:A,Customers!D:D)</f>
        <v>38</v>
      </c>
      <c r="P461" s="2" t="str" cm="1">
        <f t="array" ref="P461">_xlfn.IFS(Deals[[#This Row],[Age]]&lt;30,"Under 30",Deals[[#This Row],[Age]]&lt;45,"30-44",TRUE,"45+")</f>
        <v>30-44</v>
      </c>
      <c r="Q461" s="21">
        <f>IF(Deals[[#This Row],[Status]]="Pending","",Deals[[#This Row],[DecisionDate]]-Deals[[#This Row],[ApplicationDate]])</f>
        <v>2</v>
      </c>
      <c r="R461" s="21">
        <f>IF(Deals[[#This Row],[Status]]="Approved",1,0)</f>
        <v>1</v>
      </c>
      <c r="S461" s="21">
        <f>IF(Deals[[#This Row],[IsApproved]]=1,Deals[[#This Row],[Amount]],0)</f>
        <v>13700</v>
      </c>
      <c r="T461" s="21">
        <f>Deals[[#This Row],[ApprovedAmount]]*Deals[[#This Row],[ProfitRate]]</f>
        <v>564.44000000000005</v>
      </c>
    </row>
    <row r="462" spans="1:20">
      <c r="A462" s="2" t="s">
        <v>899</v>
      </c>
      <c r="B462" s="3">
        <v>46123</v>
      </c>
      <c r="C462" s="2" t="s">
        <v>264</v>
      </c>
      <c r="D462" s="2" t="s">
        <v>25</v>
      </c>
      <c r="E462" s="2" t="s">
        <v>21</v>
      </c>
      <c r="F462" s="2" t="s">
        <v>31</v>
      </c>
      <c r="G462" s="4">
        <v>173200</v>
      </c>
      <c r="H462" s="5">
        <v>3.7100000000000001E-2</v>
      </c>
      <c r="I462" s="2">
        <v>120</v>
      </c>
      <c r="J462" s="2" t="s">
        <v>26</v>
      </c>
      <c r="K462" s="2" t="s">
        <v>17</v>
      </c>
      <c r="L462" s="3">
        <v>46146</v>
      </c>
      <c r="M462" s="2" t="str">
        <f>_xlfn.XLOOKUP(Deals[[#This Row],[CustomerID]],Customers!A:A,Customers!F:F)</f>
        <v>Mass</v>
      </c>
      <c r="N462" s="2" t="str">
        <f>_xlfn.XLOOKUP(Deals[[#This Row],[CustomerID]],Customers!A:A,Customers!E:E)</f>
        <v>Non-Kuwaiti</v>
      </c>
      <c r="O462" s="2">
        <f>2026-_xlfn.XLOOKUP(Deals[[#This Row],[CustomerID]],Customers!A:A,Customers!D:D)</f>
        <v>29</v>
      </c>
      <c r="P462" s="2" t="str" cm="1">
        <f t="array" ref="P462">_xlfn.IFS(Deals[[#This Row],[Age]]&lt;30,"Under 30",Deals[[#This Row],[Age]]&lt;45,"30-44",TRUE,"45+")</f>
        <v>Under 30</v>
      </c>
      <c r="Q462" s="21">
        <f>IF(Deals[[#This Row],[Status]]="Pending","",Deals[[#This Row],[DecisionDate]]-Deals[[#This Row],[ApplicationDate]])</f>
        <v>23</v>
      </c>
      <c r="R462" s="21">
        <f>IF(Deals[[#This Row],[Status]]="Approved",1,0)</f>
        <v>1</v>
      </c>
      <c r="S462" s="21">
        <f>IF(Deals[[#This Row],[IsApproved]]=1,Deals[[#This Row],[Amount]],0)</f>
        <v>173200</v>
      </c>
      <c r="T462" s="21">
        <f>Deals[[#This Row],[ApprovedAmount]]*Deals[[#This Row],[ProfitRate]]</f>
        <v>6425.72</v>
      </c>
    </row>
    <row r="463" spans="1:20">
      <c r="A463" s="2" t="s">
        <v>900</v>
      </c>
      <c r="B463" s="3">
        <v>46123</v>
      </c>
      <c r="C463" s="2" t="s">
        <v>479</v>
      </c>
      <c r="D463" s="2" t="s">
        <v>71</v>
      </c>
      <c r="E463" s="2" t="s">
        <v>30</v>
      </c>
      <c r="F463" s="2" t="s">
        <v>31</v>
      </c>
      <c r="G463" s="4">
        <v>12500</v>
      </c>
      <c r="H463" s="5">
        <v>3.8199999999999998E-2</v>
      </c>
      <c r="I463" s="2">
        <v>48</v>
      </c>
      <c r="J463" s="2" t="s">
        <v>94</v>
      </c>
      <c r="K463" s="2" t="s">
        <v>45</v>
      </c>
      <c r="L463" s="3">
        <v>46125</v>
      </c>
      <c r="M463" s="2" t="str">
        <f>_xlfn.XLOOKUP(Deals[[#This Row],[CustomerID]],Customers!A:A,Customers!F:F)</f>
        <v>Mass</v>
      </c>
      <c r="N463" s="2" t="str">
        <f>_xlfn.XLOOKUP(Deals[[#This Row],[CustomerID]],Customers!A:A,Customers!E:E)</f>
        <v>Kuwaiti</v>
      </c>
      <c r="O463" s="2">
        <f>2026-_xlfn.XLOOKUP(Deals[[#This Row],[CustomerID]],Customers!A:A,Customers!D:D)</f>
        <v>49</v>
      </c>
      <c r="P463" s="2" t="str" cm="1">
        <f t="array" ref="P463">_xlfn.IFS(Deals[[#This Row],[Age]]&lt;30,"Under 30",Deals[[#This Row],[Age]]&lt;45,"30-44",TRUE,"45+")</f>
        <v>45+</v>
      </c>
      <c r="Q463" s="21">
        <f>IF(Deals[[#This Row],[Status]]="Pending","",Deals[[#This Row],[DecisionDate]]-Deals[[#This Row],[ApplicationDate]])</f>
        <v>2</v>
      </c>
      <c r="R463" s="21">
        <f>IF(Deals[[#This Row],[Status]]="Approved",1,0)</f>
        <v>0</v>
      </c>
      <c r="S463" s="21">
        <f>IF(Deals[[#This Row],[IsApproved]]=1,Deals[[#This Row],[Amount]],0)</f>
        <v>0</v>
      </c>
      <c r="T463" s="21">
        <f>Deals[[#This Row],[ApprovedAmount]]*Deals[[#This Row],[ProfitRate]]</f>
        <v>0</v>
      </c>
    </row>
    <row r="464" spans="1:20">
      <c r="A464" s="2" t="s">
        <v>902</v>
      </c>
      <c r="B464" s="3">
        <v>46124</v>
      </c>
      <c r="C464" s="2" t="s">
        <v>903</v>
      </c>
      <c r="D464" s="2" t="s">
        <v>54</v>
      </c>
      <c r="E464" s="2" t="s">
        <v>43</v>
      </c>
      <c r="F464" s="2" t="s">
        <v>3</v>
      </c>
      <c r="G464" s="4">
        <v>164800</v>
      </c>
      <c r="H464" s="5">
        <v>6.6500000000000004E-2</v>
      </c>
      <c r="I464" s="2">
        <v>24</v>
      </c>
      <c r="J464" s="2" t="s">
        <v>148</v>
      </c>
      <c r="K464" s="2" t="s">
        <v>17</v>
      </c>
      <c r="L464" s="3">
        <v>46144</v>
      </c>
      <c r="M464" s="2" t="str">
        <f>_xlfn.XLOOKUP(Deals[[#This Row],[CustomerID]],Customers!A:A,Customers!F:F)</f>
        <v>Premium</v>
      </c>
      <c r="N464" s="2" t="str">
        <f>_xlfn.XLOOKUP(Deals[[#This Row],[CustomerID]],Customers!A:A,Customers!E:E)</f>
        <v>Kuwaiti</v>
      </c>
      <c r="O464" s="2">
        <f>2026-_xlfn.XLOOKUP(Deals[[#This Row],[CustomerID]],Customers!A:A,Customers!D:D)</f>
        <v>54</v>
      </c>
      <c r="P464" s="2" t="str" cm="1">
        <f t="array" ref="P464">_xlfn.IFS(Deals[[#This Row],[Age]]&lt;30,"Under 30",Deals[[#This Row],[Age]]&lt;45,"30-44",TRUE,"45+")</f>
        <v>45+</v>
      </c>
      <c r="Q464" s="21">
        <f>IF(Deals[[#This Row],[Status]]="Pending","",Deals[[#This Row],[DecisionDate]]-Deals[[#This Row],[ApplicationDate]])</f>
        <v>20</v>
      </c>
      <c r="R464" s="21">
        <f>IF(Deals[[#This Row],[Status]]="Approved",1,0)</f>
        <v>1</v>
      </c>
      <c r="S464" s="21">
        <f>IF(Deals[[#This Row],[IsApproved]]=1,Deals[[#This Row],[Amount]],0)</f>
        <v>164800</v>
      </c>
      <c r="T464" s="21">
        <f>Deals[[#This Row],[ApprovedAmount]]*Deals[[#This Row],[ProfitRate]]</f>
        <v>10959.2</v>
      </c>
    </row>
    <row r="465" spans="1:20">
      <c r="A465" s="2" t="s">
        <v>905</v>
      </c>
      <c r="B465" s="3">
        <v>46124</v>
      </c>
      <c r="C465" s="2" t="s">
        <v>282</v>
      </c>
      <c r="D465" s="2" t="s">
        <v>20</v>
      </c>
      <c r="E465" s="2" t="s">
        <v>15</v>
      </c>
      <c r="F465" s="2" t="s">
        <v>31</v>
      </c>
      <c r="G465" s="4">
        <v>10500</v>
      </c>
      <c r="H465" s="5">
        <v>5.5899999999999998E-2</v>
      </c>
      <c r="I465" s="2">
        <v>48</v>
      </c>
      <c r="J465" s="2" t="s">
        <v>22</v>
      </c>
      <c r="K465" s="2" t="s">
        <v>17</v>
      </c>
      <c r="L465" s="3">
        <v>46129</v>
      </c>
      <c r="M465" s="2" t="str">
        <f>_xlfn.XLOOKUP(Deals[[#This Row],[CustomerID]],Customers!A:A,Customers!F:F)</f>
        <v>Mass</v>
      </c>
      <c r="N465" s="2" t="str">
        <f>_xlfn.XLOOKUP(Deals[[#This Row],[CustomerID]],Customers!A:A,Customers!E:E)</f>
        <v>Non-Kuwaiti</v>
      </c>
      <c r="O465" s="2">
        <f>2026-_xlfn.XLOOKUP(Deals[[#This Row],[CustomerID]],Customers!A:A,Customers!D:D)</f>
        <v>25</v>
      </c>
      <c r="P465" s="2" t="str" cm="1">
        <f t="array" ref="P465">_xlfn.IFS(Deals[[#This Row],[Age]]&lt;30,"Under 30",Deals[[#This Row],[Age]]&lt;45,"30-44",TRUE,"45+")</f>
        <v>Under 30</v>
      </c>
      <c r="Q465" s="21">
        <f>IF(Deals[[#This Row],[Status]]="Pending","",Deals[[#This Row],[DecisionDate]]-Deals[[#This Row],[ApplicationDate]])</f>
        <v>5</v>
      </c>
      <c r="R465" s="21">
        <f>IF(Deals[[#This Row],[Status]]="Approved",1,0)</f>
        <v>1</v>
      </c>
      <c r="S465" s="21">
        <f>IF(Deals[[#This Row],[IsApproved]]=1,Deals[[#This Row],[Amount]],0)</f>
        <v>10500</v>
      </c>
      <c r="T465" s="21">
        <f>Deals[[#This Row],[ApprovedAmount]]*Deals[[#This Row],[ProfitRate]]</f>
        <v>586.94999999999993</v>
      </c>
    </row>
    <row r="466" spans="1:20">
      <c r="A466" s="2" t="s">
        <v>906</v>
      </c>
      <c r="B466" s="3">
        <v>46124</v>
      </c>
      <c r="C466" s="2" t="s">
        <v>28</v>
      </c>
      <c r="D466" s="2" t="s">
        <v>20</v>
      </c>
      <c r="E466" s="2" t="s">
        <v>30</v>
      </c>
      <c r="F466" s="2" t="s">
        <v>31</v>
      </c>
      <c r="G466" s="4">
        <v>6700</v>
      </c>
      <c r="H466" s="5">
        <v>3.8399999999999997E-2</v>
      </c>
      <c r="I466" s="2">
        <v>36</v>
      </c>
      <c r="J466" s="2" t="s">
        <v>44</v>
      </c>
      <c r="K466" s="2" t="s">
        <v>17</v>
      </c>
      <c r="L466" s="3">
        <v>46129</v>
      </c>
      <c r="M466" s="2" t="str">
        <f>_xlfn.XLOOKUP(Deals[[#This Row],[CustomerID]],Customers!A:A,Customers!F:F)</f>
        <v>Affluent</v>
      </c>
      <c r="N466" s="2" t="str">
        <f>_xlfn.XLOOKUP(Deals[[#This Row],[CustomerID]],Customers!A:A,Customers!E:E)</f>
        <v>Kuwaiti</v>
      </c>
      <c r="O466" s="2">
        <f>2026-_xlfn.XLOOKUP(Deals[[#This Row],[CustomerID]],Customers!A:A,Customers!D:D)</f>
        <v>41</v>
      </c>
      <c r="P466" s="2" t="str" cm="1">
        <f t="array" ref="P466">_xlfn.IFS(Deals[[#This Row],[Age]]&lt;30,"Under 30",Deals[[#This Row],[Age]]&lt;45,"30-44",TRUE,"45+")</f>
        <v>30-44</v>
      </c>
      <c r="Q466" s="21">
        <f>IF(Deals[[#This Row],[Status]]="Pending","",Deals[[#This Row],[DecisionDate]]-Deals[[#This Row],[ApplicationDate]])</f>
        <v>5</v>
      </c>
      <c r="R466" s="21">
        <f>IF(Deals[[#This Row],[Status]]="Approved",1,0)</f>
        <v>1</v>
      </c>
      <c r="S466" s="21">
        <f>IF(Deals[[#This Row],[IsApproved]]=1,Deals[[#This Row],[Amount]],0)</f>
        <v>6700</v>
      </c>
      <c r="T466" s="21">
        <f>Deals[[#This Row],[ApprovedAmount]]*Deals[[#This Row],[ProfitRate]]</f>
        <v>257.27999999999997</v>
      </c>
    </row>
    <row r="467" spans="1:20">
      <c r="A467" s="2" t="s">
        <v>907</v>
      </c>
      <c r="B467" s="3">
        <v>46125</v>
      </c>
      <c r="C467" s="2" t="s">
        <v>908</v>
      </c>
      <c r="D467" s="2" t="s">
        <v>25</v>
      </c>
      <c r="E467" s="2" t="s">
        <v>15</v>
      </c>
      <c r="F467" s="2" t="s">
        <v>3</v>
      </c>
      <c r="G467" s="4">
        <v>22000</v>
      </c>
      <c r="H467" s="5">
        <v>6.3600000000000004E-2</v>
      </c>
      <c r="I467" s="2">
        <v>12</v>
      </c>
      <c r="J467" s="2" t="s">
        <v>66</v>
      </c>
      <c r="K467" s="2" t="s">
        <v>45</v>
      </c>
      <c r="L467" s="3">
        <v>46129</v>
      </c>
      <c r="M467" s="2" t="str">
        <f>_xlfn.XLOOKUP(Deals[[#This Row],[CustomerID]],Customers!A:A,Customers!F:F)</f>
        <v>Mass</v>
      </c>
      <c r="N467" s="2" t="str">
        <f>_xlfn.XLOOKUP(Deals[[#This Row],[CustomerID]],Customers!A:A,Customers!E:E)</f>
        <v>Non-Kuwaiti</v>
      </c>
      <c r="O467" s="2">
        <f>2026-_xlfn.XLOOKUP(Deals[[#This Row],[CustomerID]],Customers!A:A,Customers!D:D)</f>
        <v>24</v>
      </c>
      <c r="P467" s="2" t="str" cm="1">
        <f t="array" ref="P467">_xlfn.IFS(Deals[[#This Row],[Age]]&lt;30,"Under 30",Deals[[#This Row],[Age]]&lt;45,"30-44",TRUE,"45+")</f>
        <v>Under 30</v>
      </c>
      <c r="Q467" s="21">
        <f>IF(Deals[[#This Row],[Status]]="Pending","",Deals[[#This Row],[DecisionDate]]-Deals[[#This Row],[ApplicationDate]])</f>
        <v>4</v>
      </c>
      <c r="R467" s="21">
        <f>IF(Deals[[#This Row],[Status]]="Approved",1,0)</f>
        <v>0</v>
      </c>
      <c r="S467" s="21">
        <f>IF(Deals[[#This Row],[IsApproved]]=1,Deals[[#This Row],[Amount]],0)</f>
        <v>0</v>
      </c>
      <c r="T467" s="21">
        <f>Deals[[#This Row],[ApprovedAmount]]*Deals[[#This Row],[ProfitRate]]</f>
        <v>0</v>
      </c>
    </row>
    <row r="468" spans="1:20">
      <c r="A468" s="2" t="s">
        <v>909</v>
      </c>
      <c r="B468" s="3">
        <v>46125</v>
      </c>
      <c r="C468" s="2" t="s">
        <v>910</v>
      </c>
      <c r="D468" s="2" t="s">
        <v>25</v>
      </c>
      <c r="E468" s="2" t="s">
        <v>43</v>
      </c>
      <c r="F468" s="2" t="s">
        <v>31</v>
      </c>
      <c r="G468" s="4">
        <v>55900</v>
      </c>
      <c r="H468" s="5">
        <v>5.9700000000000003E-2</v>
      </c>
      <c r="I468" s="2">
        <v>24</v>
      </c>
      <c r="J468" s="2" t="s">
        <v>26</v>
      </c>
      <c r="K468" s="2" t="s">
        <v>45</v>
      </c>
      <c r="L468" s="3">
        <v>46135</v>
      </c>
      <c r="M468" s="2" t="str">
        <f>_xlfn.XLOOKUP(Deals[[#This Row],[CustomerID]],Customers!A:A,Customers!F:F)</f>
        <v>Mass</v>
      </c>
      <c r="N468" s="2" t="str">
        <f>_xlfn.XLOOKUP(Deals[[#This Row],[CustomerID]],Customers!A:A,Customers!E:E)</f>
        <v>Non-Kuwaiti</v>
      </c>
      <c r="O468" s="2">
        <f>2026-_xlfn.XLOOKUP(Deals[[#This Row],[CustomerID]],Customers!A:A,Customers!D:D)</f>
        <v>40</v>
      </c>
      <c r="P468" s="2" t="str" cm="1">
        <f t="array" ref="P468">_xlfn.IFS(Deals[[#This Row],[Age]]&lt;30,"Under 30",Deals[[#This Row],[Age]]&lt;45,"30-44",TRUE,"45+")</f>
        <v>30-44</v>
      </c>
      <c r="Q468" s="21">
        <f>IF(Deals[[#This Row],[Status]]="Pending","",Deals[[#This Row],[DecisionDate]]-Deals[[#This Row],[ApplicationDate]])</f>
        <v>10</v>
      </c>
      <c r="R468" s="21">
        <f>IF(Deals[[#This Row],[Status]]="Approved",1,0)</f>
        <v>0</v>
      </c>
      <c r="S468" s="21">
        <f>IF(Deals[[#This Row],[IsApproved]]=1,Deals[[#This Row],[Amount]],0)</f>
        <v>0</v>
      </c>
      <c r="T468" s="21">
        <f>Deals[[#This Row],[ApprovedAmount]]*Deals[[#This Row],[ProfitRate]]</f>
        <v>0</v>
      </c>
    </row>
    <row r="469" spans="1:20">
      <c r="A469" s="2" t="s">
        <v>911</v>
      </c>
      <c r="B469" s="3">
        <v>46125</v>
      </c>
      <c r="C469" s="2" t="s">
        <v>912</v>
      </c>
      <c r="D469" s="2" t="s">
        <v>29</v>
      </c>
      <c r="E469" s="2" t="s">
        <v>15</v>
      </c>
      <c r="F469" s="2" t="s">
        <v>31</v>
      </c>
      <c r="G469" s="4">
        <v>13700</v>
      </c>
      <c r="H469" s="5">
        <v>5.91E-2</v>
      </c>
      <c r="I469" s="2">
        <v>36</v>
      </c>
      <c r="J469" s="2" t="s">
        <v>32</v>
      </c>
      <c r="K469" s="2" t="s">
        <v>45</v>
      </c>
      <c r="L469" s="3">
        <v>46130</v>
      </c>
      <c r="M469" s="2" t="str">
        <f>_xlfn.XLOOKUP(Deals[[#This Row],[CustomerID]],Customers!A:A,Customers!F:F)</f>
        <v>Mass</v>
      </c>
      <c r="N469" s="2" t="str">
        <f>_xlfn.XLOOKUP(Deals[[#This Row],[CustomerID]],Customers!A:A,Customers!E:E)</f>
        <v>Kuwaiti</v>
      </c>
      <c r="O469" s="2">
        <f>2026-_xlfn.XLOOKUP(Deals[[#This Row],[CustomerID]],Customers!A:A,Customers!D:D)</f>
        <v>27</v>
      </c>
      <c r="P469" s="2" t="str" cm="1">
        <f t="array" ref="P469">_xlfn.IFS(Deals[[#This Row],[Age]]&lt;30,"Under 30",Deals[[#This Row],[Age]]&lt;45,"30-44",TRUE,"45+")</f>
        <v>Under 30</v>
      </c>
      <c r="Q469" s="21">
        <f>IF(Deals[[#This Row],[Status]]="Pending","",Deals[[#This Row],[DecisionDate]]-Deals[[#This Row],[ApplicationDate]])</f>
        <v>5</v>
      </c>
      <c r="R469" s="21">
        <f>IF(Deals[[#This Row],[Status]]="Approved",1,0)</f>
        <v>0</v>
      </c>
      <c r="S469" s="21">
        <f>IF(Deals[[#This Row],[IsApproved]]=1,Deals[[#This Row],[Amount]],0)</f>
        <v>0</v>
      </c>
      <c r="T469" s="21">
        <f>Deals[[#This Row],[ApprovedAmount]]*Deals[[#This Row],[ProfitRate]]</f>
        <v>0</v>
      </c>
    </row>
    <row r="470" spans="1:20">
      <c r="A470" s="2" t="s">
        <v>913</v>
      </c>
      <c r="B470" s="3">
        <v>46125</v>
      </c>
      <c r="C470" s="2" t="s">
        <v>224</v>
      </c>
      <c r="D470" s="2" t="s">
        <v>71</v>
      </c>
      <c r="E470" s="2" t="s">
        <v>15</v>
      </c>
      <c r="F470" s="2" t="s">
        <v>31</v>
      </c>
      <c r="G470" s="4">
        <v>11400</v>
      </c>
      <c r="H470" s="5">
        <v>6.5699999999999995E-2</v>
      </c>
      <c r="I470" s="2">
        <v>48</v>
      </c>
      <c r="J470" s="2" t="s">
        <v>101</v>
      </c>
      <c r="K470" s="2" t="s">
        <v>17</v>
      </c>
      <c r="L470" s="3">
        <v>46130</v>
      </c>
      <c r="M470" s="2" t="str">
        <f>_xlfn.XLOOKUP(Deals[[#This Row],[CustomerID]],Customers!A:A,Customers!F:F)</f>
        <v>Affluent</v>
      </c>
      <c r="N470" s="2" t="str">
        <f>_xlfn.XLOOKUP(Deals[[#This Row],[CustomerID]],Customers!A:A,Customers!E:E)</f>
        <v>Kuwaiti</v>
      </c>
      <c r="O470" s="2">
        <f>2026-_xlfn.XLOOKUP(Deals[[#This Row],[CustomerID]],Customers!A:A,Customers!D:D)</f>
        <v>29</v>
      </c>
      <c r="P470" s="2" t="str" cm="1">
        <f t="array" ref="P470">_xlfn.IFS(Deals[[#This Row],[Age]]&lt;30,"Under 30",Deals[[#This Row],[Age]]&lt;45,"30-44",TRUE,"45+")</f>
        <v>Under 30</v>
      </c>
      <c r="Q470" s="21">
        <f>IF(Deals[[#This Row],[Status]]="Pending","",Deals[[#This Row],[DecisionDate]]-Deals[[#This Row],[ApplicationDate]])</f>
        <v>5</v>
      </c>
      <c r="R470" s="21">
        <f>IF(Deals[[#This Row],[Status]]="Approved",1,0)</f>
        <v>1</v>
      </c>
      <c r="S470" s="21">
        <f>IF(Deals[[#This Row],[IsApproved]]=1,Deals[[#This Row],[Amount]],0)</f>
        <v>11400</v>
      </c>
      <c r="T470" s="21">
        <f>Deals[[#This Row],[ApprovedAmount]]*Deals[[#This Row],[ProfitRate]]</f>
        <v>748.9799999999999</v>
      </c>
    </row>
    <row r="471" spans="1:20">
      <c r="A471" s="2" t="s">
        <v>914</v>
      </c>
      <c r="B471" s="3">
        <v>46125</v>
      </c>
      <c r="C471" s="2" t="s">
        <v>915</v>
      </c>
      <c r="D471" s="2" t="s">
        <v>54</v>
      </c>
      <c r="E471" s="2" t="s">
        <v>15</v>
      </c>
      <c r="F471" s="2" t="s">
        <v>55</v>
      </c>
      <c r="G471" s="4">
        <v>14500</v>
      </c>
      <c r="H471" s="5">
        <v>6.6100000000000006E-2</v>
      </c>
      <c r="I471" s="2">
        <v>24</v>
      </c>
      <c r="J471" s="2" t="s">
        <v>148</v>
      </c>
      <c r="K471" s="2" t="s">
        <v>17</v>
      </c>
      <c r="L471" s="3">
        <v>46126</v>
      </c>
      <c r="M471" s="2" t="str">
        <f>_xlfn.XLOOKUP(Deals[[#This Row],[CustomerID]],Customers!A:A,Customers!F:F)</f>
        <v>Mass</v>
      </c>
      <c r="N471" s="2" t="str">
        <f>_xlfn.XLOOKUP(Deals[[#This Row],[CustomerID]],Customers!A:A,Customers!E:E)</f>
        <v>Non-Kuwaiti</v>
      </c>
      <c r="O471" s="2">
        <f>2026-_xlfn.XLOOKUP(Deals[[#This Row],[CustomerID]],Customers!A:A,Customers!D:D)</f>
        <v>34</v>
      </c>
      <c r="P471" s="2" t="str" cm="1">
        <f t="array" ref="P471">_xlfn.IFS(Deals[[#This Row],[Age]]&lt;30,"Under 30",Deals[[#This Row],[Age]]&lt;45,"30-44",TRUE,"45+")</f>
        <v>30-44</v>
      </c>
      <c r="Q471" s="21">
        <f>IF(Deals[[#This Row],[Status]]="Pending","",Deals[[#This Row],[DecisionDate]]-Deals[[#This Row],[ApplicationDate]])</f>
        <v>1</v>
      </c>
      <c r="R471" s="21">
        <f>IF(Deals[[#This Row],[Status]]="Approved",1,0)</f>
        <v>1</v>
      </c>
      <c r="S471" s="21">
        <f>IF(Deals[[#This Row],[IsApproved]]=1,Deals[[#This Row],[Amount]],0)</f>
        <v>14500</v>
      </c>
      <c r="T471" s="21">
        <f>Deals[[#This Row],[ApprovedAmount]]*Deals[[#This Row],[ProfitRate]]</f>
        <v>958.45</v>
      </c>
    </row>
    <row r="472" spans="1:20">
      <c r="A472" s="2" t="s">
        <v>916</v>
      </c>
      <c r="B472" s="3">
        <v>46125</v>
      </c>
      <c r="C472" s="2" t="s">
        <v>917</v>
      </c>
      <c r="D472" s="2" t="s">
        <v>14</v>
      </c>
      <c r="E472" s="2" t="s">
        <v>15</v>
      </c>
      <c r="F472" s="2" t="s">
        <v>3</v>
      </c>
      <c r="G472" s="4">
        <v>16200</v>
      </c>
      <c r="H472" s="5">
        <v>5.1200000000000002E-2</v>
      </c>
      <c r="I472" s="2">
        <v>60</v>
      </c>
      <c r="J472" s="2" t="s">
        <v>16</v>
      </c>
      <c r="K472" s="2" t="s">
        <v>17</v>
      </c>
      <c r="L472" s="3">
        <v>46132</v>
      </c>
      <c r="M472" s="2" t="str">
        <f>_xlfn.XLOOKUP(Deals[[#This Row],[CustomerID]],Customers!A:A,Customers!F:F)</f>
        <v>Mass</v>
      </c>
      <c r="N472" s="2" t="str">
        <f>_xlfn.XLOOKUP(Deals[[#This Row],[CustomerID]],Customers!A:A,Customers!E:E)</f>
        <v>Kuwaiti</v>
      </c>
      <c r="O472" s="2">
        <f>2026-_xlfn.XLOOKUP(Deals[[#This Row],[CustomerID]],Customers!A:A,Customers!D:D)</f>
        <v>28</v>
      </c>
      <c r="P472" s="2" t="str" cm="1">
        <f t="array" ref="P472">_xlfn.IFS(Deals[[#This Row],[Age]]&lt;30,"Under 30",Deals[[#This Row],[Age]]&lt;45,"30-44",TRUE,"45+")</f>
        <v>Under 30</v>
      </c>
      <c r="Q472" s="21">
        <f>IF(Deals[[#This Row],[Status]]="Pending","",Deals[[#This Row],[DecisionDate]]-Deals[[#This Row],[ApplicationDate]])</f>
        <v>7</v>
      </c>
      <c r="R472" s="21">
        <f>IF(Deals[[#This Row],[Status]]="Approved",1,0)</f>
        <v>1</v>
      </c>
      <c r="S472" s="21">
        <f>IF(Deals[[#This Row],[IsApproved]]=1,Deals[[#This Row],[Amount]],0)</f>
        <v>16200</v>
      </c>
      <c r="T472" s="21">
        <f>Deals[[#This Row],[ApprovedAmount]]*Deals[[#This Row],[ProfitRate]]</f>
        <v>829.44</v>
      </c>
    </row>
    <row r="473" spans="1:20">
      <c r="A473" s="2" t="s">
        <v>918</v>
      </c>
      <c r="B473" s="3">
        <v>46125</v>
      </c>
      <c r="C473" s="2" t="s">
        <v>139</v>
      </c>
      <c r="D473" s="2" t="s">
        <v>14</v>
      </c>
      <c r="E473" s="2" t="s">
        <v>43</v>
      </c>
      <c r="F473" s="2" t="s">
        <v>3</v>
      </c>
      <c r="G473" s="4">
        <v>126100</v>
      </c>
      <c r="H473" s="5">
        <v>7.7299999999999994E-2</v>
      </c>
      <c r="I473" s="2">
        <v>36</v>
      </c>
      <c r="J473" s="2" t="s">
        <v>48</v>
      </c>
      <c r="K473" s="2" t="s">
        <v>17</v>
      </c>
      <c r="L473" s="3">
        <v>46132</v>
      </c>
      <c r="M473" s="2" t="str">
        <f>_xlfn.XLOOKUP(Deals[[#This Row],[CustomerID]],Customers!A:A,Customers!F:F)</f>
        <v>Mass</v>
      </c>
      <c r="N473" s="2" t="str">
        <f>_xlfn.XLOOKUP(Deals[[#This Row],[CustomerID]],Customers!A:A,Customers!E:E)</f>
        <v>Kuwaiti</v>
      </c>
      <c r="O473" s="2">
        <f>2026-_xlfn.XLOOKUP(Deals[[#This Row],[CustomerID]],Customers!A:A,Customers!D:D)</f>
        <v>50</v>
      </c>
      <c r="P473" s="2" t="str" cm="1">
        <f t="array" ref="P473">_xlfn.IFS(Deals[[#This Row],[Age]]&lt;30,"Under 30",Deals[[#This Row],[Age]]&lt;45,"30-44",TRUE,"45+")</f>
        <v>45+</v>
      </c>
      <c r="Q473" s="21">
        <f>IF(Deals[[#This Row],[Status]]="Pending","",Deals[[#This Row],[DecisionDate]]-Deals[[#This Row],[ApplicationDate]])</f>
        <v>7</v>
      </c>
      <c r="R473" s="21">
        <f>IF(Deals[[#This Row],[Status]]="Approved",1,0)</f>
        <v>1</v>
      </c>
      <c r="S473" s="21">
        <f>IF(Deals[[#This Row],[IsApproved]]=1,Deals[[#This Row],[Amount]],0)</f>
        <v>126100</v>
      </c>
      <c r="T473" s="21">
        <f>Deals[[#This Row],[ApprovedAmount]]*Deals[[#This Row],[ProfitRate]]</f>
        <v>9747.5299999999988</v>
      </c>
    </row>
    <row r="474" spans="1:20">
      <c r="A474" s="2" t="s">
        <v>919</v>
      </c>
      <c r="B474" s="3">
        <v>46125</v>
      </c>
      <c r="C474" s="2" t="s">
        <v>447</v>
      </c>
      <c r="D474" s="2" t="s">
        <v>14</v>
      </c>
      <c r="E474" s="2" t="s">
        <v>30</v>
      </c>
      <c r="F474" s="2" t="s">
        <v>31</v>
      </c>
      <c r="G474" s="4">
        <v>15300</v>
      </c>
      <c r="H474" s="5">
        <v>4.65E-2</v>
      </c>
      <c r="I474" s="2">
        <v>60</v>
      </c>
      <c r="J474" s="2" t="s">
        <v>48</v>
      </c>
      <c r="K474" s="2" t="s">
        <v>17</v>
      </c>
      <c r="L474" s="3">
        <v>46129</v>
      </c>
      <c r="M474" s="2" t="str">
        <f>_xlfn.XLOOKUP(Deals[[#This Row],[CustomerID]],Customers!A:A,Customers!F:F)</f>
        <v>Affluent</v>
      </c>
      <c r="N474" s="2" t="str">
        <f>_xlfn.XLOOKUP(Deals[[#This Row],[CustomerID]],Customers!A:A,Customers!E:E)</f>
        <v>Kuwaiti</v>
      </c>
      <c r="O474" s="2">
        <f>2026-_xlfn.XLOOKUP(Deals[[#This Row],[CustomerID]],Customers!A:A,Customers!D:D)</f>
        <v>35</v>
      </c>
      <c r="P474" s="2" t="str" cm="1">
        <f t="array" ref="P474">_xlfn.IFS(Deals[[#This Row],[Age]]&lt;30,"Under 30",Deals[[#This Row],[Age]]&lt;45,"30-44",TRUE,"45+")</f>
        <v>30-44</v>
      </c>
      <c r="Q474" s="21">
        <f>IF(Deals[[#This Row],[Status]]="Pending","",Deals[[#This Row],[DecisionDate]]-Deals[[#This Row],[ApplicationDate]])</f>
        <v>4</v>
      </c>
      <c r="R474" s="21">
        <f>IF(Deals[[#This Row],[Status]]="Approved",1,0)</f>
        <v>1</v>
      </c>
      <c r="S474" s="21">
        <f>IF(Deals[[#This Row],[IsApproved]]=1,Deals[[#This Row],[Amount]],0)</f>
        <v>15300</v>
      </c>
      <c r="T474" s="21">
        <f>Deals[[#This Row],[ApprovedAmount]]*Deals[[#This Row],[ProfitRate]]</f>
        <v>711.45</v>
      </c>
    </row>
    <row r="475" spans="1:20">
      <c r="A475" s="2" t="s">
        <v>920</v>
      </c>
      <c r="B475" s="3">
        <v>46126</v>
      </c>
      <c r="C475" s="2" t="s">
        <v>310</v>
      </c>
      <c r="D475" s="2" t="s">
        <v>25</v>
      </c>
      <c r="E475" s="2" t="s">
        <v>21</v>
      </c>
      <c r="F475" s="2" t="s">
        <v>3</v>
      </c>
      <c r="G475" s="4">
        <v>77200</v>
      </c>
      <c r="H475" s="5">
        <v>3.1199999999999999E-2</v>
      </c>
      <c r="I475" s="2">
        <v>300</v>
      </c>
      <c r="J475" s="2" t="s">
        <v>66</v>
      </c>
      <c r="K475" s="2" t="s">
        <v>17</v>
      </c>
      <c r="L475" s="3">
        <v>46140</v>
      </c>
      <c r="M475" s="2" t="str">
        <f>_xlfn.XLOOKUP(Deals[[#This Row],[CustomerID]],Customers!A:A,Customers!F:F)</f>
        <v>Affluent</v>
      </c>
      <c r="N475" s="2" t="str">
        <f>_xlfn.XLOOKUP(Deals[[#This Row],[CustomerID]],Customers!A:A,Customers!E:E)</f>
        <v>Kuwaiti</v>
      </c>
      <c r="O475" s="2">
        <f>2026-_xlfn.XLOOKUP(Deals[[#This Row],[CustomerID]],Customers!A:A,Customers!D:D)</f>
        <v>48</v>
      </c>
      <c r="P475" s="2" t="str" cm="1">
        <f t="array" ref="P475">_xlfn.IFS(Deals[[#This Row],[Age]]&lt;30,"Under 30",Deals[[#This Row],[Age]]&lt;45,"30-44",TRUE,"45+")</f>
        <v>45+</v>
      </c>
      <c r="Q475" s="21">
        <f>IF(Deals[[#This Row],[Status]]="Pending","",Deals[[#This Row],[DecisionDate]]-Deals[[#This Row],[ApplicationDate]])</f>
        <v>14</v>
      </c>
      <c r="R475" s="21">
        <f>IF(Deals[[#This Row],[Status]]="Approved",1,0)</f>
        <v>1</v>
      </c>
      <c r="S475" s="21">
        <f>IF(Deals[[#This Row],[IsApproved]]=1,Deals[[#This Row],[Amount]],0)</f>
        <v>77200</v>
      </c>
      <c r="T475" s="21">
        <f>Deals[[#This Row],[ApprovedAmount]]*Deals[[#This Row],[ProfitRate]]</f>
        <v>2408.64</v>
      </c>
    </row>
    <row r="476" spans="1:20">
      <c r="A476" s="2" t="s">
        <v>921</v>
      </c>
      <c r="B476" s="3">
        <v>46126</v>
      </c>
      <c r="C476" s="2" t="s">
        <v>922</v>
      </c>
      <c r="D476" s="2" t="s">
        <v>25</v>
      </c>
      <c r="E476" s="2" t="s">
        <v>15</v>
      </c>
      <c r="F476" s="2" t="s">
        <v>3</v>
      </c>
      <c r="G476" s="4">
        <v>25000</v>
      </c>
      <c r="H476" s="5">
        <v>6.5299999999999997E-2</v>
      </c>
      <c r="I476" s="2">
        <v>60</v>
      </c>
      <c r="J476" s="2" t="s">
        <v>26</v>
      </c>
      <c r="K476" s="2" t="s">
        <v>45</v>
      </c>
      <c r="L476" s="3">
        <v>46132</v>
      </c>
      <c r="M476" s="2" t="str">
        <f>_xlfn.XLOOKUP(Deals[[#This Row],[CustomerID]],Customers!A:A,Customers!F:F)</f>
        <v>Affluent</v>
      </c>
      <c r="N476" s="2" t="str">
        <f>_xlfn.XLOOKUP(Deals[[#This Row],[CustomerID]],Customers!A:A,Customers!E:E)</f>
        <v>Non-Kuwaiti</v>
      </c>
      <c r="O476" s="2">
        <f>2026-_xlfn.XLOOKUP(Deals[[#This Row],[CustomerID]],Customers!A:A,Customers!D:D)</f>
        <v>47</v>
      </c>
      <c r="P476" s="2" t="str" cm="1">
        <f t="array" ref="P476">_xlfn.IFS(Deals[[#This Row],[Age]]&lt;30,"Under 30",Deals[[#This Row],[Age]]&lt;45,"30-44",TRUE,"45+")</f>
        <v>45+</v>
      </c>
      <c r="Q476" s="21">
        <f>IF(Deals[[#This Row],[Status]]="Pending","",Deals[[#This Row],[DecisionDate]]-Deals[[#This Row],[ApplicationDate]])</f>
        <v>6</v>
      </c>
      <c r="R476" s="21">
        <f>IF(Deals[[#This Row],[Status]]="Approved",1,0)</f>
        <v>0</v>
      </c>
      <c r="S476" s="21">
        <f>IF(Deals[[#This Row],[IsApproved]]=1,Deals[[#This Row],[Amount]],0)</f>
        <v>0</v>
      </c>
      <c r="T476" s="21">
        <f>Deals[[#This Row],[ApprovedAmount]]*Deals[[#This Row],[ProfitRate]]</f>
        <v>0</v>
      </c>
    </row>
    <row r="477" spans="1:20">
      <c r="A477" s="2" t="s">
        <v>924</v>
      </c>
      <c r="B477" s="3">
        <v>46126</v>
      </c>
      <c r="C477" s="2" t="s">
        <v>925</v>
      </c>
      <c r="D477" s="2" t="s">
        <v>54</v>
      </c>
      <c r="E477" s="2" t="s">
        <v>15</v>
      </c>
      <c r="F477" s="2" t="s">
        <v>3</v>
      </c>
      <c r="G477" s="4">
        <v>2300</v>
      </c>
      <c r="H477" s="5">
        <v>6.6100000000000006E-2</v>
      </c>
      <c r="I477" s="2">
        <v>48</v>
      </c>
      <c r="J477" s="2" t="s">
        <v>148</v>
      </c>
      <c r="K477" s="2" t="s">
        <v>45</v>
      </c>
      <c r="L477" s="3">
        <v>46130</v>
      </c>
      <c r="M477" s="2" t="str">
        <f>_xlfn.XLOOKUP(Deals[[#This Row],[CustomerID]],Customers!A:A,Customers!F:F)</f>
        <v>Mass</v>
      </c>
      <c r="N477" s="2" t="str">
        <f>_xlfn.XLOOKUP(Deals[[#This Row],[CustomerID]],Customers!A:A,Customers!E:E)</f>
        <v>Non-Kuwaiti</v>
      </c>
      <c r="O477" s="2">
        <f>2026-_xlfn.XLOOKUP(Deals[[#This Row],[CustomerID]],Customers!A:A,Customers!D:D)</f>
        <v>44</v>
      </c>
      <c r="P477" s="2" t="str" cm="1">
        <f t="array" ref="P477">_xlfn.IFS(Deals[[#This Row],[Age]]&lt;30,"Under 30",Deals[[#This Row],[Age]]&lt;45,"30-44",TRUE,"45+")</f>
        <v>30-44</v>
      </c>
      <c r="Q477" s="21">
        <f>IF(Deals[[#This Row],[Status]]="Pending","",Deals[[#This Row],[DecisionDate]]-Deals[[#This Row],[ApplicationDate]])</f>
        <v>4</v>
      </c>
      <c r="R477" s="21">
        <f>IF(Deals[[#This Row],[Status]]="Approved",1,0)</f>
        <v>0</v>
      </c>
      <c r="S477" s="21">
        <f>IF(Deals[[#This Row],[IsApproved]]=1,Deals[[#This Row],[Amount]],0)</f>
        <v>0</v>
      </c>
      <c r="T477" s="21">
        <f>Deals[[#This Row],[ApprovedAmount]]*Deals[[#This Row],[ProfitRate]]</f>
        <v>0</v>
      </c>
    </row>
    <row r="478" spans="1:20">
      <c r="A478" s="2" t="s">
        <v>926</v>
      </c>
      <c r="B478" s="3">
        <v>46126</v>
      </c>
      <c r="C478" s="2" t="s">
        <v>378</v>
      </c>
      <c r="D478" s="2" t="s">
        <v>29</v>
      </c>
      <c r="E478" s="2" t="s">
        <v>21</v>
      </c>
      <c r="F478" s="2" t="s">
        <v>3</v>
      </c>
      <c r="G478" s="4">
        <v>167900</v>
      </c>
      <c r="H478" s="5">
        <v>4.36E-2</v>
      </c>
      <c r="I478" s="2">
        <v>300</v>
      </c>
      <c r="J478" s="2" t="s">
        <v>32</v>
      </c>
      <c r="K478" s="2" t="s">
        <v>17</v>
      </c>
      <c r="L478" s="3">
        <v>46137</v>
      </c>
      <c r="M478" s="2" t="str">
        <f>_xlfn.XLOOKUP(Deals[[#This Row],[CustomerID]],Customers!A:A,Customers!F:F)</f>
        <v>Affluent</v>
      </c>
      <c r="N478" s="2" t="str">
        <f>_xlfn.XLOOKUP(Deals[[#This Row],[CustomerID]],Customers!A:A,Customers!E:E)</f>
        <v>Non-Kuwaiti</v>
      </c>
      <c r="O478" s="2">
        <f>2026-_xlfn.XLOOKUP(Deals[[#This Row],[CustomerID]],Customers!A:A,Customers!D:D)</f>
        <v>43</v>
      </c>
      <c r="P478" s="2" t="str" cm="1">
        <f t="array" ref="P478">_xlfn.IFS(Deals[[#This Row],[Age]]&lt;30,"Under 30",Deals[[#This Row],[Age]]&lt;45,"30-44",TRUE,"45+")</f>
        <v>30-44</v>
      </c>
      <c r="Q478" s="21">
        <f>IF(Deals[[#This Row],[Status]]="Pending","",Deals[[#This Row],[DecisionDate]]-Deals[[#This Row],[ApplicationDate]])</f>
        <v>11</v>
      </c>
      <c r="R478" s="21">
        <f>IF(Deals[[#This Row],[Status]]="Approved",1,0)</f>
        <v>1</v>
      </c>
      <c r="S478" s="21">
        <f>IF(Deals[[#This Row],[IsApproved]]=1,Deals[[#This Row],[Amount]],0)</f>
        <v>167900</v>
      </c>
      <c r="T478" s="21">
        <f>Deals[[#This Row],[ApprovedAmount]]*Deals[[#This Row],[ProfitRate]]</f>
        <v>7320.44</v>
      </c>
    </row>
    <row r="479" spans="1:20">
      <c r="A479" s="2" t="s">
        <v>927</v>
      </c>
      <c r="B479" s="3">
        <v>46126</v>
      </c>
      <c r="C479" s="2" t="s">
        <v>928</v>
      </c>
      <c r="D479" s="2" t="s">
        <v>20</v>
      </c>
      <c r="E479" s="2" t="s">
        <v>15</v>
      </c>
      <c r="F479" s="2" t="s">
        <v>3</v>
      </c>
      <c r="G479" s="4">
        <v>18900</v>
      </c>
      <c r="H479" s="5">
        <v>6.0299999999999999E-2</v>
      </c>
      <c r="I479" s="2">
        <v>60</v>
      </c>
      <c r="J479" s="2" t="s">
        <v>44</v>
      </c>
      <c r="K479" s="2" t="s">
        <v>17</v>
      </c>
      <c r="L479" s="3">
        <v>46129</v>
      </c>
      <c r="M479" s="2" t="str">
        <f>_xlfn.XLOOKUP(Deals[[#This Row],[CustomerID]],Customers!A:A,Customers!F:F)</f>
        <v>Affluent</v>
      </c>
      <c r="N479" s="2" t="str">
        <f>_xlfn.XLOOKUP(Deals[[#This Row],[CustomerID]],Customers!A:A,Customers!E:E)</f>
        <v>Kuwaiti</v>
      </c>
      <c r="O479" s="2">
        <f>2026-_xlfn.XLOOKUP(Deals[[#This Row],[CustomerID]],Customers!A:A,Customers!D:D)</f>
        <v>26</v>
      </c>
      <c r="P479" s="2" t="str" cm="1">
        <f t="array" ref="P479">_xlfn.IFS(Deals[[#This Row],[Age]]&lt;30,"Under 30",Deals[[#This Row],[Age]]&lt;45,"30-44",TRUE,"45+")</f>
        <v>Under 30</v>
      </c>
      <c r="Q479" s="21">
        <f>IF(Deals[[#This Row],[Status]]="Pending","",Deals[[#This Row],[DecisionDate]]-Deals[[#This Row],[ApplicationDate]])</f>
        <v>3</v>
      </c>
      <c r="R479" s="21">
        <f>IF(Deals[[#This Row],[Status]]="Approved",1,0)</f>
        <v>1</v>
      </c>
      <c r="S479" s="21">
        <f>IF(Deals[[#This Row],[IsApproved]]=1,Deals[[#This Row],[Amount]],0)</f>
        <v>18900</v>
      </c>
      <c r="T479" s="21">
        <f>Deals[[#This Row],[ApprovedAmount]]*Deals[[#This Row],[ProfitRate]]</f>
        <v>1139.67</v>
      </c>
    </row>
    <row r="480" spans="1:20">
      <c r="A480" s="2" t="s">
        <v>929</v>
      </c>
      <c r="B480" s="3">
        <v>46126</v>
      </c>
      <c r="C480" s="2" t="s">
        <v>930</v>
      </c>
      <c r="D480" s="2" t="s">
        <v>25</v>
      </c>
      <c r="E480" s="2" t="s">
        <v>21</v>
      </c>
      <c r="F480" s="2" t="s">
        <v>3</v>
      </c>
      <c r="G480" s="4">
        <v>71400</v>
      </c>
      <c r="H480" s="5">
        <v>4.0599999999999997E-2</v>
      </c>
      <c r="I480" s="2">
        <v>300</v>
      </c>
      <c r="J480" s="2" t="s">
        <v>26</v>
      </c>
      <c r="K480" s="2" t="s">
        <v>17</v>
      </c>
      <c r="L480" s="3">
        <v>46144</v>
      </c>
      <c r="M480" s="2" t="str">
        <f>_xlfn.XLOOKUP(Deals[[#This Row],[CustomerID]],Customers!A:A,Customers!F:F)</f>
        <v>Affluent</v>
      </c>
      <c r="N480" s="2" t="str">
        <f>_xlfn.XLOOKUP(Deals[[#This Row],[CustomerID]],Customers!A:A,Customers!E:E)</f>
        <v>Kuwaiti</v>
      </c>
      <c r="O480" s="2">
        <f>2026-_xlfn.XLOOKUP(Deals[[#This Row],[CustomerID]],Customers!A:A,Customers!D:D)</f>
        <v>22</v>
      </c>
      <c r="P480" s="2" t="str" cm="1">
        <f t="array" ref="P480">_xlfn.IFS(Deals[[#This Row],[Age]]&lt;30,"Under 30",Deals[[#This Row],[Age]]&lt;45,"30-44",TRUE,"45+")</f>
        <v>Under 30</v>
      </c>
      <c r="Q480" s="21">
        <f>IF(Deals[[#This Row],[Status]]="Pending","",Deals[[#This Row],[DecisionDate]]-Deals[[#This Row],[ApplicationDate]])</f>
        <v>18</v>
      </c>
      <c r="R480" s="21">
        <f>IF(Deals[[#This Row],[Status]]="Approved",1,0)</f>
        <v>1</v>
      </c>
      <c r="S480" s="21">
        <f>IF(Deals[[#This Row],[IsApproved]]=1,Deals[[#This Row],[Amount]],0)</f>
        <v>71400</v>
      </c>
      <c r="T480" s="21">
        <f>Deals[[#This Row],[ApprovedAmount]]*Deals[[#This Row],[ProfitRate]]</f>
        <v>2898.8399999999997</v>
      </c>
    </row>
    <row r="481" spans="1:20">
      <c r="A481" s="2" t="s">
        <v>931</v>
      </c>
      <c r="B481" s="3">
        <v>46126</v>
      </c>
      <c r="C481" s="2" t="s">
        <v>932</v>
      </c>
      <c r="D481" s="2" t="s">
        <v>20</v>
      </c>
      <c r="E481" s="2" t="s">
        <v>30</v>
      </c>
      <c r="F481" s="2" t="s">
        <v>3</v>
      </c>
      <c r="G481" s="4">
        <v>9200</v>
      </c>
      <c r="H481" s="5">
        <v>4.24E-2</v>
      </c>
      <c r="I481" s="2">
        <v>36</v>
      </c>
      <c r="J481" s="2" t="s">
        <v>44</v>
      </c>
      <c r="K481" s="2" t="s">
        <v>17</v>
      </c>
      <c r="L481" s="3">
        <v>46128</v>
      </c>
      <c r="M481" s="2" t="str">
        <f>_xlfn.XLOOKUP(Deals[[#This Row],[CustomerID]],Customers!A:A,Customers!F:F)</f>
        <v>Mass</v>
      </c>
      <c r="N481" s="2" t="str">
        <f>_xlfn.XLOOKUP(Deals[[#This Row],[CustomerID]],Customers!A:A,Customers!E:E)</f>
        <v>Non-Kuwaiti</v>
      </c>
      <c r="O481" s="2">
        <f>2026-_xlfn.XLOOKUP(Deals[[#This Row],[CustomerID]],Customers!A:A,Customers!D:D)</f>
        <v>29</v>
      </c>
      <c r="P481" s="2" t="str" cm="1">
        <f t="array" ref="P481">_xlfn.IFS(Deals[[#This Row],[Age]]&lt;30,"Under 30",Deals[[#This Row],[Age]]&lt;45,"30-44",TRUE,"45+")</f>
        <v>Under 30</v>
      </c>
      <c r="Q481" s="21">
        <f>IF(Deals[[#This Row],[Status]]="Pending","",Deals[[#This Row],[DecisionDate]]-Deals[[#This Row],[ApplicationDate]])</f>
        <v>2</v>
      </c>
      <c r="R481" s="21">
        <f>IF(Deals[[#This Row],[Status]]="Approved",1,0)</f>
        <v>1</v>
      </c>
      <c r="S481" s="21">
        <f>IF(Deals[[#This Row],[IsApproved]]=1,Deals[[#This Row],[Amount]],0)</f>
        <v>9200</v>
      </c>
      <c r="T481" s="21">
        <f>Deals[[#This Row],[ApprovedAmount]]*Deals[[#This Row],[ProfitRate]]</f>
        <v>390.08</v>
      </c>
    </row>
    <row r="482" spans="1:20">
      <c r="A482" s="2" t="s">
        <v>933</v>
      </c>
      <c r="B482" s="3">
        <v>46127</v>
      </c>
      <c r="C482" s="2" t="s">
        <v>484</v>
      </c>
      <c r="D482" s="2" t="s">
        <v>25</v>
      </c>
      <c r="E482" s="2" t="s">
        <v>15</v>
      </c>
      <c r="F482" s="2" t="s">
        <v>3</v>
      </c>
      <c r="G482" s="4">
        <v>17300</v>
      </c>
      <c r="H482" s="5">
        <v>5.96E-2</v>
      </c>
      <c r="I482" s="2">
        <v>60</v>
      </c>
      <c r="J482" s="2" t="s">
        <v>26</v>
      </c>
      <c r="K482" s="2" t="s">
        <v>17</v>
      </c>
      <c r="L482" s="3">
        <v>46133</v>
      </c>
      <c r="M482" s="2" t="str">
        <f>_xlfn.XLOOKUP(Deals[[#This Row],[CustomerID]],Customers!A:A,Customers!F:F)</f>
        <v>Mass</v>
      </c>
      <c r="N482" s="2" t="str">
        <f>_xlfn.XLOOKUP(Deals[[#This Row],[CustomerID]],Customers!A:A,Customers!E:E)</f>
        <v>Kuwaiti</v>
      </c>
      <c r="O482" s="2">
        <f>2026-_xlfn.XLOOKUP(Deals[[#This Row],[CustomerID]],Customers!A:A,Customers!D:D)</f>
        <v>44</v>
      </c>
      <c r="P482" s="2" t="str" cm="1">
        <f t="array" ref="P482">_xlfn.IFS(Deals[[#This Row],[Age]]&lt;30,"Under 30",Deals[[#This Row],[Age]]&lt;45,"30-44",TRUE,"45+")</f>
        <v>30-44</v>
      </c>
      <c r="Q482" s="21">
        <f>IF(Deals[[#This Row],[Status]]="Pending","",Deals[[#This Row],[DecisionDate]]-Deals[[#This Row],[ApplicationDate]])</f>
        <v>6</v>
      </c>
      <c r="R482" s="21">
        <f>IF(Deals[[#This Row],[Status]]="Approved",1,0)</f>
        <v>1</v>
      </c>
      <c r="S482" s="21">
        <f>IF(Deals[[#This Row],[IsApproved]]=1,Deals[[#This Row],[Amount]],0)</f>
        <v>17300</v>
      </c>
      <c r="T482" s="21">
        <f>Deals[[#This Row],[ApprovedAmount]]*Deals[[#This Row],[ProfitRate]]</f>
        <v>1031.08</v>
      </c>
    </row>
    <row r="483" spans="1:20">
      <c r="A483" s="2" t="s">
        <v>934</v>
      </c>
      <c r="B483" s="3">
        <v>46128</v>
      </c>
      <c r="C483" s="2" t="s">
        <v>935</v>
      </c>
      <c r="D483" s="2" t="s">
        <v>71</v>
      </c>
      <c r="E483" s="2" t="s">
        <v>15</v>
      </c>
      <c r="F483" s="2" t="s">
        <v>31</v>
      </c>
      <c r="G483" s="4">
        <v>14500</v>
      </c>
      <c r="H483" s="5">
        <v>5.0900000000000001E-2</v>
      </c>
      <c r="I483" s="2">
        <v>48</v>
      </c>
      <c r="J483" s="2" t="s">
        <v>72</v>
      </c>
      <c r="K483" s="2" t="s">
        <v>17</v>
      </c>
      <c r="L483" s="3">
        <v>46134</v>
      </c>
      <c r="M483" s="2" t="str">
        <f>_xlfn.XLOOKUP(Deals[[#This Row],[CustomerID]],Customers!A:A,Customers!F:F)</f>
        <v>Mass</v>
      </c>
      <c r="N483" s="2" t="str">
        <f>_xlfn.XLOOKUP(Deals[[#This Row],[CustomerID]],Customers!A:A,Customers!E:E)</f>
        <v>Kuwaiti</v>
      </c>
      <c r="O483" s="2">
        <f>2026-_xlfn.XLOOKUP(Deals[[#This Row],[CustomerID]],Customers!A:A,Customers!D:D)</f>
        <v>55</v>
      </c>
      <c r="P483" s="2" t="str" cm="1">
        <f t="array" ref="P483">_xlfn.IFS(Deals[[#This Row],[Age]]&lt;30,"Under 30",Deals[[#This Row],[Age]]&lt;45,"30-44",TRUE,"45+")</f>
        <v>45+</v>
      </c>
      <c r="Q483" s="21">
        <f>IF(Deals[[#This Row],[Status]]="Pending","",Deals[[#This Row],[DecisionDate]]-Deals[[#This Row],[ApplicationDate]])</f>
        <v>6</v>
      </c>
      <c r="R483" s="21">
        <f>IF(Deals[[#This Row],[Status]]="Approved",1,0)</f>
        <v>1</v>
      </c>
      <c r="S483" s="21">
        <f>IF(Deals[[#This Row],[IsApproved]]=1,Deals[[#This Row],[Amount]],0)</f>
        <v>14500</v>
      </c>
      <c r="T483" s="21">
        <f>Deals[[#This Row],[ApprovedAmount]]*Deals[[#This Row],[ProfitRate]]</f>
        <v>738.05000000000007</v>
      </c>
    </row>
    <row r="484" spans="1:20">
      <c r="A484" s="2" t="s">
        <v>936</v>
      </c>
      <c r="B484" s="3">
        <v>46128</v>
      </c>
      <c r="C484" s="2" t="s">
        <v>324</v>
      </c>
      <c r="D484" s="2" t="s">
        <v>20</v>
      </c>
      <c r="E484" s="2" t="s">
        <v>15</v>
      </c>
      <c r="F484" s="2" t="s">
        <v>3</v>
      </c>
      <c r="G484" s="4">
        <v>5100</v>
      </c>
      <c r="H484" s="5">
        <v>6.6799999999999998E-2</v>
      </c>
      <c r="I484" s="2">
        <v>48</v>
      </c>
      <c r="J484" s="2" t="s">
        <v>44</v>
      </c>
      <c r="K484" s="2" t="s">
        <v>17</v>
      </c>
      <c r="L484" s="3">
        <v>46131</v>
      </c>
      <c r="M484" s="2" t="str">
        <f>_xlfn.XLOOKUP(Deals[[#This Row],[CustomerID]],Customers!A:A,Customers!F:F)</f>
        <v>Affluent</v>
      </c>
      <c r="N484" s="2" t="str">
        <f>_xlfn.XLOOKUP(Deals[[#This Row],[CustomerID]],Customers!A:A,Customers!E:E)</f>
        <v>Kuwaiti</v>
      </c>
      <c r="O484" s="2">
        <f>2026-_xlfn.XLOOKUP(Deals[[#This Row],[CustomerID]],Customers!A:A,Customers!D:D)</f>
        <v>66</v>
      </c>
      <c r="P484" s="2" t="str" cm="1">
        <f t="array" ref="P484">_xlfn.IFS(Deals[[#This Row],[Age]]&lt;30,"Under 30",Deals[[#This Row],[Age]]&lt;45,"30-44",TRUE,"45+")</f>
        <v>45+</v>
      </c>
      <c r="Q484" s="21">
        <f>IF(Deals[[#This Row],[Status]]="Pending","",Deals[[#This Row],[DecisionDate]]-Deals[[#This Row],[ApplicationDate]])</f>
        <v>3</v>
      </c>
      <c r="R484" s="21">
        <f>IF(Deals[[#This Row],[Status]]="Approved",1,0)</f>
        <v>1</v>
      </c>
      <c r="S484" s="21">
        <f>IF(Deals[[#This Row],[IsApproved]]=1,Deals[[#This Row],[Amount]],0)</f>
        <v>5100</v>
      </c>
      <c r="T484" s="21">
        <f>Deals[[#This Row],[ApprovedAmount]]*Deals[[#This Row],[ProfitRate]]</f>
        <v>340.68</v>
      </c>
    </row>
    <row r="485" spans="1:20">
      <c r="A485" s="2" t="s">
        <v>937</v>
      </c>
      <c r="B485" s="3">
        <v>46128</v>
      </c>
      <c r="C485" s="2" t="s">
        <v>938</v>
      </c>
      <c r="D485" s="2" t="s">
        <v>71</v>
      </c>
      <c r="E485" s="2" t="s">
        <v>30</v>
      </c>
      <c r="F485" s="2" t="s">
        <v>3</v>
      </c>
      <c r="G485" s="4">
        <v>7500</v>
      </c>
      <c r="H485" s="5">
        <v>4.6800000000000001E-2</v>
      </c>
      <c r="I485" s="2">
        <v>48</v>
      </c>
      <c r="J485" s="2" t="s">
        <v>101</v>
      </c>
      <c r="K485" s="2" t="s">
        <v>17</v>
      </c>
      <c r="L485" s="3">
        <v>46131</v>
      </c>
      <c r="M485" s="2" t="str">
        <f>_xlfn.XLOOKUP(Deals[[#This Row],[CustomerID]],Customers!A:A,Customers!F:F)</f>
        <v>Mass</v>
      </c>
      <c r="N485" s="2" t="str">
        <f>_xlfn.XLOOKUP(Deals[[#This Row],[CustomerID]],Customers!A:A,Customers!E:E)</f>
        <v>Kuwaiti</v>
      </c>
      <c r="O485" s="2">
        <f>2026-_xlfn.XLOOKUP(Deals[[#This Row],[CustomerID]],Customers!A:A,Customers!D:D)</f>
        <v>31</v>
      </c>
      <c r="P485" s="2" t="str" cm="1">
        <f t="array" ref="P485">_xlfn.IFS(Deals[[#This Row],[Age]]&lt;30,"Under 30",Deals[[#This Row],[Age]]&lt;45,"30-44",TRUE,"45+")</f>
        <v>30-44</v>
      </c>
      <c r="Q485" s="21">
        <f>IF(Deals[[#This Row],[Status]]="Pending","",Deals[[#This Row],[DecisionDate]]-Deals[[#This Row],[ApplicationDate]])</f>
        <v>3</v>
      </c>
      <c r="R485" s="21">
        <f>IF(Deals[[#This Row],[Status]]="Approved",1,0)</f>
        <v>1</v>
      </c>
      <c r="S485" s="21">
        <f>IF(Deals[[#This Row],[IsApproved]]=1,Deals[[#This Row],[Amount]],0)</f>
        <v>7500</v>
      </c>
      <c r="T485" s="21">
        <f>Deals[[#This Row],[ApprovedAmount]]*Deals[[#This Row],[ProfitRate]]</f>
        <v>351</v>
      </c>
    </row>
    <row r="486" spans="1:20">
      <c r="A486" s="2" t="s">
        <v>939</v>
      </c>
      <c r="B486" s="3">
        <v>46128</v>
      </c>
      <c r="C486" s="2" t="s">
        <v>940</v>
      </c>
      <c r="D486" s="2" t="s">
        <v>29</v>
      </c>
      <c r="E486" s="2" t="s">
        <v>21</v>
      </c>
      <c r="F486" s="2" t="s">
        <v>55</v>
      </c>
      <c r="G486" s="4">
        <v>153000</v>
      </c>
      <c r="H486" s="5">
        <v>3.4599999999999999E-2</v>
      </c>
      <c r="I486" s="2">
        <v>120</v>
      </c>
      <c r="J486" s="2" t="s">
        <v>123</v>
      </c>
      <c r="K486" s="2" t="s">
        <v>17</v>
      </c>
      <c r="L486" s="3">
        <v>46157</v>
      </c>
      <c r="M486" s="2" t="str">
        <f>_xlfn.XLOOKUP(Deals[[#This Row],[CustomerID]],Customers!A:A,Customers!F:F)</f>
        <v>Mass</v>
      </c>
      <c r="N486" s="2" t="str">
        <f>_xlfn.XLOOKUP(Deals[[#This Row],[CustomerID]],Customers!A:A,Customers!E:E)</f>
        <v>Non-Kuwaiti</v>
      </c>
      <c r="O486" s="2">
        <f>2026-_xlfn.XLOOKUP(Deals[[#This Row],[CustomerID]],Customers!A:A,Customers!D:D)</f>
        <v>25</v>
      </c>
      <c r="P486" s="2" t="str" cm="1">
        <f t="array" ref="P486">_xlfn.IFS(Deals[[#This Row],[Age]]&lt;30,"Under 30",Deals[[#This Row],[Age]]&lt;45,"30-44",TRUE,"45+")</f>
        <v>Under 30</v>
      </c>
      <c r="Q486" s="21">
        <f>IF(Deals[[#This Row],[Status]]="Pending","",Deals[[#This Row],[DecisionDate]]-Deals[[#This Row],[ApplicationDate]])</f>
        <v>29</v>
      </c>
      <c r="R486" s="21">
        <f>IF(Deals[[#This Row],[Status]]="Approved",1,0)</f>
        <v>1</v>
      </c>
      <c r="S486" s="21">
        <f>IF(Deals[[#This Row],[IsApproved]]=1,Deals[[#This Row],[Amount]],0)</f>
        <v>153000</v>
      </c>
      <c r="T486" s="21">
        <f>Deals[[#This Row],[ApprovedAmount]]*Deals[[#This Row],[ProfitRate]]</f>
        <v>5293.8</v>
      </c>
    </row>
    <row r="487" spans="1:20">
      <c r="A487" s="2" t="s">
        <v>942</v>
      </c>
      <c r="B487" s="3">
        <v>46128</v>
      </c>
      <c r="C487" s="2" t="s">
        <v>616</v>
      </c>
      <c r="D487" s="2" t="s">
        <v>14</v>
      </c>
      <c r="E487" s="2" t="s">
        <v>15</v>
      </c>
      <c r="F487" s="2" t="s">
        <v>3</v>
      </c>
      <c r="G487" s="4">
        <v>22000</v>
      </c>
      <c r="H487" s="5">
        <v>5.6000000000000001E-2</v>
      </c>
      <c r="I487" s="2">
        <v>12</v>
      </c>
      <c r="J487" s="2" t="s">
        <v>40</v>
      </c>
      <c r="K487" s="2" t="s">
        <v>17</v>
      </c>
      <c r="L487" s="3">
        <v>46132</v>
      </c>
      <c r="M487" s="2" t="str">
        <f>_xlfn.XLOOKUP(Deals[[#This Row],[CustomerID]],Customers!A:A,Customers!F:F)</f>
        <v>Affluent</v>
      </c>
      <c r="N487" s="2" t="str">
        <f>_xlfn.XLOOKUP(Deals[[#This Row],[CustomerID]],Customers!A:A,Customers!E:E)</f>
        <v>Non-Kuwaiti</v>
      </c>
      <c r="O487" s="2">
        <f>2026-_xlfn.XLOOKUP(Deals[[#This Row],[CustomerID]],Customers!A:A,Customers!D:D)</f>
        <v>26</v>
      </c>
      <c r="P487" s="2" t="str" cm="1">
        <f t="array" ref="P487">_xlfn.IFS(Deals[[#This Row],[Age]]&lt;30,"Under 30",Deals[[#This Row],[Age]]&lt;45,"30-44",TRUE,"45+")</f>
        <v>Under 30</v>
      </c>
      <c r="Q487" s="21">
        <f>IF(Deals[[#This Row],[Status]]="Pending","",Deals[[#This Row],[DecisionDate]]-Deals[[#This Row],[ApplicationDate]])</f>
        <v>4</v>
      </c>
      <c r="R487" s="21">
        <f>IF(Deals[[#This Row],[Status]]="Approved",1,0)</f>
        <v>1</v>
      </c>
      <c r="S487" s="21">
        <f>IF(Deals[[#This Row],[IsApproved]]=1,Deals[[#This Row],[Amount]],0)</f>
        <v>22000</v>
      </c>
      <c r="T487" s="21">
        <f>Deals[[#This Row],[ApprovedAmount]]*Deals[[#This Row],[ProfitRate]]</f>
        <v>1232</v>
      </c>
    </row>
    <row r="488" spans="1:20">
      <c r="A488" s="2" t="s">
        <v>943</v>
      </c>
      <c r="B488" s="3">
        <v>46128</v>
      </c>
      <c r="C488" s="2" t="s">
        <v>944</v>
      </c>
      <c r="D488" s="2" t="s">
        <v>14</v>
      </c>
      <c r="E488" s="2" t="s">
        <v>21</v>
      </c>
      <c r="F488" s="2" t="s">
        <v>31</v>
      </c>
      <c r="G488" s="4">
        <v>215200</v>
      </c>
      <c r="H488" s="5">
        <v>3.9800000000000002E-2</v>
      </c>
      <c r="I488" s="2">
        <v>300</v>
      </c>
      <c r="J488" s="2" t="s">
        <v>40</v>
      </c>
      <c r="K488" s="2" t="s">
        <v>17</v>
      </c>
      <c r="L488" s="3">
        <v>46150</v>
      </c>
      <c r="M488" s="2" t="str">
        <f>_xlfn.XLOOKUP(Deals[[#This Row],[CustomerID]],Customers!A:A,Customers!F:F)</f>
        <v>Mass</v>
      </c>
      <c r="N488" s="2" t="str">
        <f>_xlfn.XLOOKUP(Deals[[#This Row],[CustomerID]],Customers!A:A,Customers!E:E)</f>
        <v>Kuwaiti</v>
      </c>
      <c r="O488" s="2">
        <f>2026-_xlfn.XLOOKUP(Deals[[#This Row],[CustomerID]],Customers!A:A,Customers!D:D)</f>
        <v>24</v>
      </c>
      <c r="P488" s="2" t="str" cm="1">
        <f t="array" ref="P488">_xlfn.IFS(Deals[[#This Row],[Age]]&lt;30,"Under 30",Deals[[#This Row],[Age]]&lt;45,"30-44",TRUE,"45+")</f>
        <v>Under 30</v>
      </c>
      <c r="Q488" s="21">
        <f>IF(Deals[[#This Row],[Status]]="Pending","",Deals[[#This Row],[DecisionDate]]-Deals[[#This Row],[ApplicationDate]])</f>
        <v>22</v>
      </c>
      <c r="R488" s="21">
        <f>IF(Deals[[#This Row],[Status]]="Approved",1,0)</f>
        <v>1</v>
      </c>
      <c r="S488" s="21">
        <f>IF(Deals[[#This Row],[IsApproved]]=1,Deals[[#This Row],[Amount]],0)</f>
        <v>215200</v>
      </c>
      <c r="T488" s="21">
        <f>Deals[[#This Row],[ApprovedAmount]]*Deals[[#This Row],[ProfitRate]]</f>
        <v>8564.9600000000009</v>
      </c>
    </row>
    <row r="489" spans="1:20">
      <c r="A489" s="2" t="s">
        <v>946</v>
      </c>
      <c r="B489" s="3">
        <v>46129</v>
      </c>
      <c r="C489" s="2" t="s">
        <v>278</v>
      </c>
      <c r="D489" s="2" t="s">
        <v>25</v>
      </c>
      <c r="E489" s="2" t="s">
        <v>43</v>
      </c>
      <c r="F489" s="2" t="s">
        <v>31</v>
      </c>
      <c r="G489" s="4">
        <v>172200</v>
      </c>
      <c r="H489" s="5">
        <v>6.9199999999999998E-2</v>
      </c>
      <c r="I489" s="2">
        <v>84</v>
      </c>
      <c r="J489" s="2" t="s">
        <v>26</v>
      </c>
      <c r="K489" s="2" t="s">
        <v>17</v>
      </c>
      <c r="L489" s="3">
        <v>46137</v>
      </c>
      <c r="M489" s="2" t="str">
        <f>_xlfn.XLOOKUP(Deals[[#This Row],[CustomerID]],Customers!A:A,Customers!F:F)</f>
        <v>Affluent</v>
      </c>
      <c r="N489" s="2" t="str">
        <f>_xlfn.XLOOKUP(Deals[[#This Row],[CustomerID]],Customers!A:A,Customers!E:E)</f>
        <v>Kuwaiti</v>
      </c>
      <c r="O489" s="2">
        <f>2026-_xlfn.XLOOKUP(Deals[[#This Row],[CustomerID]],Customers!A:A,Customers!D:D)</f>
        <v>26</v>
      </c>
      <c r="P489" s="2" t="str" cm="1">
        <f t="array" ref="P489">_xlfn.IFS(Deals[[#This Row],[Age]]&lt;30,"Under 30",Deals[[#This Row],[Age]]&lt;45,"30-44",TRUE,"45+")</f>
        <v>Under 30</v>
      </c>
      <c r="Q489" s="21">
        <f>IF(Deals[[#This Row],[Status]]="Pending","",Deals[[#This Row],[DecisionDate]]-Deals[[#This Row],[ApplicationDate]])</f>
        <v>8</v>
      </c>
      <c r="R489" s="21">
        <f>IF(Deals[[#This Row],[Status]]="Approved",1,0)</f>
        <v>1</v>
      </c>
      <c r="S489" s="21">
        <f>IF(Deals[[#This Row],[IsApproved]]=1,Deals[[#This Row],[Amount]],0)</f>
        <v>172200</v>
      </c>
      <c r="T489" s="21">
        <f>Deals[[#This Row],[ApprovedAmount]]*Deals[[#This Row],[ProfitRate]]</f>
        <v>11916.24</v>
      </c>
    </row>
    <row r="490" spans="1:20">
      <c r="A490" s="2" t="s">
        <v>947</v>
      </c>
      <c r="B490" s="3">
        <v>46129</v>
      </c>
      <c r="C490" s="2" t="s">
        <v>948</v>
      </c>
      <c r="D490" s="2" t="s">
        <v>29</v>
      </c>
      <c r="E490" s="2" t="s">
        <v>30</v>
      </c>
      <c r="F490" s="2" t="s">
        <v>3</v>
      </c>
      <c r="G490" s="4">
        <v>9900</v>
      </c>
      <c r="H490" s="5">
        <v>4.7E-2</v>
      </c>
      <c r="I490" s="2">
        <v>48</v>
      </c>
      <c r="J490" s="2" t="s">
        <v>32</v>
      </c>
      <c r="K490" s="2" t="s">
        <v>17</v>
      </c>
      <c r="L490" s="3">
        <v>46130</v>
      </c>
      <c r="M490" s="2" t="str">
        <f>_xlfn.XLOOKUP(Deals[[#This Row],[CustomerID]],Customers!A:A,Customers!F:F)</f>
        <v>Affluent</v>
      </c>
      <c r="N490" s="2" t="str">
        <f>_xlfn.XLOOKUP(Deals[[#This Row],[CustomerID]],Customers!A:A,Customers!E:E)</f>
        <v>Kuwaiti</v>
      </c>
      <c r="O490" s="2">
        <f>2026-_xlfn.XLOOKUP(Deals[[#This Row],[CustomerID]],Customers!A:A,Customers!D:D)</f>
        <v>56</v>
      </c>
      <c r="P490" s="2" t="str" cm="1">
        <f t="array" ref="P490">_xlfn.IFS(Deals[[#This Row],[Age]]&lt;30,"Under 30",Deals[[#This Row],[Age]]&lt;45,"30-44",TRUE,"45+")</f>
        <v>45+</v>
      </c>
      <c r="Q490" s="21">
        <f>IF(Deals[[#This Row],[Status]]="Pending","",Deals[[#This Row],[DecisionDate]]-Deals[[#This Row],[ApplicationDate]])</f>
        <v>1</v>
      </c>
      <c r="R490" s="21">
        <f>IF(Deals[[#This Row],[Status]]="Approved",1,0)</f>
        <v>1</v>
      </c>
      <c r="S490" s="21">
        <f>IF(Deals[[#This Row],[IsApproved]]=1,Deals[[#This Row],[Amount]],0)</f>
        <v>9900</v>
      </c>
      <c r="T490" s="21">
        <f>Deals[[#This Row],[ApprovedAmount]]*Deals[[#This Row],[ProfitRate]]</f>
        <v>465.3</v>
      </c>
    </row>
    <row r="491" spans="1:20">
      <c r="A491" s="2" t="s">
        <v>949</v>
      </c>
      <c r="B491" s="3">
        <v>46129</v>
      </c>
      <c r="C491" s="2" t="s">
        <v>258</v>
      </c>
      <c r="D491" s="2" t="s">
        <v>20</v>
      </c>
      <c r="E491" s="2" t="s">
        <v>15</v>
      </c>
      <c r="F491" s="2" t="s">
        <v>3</v>
      </c>
      <c r="G491" s="4">
        <v>6900</v>
      </c>
      <c r="H491" s="5">
        <v>5.1799999999999999E-2</v>
      </c>
      <c r="I491" s="2">
        <v>60</v>
      </c>
      <c r="J491" s="2" t="s">
        <v>44</v>
      </c>
      <c r="K491" s="2" t="s">
        <v>17</v>
      </c>
      <c r="L491" s="3">
        <v>46130</v>
      </c>
      <c r="M491" s="2" t="str">
        <f>_xlfn.XLOOKUP(Deals[[#This Row],[CustomerID]],Customers!A:A,Customers!F:F)</f>
        <v>Mass</v>
      </c>
      <c r="N491" s="2" t="str">
        <f>_xlfn.XLOOKUP(Deals[[#This Row],[CustomerID]],Customers!A:A,Customers!E:E)</f>
        <v>Kuwaiti</v>
      </c>
      <c r="O491" s="2">
        <f>2026-_xlfn.XLOOKUP(Deals[[#This Row],[CustomerID]],Customers!A:A,Customers!D:D)</f>
        <v>24</v>
      </c>
      <c r="P491" s="2" t="str" cm="1">
        <f t="array" ref="P491">_xlfn.IFS(Deals[[#This Row],[Age]]&lt;30,"Under 30",Deals[[#This Row],[Age]]&lt;45,"30-44",TRUE,"45+")</f>
        <v>Under 30</v>
      </c>
      <c r="Q491" s="21">
        <f>IF(Deals[[#This Row],[Status]]="Pending","",Deals[[#This Row],[DecisionDate]]-Deals[[#This Row],[ApplicationDate]])</f>
        <v>1</v>
      </c>
      <c r="R491" s="21">
        <f>IF(Deals[[#This Row],[Status]]="Approved",1,0)</f>
        <v>1</v>
      </c>
      <c r="S491" s="21">
        <f>IF(Deals[[#This Row],[IsApproved]]=1,Deals[[#This Row],[Amount]],0)</f>
        <v>6900</v>
      </c>
      <c r="T491" s="21">
        <f>Deals[[#This Row],[ApprovedAmount]]*Deals[[#This Row],[ProfitRate]]</f>
        <v>357.42</v>
      </c>
    </row>
    <row r="492" spans="1:20">
      <c r="A492" s="2" t="s">
        <v>950</v>
      </c>
      <c r="B492" s="3">
        <v>46129</v>
      </c>
      <c r="C492" s="2" t="s">
        <v>951</v>
      </c>
      <c r="D492" s="2" t="s">
        <v>54</v>
      </c>
      <c r="E492" s="2" t="s">
        <v>30</v>
      </c>
      <c r="F492" s="2" t="s">
        <v>3</v>
      </c>
      <c r="G492" s="4">
        <v>15700</v>
      </c>
      <c r="H492" s="5">
        <v>3.9699999999999999E-2</v>
      </c>
      <c r="I492" s="2">
        <v>60</v>
      </c>
      <c r="J492" s="2" t="s">
        <v>56</v>
      </c>
      <c r="K492" s="2" t="s">
        <v>17</v>
      </c>
      <c r="L492" s="3">
        <v>46133</v>
      </c>
      <c r="M492" s="2" t="str">
        <f>_xlfn.XLOOKUP(Deals[[#This Row],[CustomerID]],Customers!A:A,Customers!F:F)</f>
        <v>Affluent</v>
      </c>
      <c r="N492" s="2" t="str">
        <f>_xlfn.XLOOKUP(Deals[[#This Row],[CustomerID]],Customers!A:A,Customers!E:E)</f>
        <v>Kuwaiti</v>
      </c>
      <c r="O492" s="2">
        <f>2026-_xlfn.XLOOKUP(Deals[[#This Row],[CustomerID]],Customers!A:A,Customers!D:D)</f>
        <v>35</v>
      </c>
      <c r="P492" s="2" t="str" cm="1">
        <f t="array" ref="P492">_xlfn.IFS(Deals[[#This Row],[Age]]&lt;30,"Under 30",Deals[[#This Row],[Age]]&lt;45,"30-44",TRUE,"45+")</f>
        <v>30-44</v>
      </c>
      <c r="Q492" s="21">
        <f>IF(Deals[[#This Row],[Status]]="Pending","",Deals[[#This Row],[DecisionDate]]-Deals[[#This Row],[ApplicationDate]])</f>
        <v>4</v>
      </c>
      <c r="R492" s="21">
        <f>IF(Deals[[#This Row],[Status]]="Approved",1,0)</f>
        <v>1</v>
      </c>
      <c r="S492" s="21">
        <f>IF(Deals[[#This Row],[IsApproved]]=1,Deals[[#This Row],[Amount]],0)</f>
        <v>15700</v>
      </c>
      <c r="T492" s="21">
        <f>Deals[[#This Row],[ApprovedAmount]]*Deals[[#This Row],[ProfitRate]]</f>
        <v>623.29</v>
      </c>
    </row>
    <row r="493" spans="1:20">
      <c r="A493" s="2" t="s">
        <v>952</v>
      </c>
      <c r="B493" s="3">
        <v>46130</v>
      </c>
      <c r="C493" s="2" t="s">
        <v>380</v>
      </c>
      <c r="D493" s="2" t="s">
        <v>20</v>
      </c>
      <c r="E493" s="2" t="s">
        <v>30</v>
      </c>
      <c r="F493" s="2" t="s">
        <v>31</v>
      </c>
      <c r="G493" s="4">
        <v>8600</v>
      </c>
      <c r="H493" s="5">
        <v>4.7500000000000001E-2</v>
      </c>
      <c r="I493" s="2">
        <v>60</v>
      </c>
      <c r="J493" s="2" t="s">
        <v>22</v>
      </c>
      <c r="K493" s="2" t="s">
        <v>17</v>
      </c>
      <c r="L493" s="3">
        <v>46134</v>
      </c>
      <c r="M493" s="2" t="str">
        <f>_xlfn.XLOOKUP(Deals[[#This Row],[CustomerID]],Customers!A:A,Customers!F:F)</f>
        <v>Mass</v>
      </c>
      <c r="N493" s="2" t="str">
        <f>_xlfn.XLOOKUP(Deals[[#This Row],[CustomerID]],Customers!A:A,Customers!E:E)</f>
        <v>Non-Kuwaiti</v>
      </c>
      <c r="O493" s="2">
        <f>2026-_xlfn.XLOOKUP(Deals[[#This Row],[CustomerID]],Customers!A:A,Customers!D:D)</f>
        <v>28</v>
      </c>
      <c r="P493" s="2" t="str" cm="1">
        <f t="array" ref="P493">_xlfn.IFS(Deals[[#This Row],[Age]]&lt;30,"Under 30",Deals[[#This Row],[Age]]&lt;45,"30-44",TRUE,"45+")</f>
        <v>Under 30</v>
      </c>
      <c r="Q493" s="21">
        <f>IF(Deals[[#This Row],[Status]]="Pending","",Deals[[#This Row],[DecisionDate]]-Deals[[#This Row],[ApplicationDate]])</f>
        <v>4</v>
      </c>
      <c r="R493" s="21">
        <f>IF(Deals[[#This Row],[Status]]="Approved",1,0)</f>
        <v>1</v>
      </c>
      <c r="S493" s="21">
        <f>IF(Deals[[#This Row],[IsApproved]]=1,Deals[[#This Row],[Amount]],0)</f>
        <v>8600</v>
      </c>
      <c r="T493" s="21">
        <f>Deals[[#This Row],[ApprovedAmount]]*Deals[[#This Row],[ProfitRate]]</f>
        <v>408.5</v>
      </c>
    </row>
    <row r="494" spans="1:20">
      <c r="A494" s="2" t="s">
        <v>953</v>
      </c>
      <c r="B494" s="3">
        <v>46130</v>
      </c>
      <c r="C494" s="2" t="s">
        <v>891</v>
      </c>
      <c r="D494" s="2" t="s">
        <v>14</v>
      </c>
      <c r="E494" s="2" t="s">
        <v>15</v>
      </c>
      <c r="F494" s="2" t="s">
        <v>31</v>
      </c>
      <c r="G494" s="4">
        <v>5900</v>
      </c>
      <c r="H494" s="5">
        <v>6.3200000000000006E-2</v>
      </c>
      <c r="I494" s="2">
        <v>48</v>
      </c>
      <c r="J494" s="2" t="s">
        <v>40</v>
      </c>
      <c r="K494" s="2" t="s">
        <v>17</v>
      </c>
      <c r="L494" s="3">
        <v>46134</v>
      </c>
      <c r="M494" s="2" t="str">
        <f>_xlfn.XLOOKUP(Deals[[#This Row],[CustomerID]],Customers!A:A,Customers!F:F)</f>
        <v>Mass</v>
      </c>
      <c r="N494" s="2" t="str">
        <f>_xlfn.XLOOKUP(Deals[[#This Row],[CustomerID]],Customers!A:A,Customers!E:E)</f>
        <v>Kuwaiti</v>
      </c>
      <c r="O494" s="2">
        <f>2026-_xlfn.XLOOKUP(Deals[[#This Row],[CustomerID]],Customers!A:A,Customers!D:D)</f>
        <v>48</v>
      </c>
      <c r="P494" s="2" t="str" cm="1">
        <f t="array" ref="P494">_xlfn.IFS(Deals[[#This Row],[Age]]&lt;30,"Under 30",Deals[[#This Row],[Age]]&lt;45,"30-44",TRUE,"45+")</f>
        <v>45+</v>
      </c>
      <c r="Q494" s="21">
        <f>IF(Deals[[#This Row],[Status]]="Pending","",Deals[[#This Row],[DecisionDate]]-Deals[[#This Row],[ApplicationDate]])</f>
        <v>4</v>
      </c>
      <c r="R494" s="21">
        <f>IF(Deals[[#This Row],[Status]]="Approved",1,0)</f>
        <v>1</v>
      </c>
      <c r="S494" s="21">
        <f>IF(Deals[[#This Row],[IsApproved]]=1,Deals[[#This Row],[Amount]],0)</f>
        <v>5900</v>
      </c>
      <c r="T494" s="21">
        <f>Deals[[#This Row],[ApprovedAmount]]*Deals[[#This Row],[ProfitRate]]</f>
        <v>372.88000000000005</v>
      </c>
    </row>
    <row r="495" spans="1:20">
      <c r="A495" s="2" t="s">
        <v>954</v>
      </c>
      <c r="B495" s="3">
        <v>46131</v>
      </c>
      <c r="C495" s="2" t="s">
        <v>34</v>
      </c>
      <c r="D495" s="2" t="s">
        <v>20</v>
      </c>
      <c r="E495" s="2" t="s">
        <v>15</v>
      </c>
      <c r="F495" s="2" t="s">
        <v>31</v>
      </c>
      <c r="G495" s="4">
        <v>7900</v>
      </c>
      <c r="H495" s="5">
        <v>6.4299999999999996E-2</v>
      </c>
      <c r="I495" s="2">
        <v>60</v>
      </c>
      <c r="J495" s="2" t="s">
        <v>37</v>
      </c>
      <c r="K495" s="2" t="s">
        <v>17</v>
      </c>
      <c r="L495" s="3">
        <v>46135</v>
      </c>
      <c r="M495" s="2" t="str">
        <f>_xlfn.XLOOKUP(Deals[[#This Row],[CustomerID]],Customers!A:A,Customers!F:F)</f>
        <v>Mass</v>
      </c>
      <c r="N495" s="2" t="str">
        <f>_xlfn.XLOOKUP(Deals[[#This Row],[CustomerID]],Customers!A:A,Customers!E:E)</f>
        <v>Kuwaiti</v>
      </c>
      <c r="O495" s="2">
        <f>2026-_xlfn.XLOOKUP(Deals[[#This Row],[CustomerID]],Customers!A:A,Customers!D:D)</f>
        <v>25</v>
      </c>
      <c r="P495" s="2" t="str" cm="1">
        <f t="array" ref="P495">_xlfn.IFS(Deals[[#This Row],[Age]]&lt;30,"Under 30",Deals[[#This Row],[Age]]&lt;45,"30-44",TRUE,"45+")</f>
        <v>Under 30</v>
      </c>
      <c r="Q495" s="21">
        <f>IF(Deals[[#This Row],[Status]]="Pending","",Deals[[#This Row],[DecisionDate]]-Deals[[#This Row],[ApplicationDate]])</f>
        <v>4</v>
      </c>
      <c r="R495" s="21">
        <f>IF(Deals[[#This Row],[Status]]="Approved",1,0)</f>
        <v>1</v>
      </c>
      <c r="S495" s="21">
        <f>IF(Deals[[#This Row],[IsApproved]]=1,Deals[[#This Row],[Amount]],0)</f>
        <v>7900</v>
      </c>
      <c r="T495" s="21">
        <f>Deals[[#This Row],[ApprovedAmount]]*Deals[[#This Row],[ProfitRate]]</f>
        <v>507.96999999999997</v>
      </c>
    </row>
    <row r="496" spans="1:20">
      <c r="A496" s="2" t="s">
        <v>955</v>
      </c>
      <c r="B496" s="3">
        <v>46131</v>
      </c>
      <c r="C496" s="2" t="s">
        <v>280</v>
      </c>
      <c r="D496" s="2" t="s">
        <v>25</v>
      </c>
      <c r="E496" s="2" t="s">
        <v>43</v>
      </c>
      <c r="F496" s="2" t="s">
        <v>31</v>
      </c>
      <c r="G496" s="4">
        <v>64000</v>
      </c>
      <c r="H496" s="5">
        <v>6.8199999999999997E-2</v>
      </c>
      <c r="I496" s="2">
        <v>84</v>
      </c>
      <c r="J496" s="2" t="s">
        <v>181</v>
      </c>
      <c r="K496" s="2" t="s">
        <v>45</v>
      </c>
      <c r="L496" s="3">
        <v>46147</v>
      </c>
      <c r="M496" s="2" t="str">
        <f>_xlfn.XLOOKUP(Deals[[#This Row],[CustomerID]],Customers!A:A,Customers!F:F)</f>
        <v>Mass</v>
      </c>
      <c r="N496" s="2" t="str">
        <f>_xlfn.XLOOKUP(Deals[[#This Row],[CustomerID]],Customers!A:A,Customers!E:E)</f>
        <v>Kuwaiti</v>
      </c>
      <c r="O496" s="2">
        <f>2026-_xlfn.XLOOKUP(Deals[[#This Row],[CustomerID]],Customers!A:A,Customers!D:D)</f>
        <v>31</v>
      </c>
      <c r="P496" s="2" t="str" cm="1">
        <f t="array" ref="P496">_xlfn.IFS(Deals[[#This Row],[Age]]&lt;30,"Under 30",Deals[[#This Row],[Age]]&lt;45,"30-44",TRUE,"45+")</f>
        <v>30-44</v>
      </c>
      <c r="Q496" s="21">
        <f>IF(Deals[[#This Row],[Status]]="Pending","",Deals[[#This Row],[DecisionDate]]-Deals[[#This Row],[ApplicationDate]])</f>
        <v>16</v>
      </c>
      <c r="R496" s="21">
        <f>IF(Deals[[#This Row],[Status]]="Approved",1,0)</f>
        <v>0</v>
      </c>
      <c r="S496" s="21">
        <f>IF(Deals[[#This Row],[IsApproved]]=1,Deals[[#This Row],[Amount]],0)</f>
        <v>0</v>
      </c>
      <c r="T496" s="21">
        <f>Deals[[#This Row],[ApprovedAmount]]*Deals[[#This Row],[ProfitRate]]</f>
        <v>0</v>
      </c>
    </row>
    <row r="497" spans="1:20">
      <c r="A497" s="2" t="s">
        <v>957</v>
      </c>
      <c r="B497" s="3">
        <v>46132</v>
      </c>
      <c r="C497" s="2" t="s">
        <v>860</v>
      </c>
      <c r="D497" s="2" t="s">
        <v>14</v>
      </c>
      <c r="E497" s="2" t="s">
        <v>30</v>
      </c>
      <c r="F497" s="2" t="s">
        <v>3</v>
      </c>
      <c r="G497" s="4">
        <v>9800</v>
      </c>
      <c r="H497" s="5">
        <v>3.7199999999999997E-2</v>
      </c>
      <c r="I497" s="2">
        <v>60</v>
      </c>
      <c r="J497" s="2" t="s">
        <v>40</v>
      </c>
      <c r="K497" s="2" t="s">
        <v>17</v>
      </c>
      <c r="L497" s="3">
        <v>46137</v>
      </c>
      <c r="M497" s="2" t="str">
        <f>_xlfn.XLOOKUP(Deals[[#This Row],[CustomerID]],Customers!A:A,Customers!F:F)</f>
        <v>Affluent</v>
      </c>
      <c r="N497" s="2" t="str">
        <f>_xlfn.XLOOKUP(Deals[[#This Row],[CustomerID]],Customers!A:A,Customers!E:E)</f>
        <v>Kuwaiti</v>
      </c>
      <c r="O497" s="2">
        <f>2026-_xlfn.XLOOKUP(Deals[[#This Row],[CustomerID]],Customers!A:A,Customers!D:D)</f>
        <v>28</v>
      </c>
      <c r="P497" s="2" t="str" cm="1">
        <f t="array" ref="P497">_xlfn.IFS(Deals[[#This Row],[Age]]&lt;30,"Under 30",Deals[[#This Row],[Age]]&lt;45,"30-44",TRUE,"45+")</f>
        <v>Under 30</v>
      </c>
      <c r="Q497" s="21">
        <f>IF(Deals[[#This Row],[Status]]="Pending","",Deals[[#This Row],[DecisionDate]]-Deals[[#This Row],[ApplicationDate]])</f>
        <v>5</v>
      </c>
      <c r="R497" s="21">
        <f>IF(Deals[[#This Row],[Status]]="Approved",1,0)</f>
        <v>1</v>
      </c>
      <c r="S497" s="21">
        <f>IF(Deals[[#This Row],[IsApproved]]=1,Deals[[#This Row],[Amount]],0)</f>
        <v>9800</v>
      </c>
      <c r="T497" s="21">
        <f>Deals[[#This Row],[ApprovedAmount]]*Deals[[#This Row],[ProfitRate]]</f>
        <v>364.55999999999995</v>
      </c>
    </row>
    <row r="498" spans="1:20">
      <c r="A498" s="2" t="s">
        <v>958</v>
      </c>
      <c r="B498" s="3">
        <v>46132</v>
      </c>
      <c r="C498" s="2" t="s">
        <v>575</v>
      </c>
      <c r="D498" s="2" t="s">
        <v>54</v>
      </c>
      <c r="E498" s="2" t="s">
        <v>15</v>
      </c>
      <c r="F498" s="2" t="s">
        <v>3</v>
      </c>
      <c r="G498" s="4">
        <v>9800</v>
      </c>
      <c r="H498" s="5">
        <v>6.3E-2</v>
      </c>
      <c r="I498" s="2">
        <v>48</v>
      </c>
      <c r="J498" s="2" t="s">
        <v>148</v>
      </c>
      <c r="K498" s="2" t="s">
        <v>17</v>
      </c>
      <c r="L498" s="3">
        <v>46138</v>
      </c>
      <c r="M498" s="2" t="str">
        <f>_xlfn.XLOOKUP(Deals[[#This Row],[CustomerID]],Customers!A:A,Customers!F:F)</f>
        <v>Mass</v>
      </c>
      <c r="N498" s="2" t="str">
        <f>_xlfn.XLOOKUP(Deals[[#This Row],[CustomerID]],Customers!A:A,Customers!E:E)</f>
        <v>Non-Kuwaiti</v>
      </c>
      <c r="O498" s="2">
        <f>2026-_xlfn.XLOOKUP(Deals[[#This Row],[CustomerID]],Customers!A:A,Customers!D:D)</f>
        <v>34</v>
      </c>
      <c r="P498" s="2" t="str" cm="1">
        <f t="array" ref="P498">_xlfn.IFS(Deals[[#This Row],[Age]]&lt;30,"Under 30",Deals[[#This Row],[Age]]&lt;45,"30-44",TRUE,"45+")</f>
        <v>30-44</v>
      </c>
      <c r="Q498" s="21">
        <f>IF(Deals[[#This Row],[Status]]="Pending","",Deals[[#This Row],[DecisionDate]]-Deals[[#This Row],[ApplicationDate]])</f>
        <v>6</v>
      </c>
      <c r="R498" s="21">
        <f>IF(Deals[[#This Row],[Status]]="Approved",1,0)</f>
        <v>1</v>
      </c>
      <c r="S498" s="21">
        <f>IF(Deals[[#This Row],[IsApproved]]=1,Deals[[#This Row],[Amount]],0)</f>
        <v>9800</v>
      </c>
      <c r="T498" s="21">
        <f>Deals[[#This Row],[ApprovedAmount]]*Deals[[#This Row],[ProfitRate]]</f>
        <v>617.4</v>
      </c>
    </row>
    <row r="499" spans="1:20">
      <c r="A499" s="2" t="s">
        <v>959</v>
      </c>
      <c r="B499" s="3">
        <v>46133</v>
      </c>
      <c r="C499" s="2" t="s">
        <v>636</v>
      </c>
      <c r="D499" s="2" t="s">
        <v>14</v>
      </c>
      <c r="E499" s="2" t="s">
        <v>21</v>
      </c>
      <c r="F499" s="2" t="s">
        <v>55</v>
      </c>
      <c r="G499" s="4">
        <v>98400</v>
      </c>
      <c r="H499" s="5">
        <v>3.7900000000000003E-2</v>
      </c>
      <c r="I499" s="2">
        <v>240</v>
      </c>
      <c r="J499" s="2" t="s">
        <v>16</v>
      </c>
      <c r="K499" s="2" t="s">
        <v>45</v>
      </c>
      <c r="L499" s="3">
        <v>46146</v>
      </c>
      <c r="M499" s="2" t="str">
        <f>_xlfn.XLOOKUP(Deals[[#This Row],[CustomerID]],Customers!A:A,Customers!F:F)</f>
        <v>Mass</v>
      </c>
      <c r="N499" s="2" t="str">
        <f>_xlfn.XLOOKUP(Deals[[#This Row],[CustomerID]],Customers!A:A,Customers!E:E)</f>
        <v>Kuwaiti</v>
      </c>
      <c r="O499" s="2">
        <f>2026-_xlfn.XLOOKUP(Deals[[#This Row],[CustomerID]],Customers!A:A,Customers!D:D)</f>
        <v>42</v>
      </c>
      <c r="P499" s="2" t="str" cm="1">
        <f t="array" ref="P499">_xlfn.IFS(Deals[[#This Row],[Age]]&lt;30,"Under 30",Deals[[#This Row],[Age]]&lt;45,"30-44",TRUE,"45+")</f>
        <v>30-44</v>
      </c>
      <c r="Q499" s="21">
        <f>IF(Deals[[#This Row],[Status]]="Pending","",Deals[[#This Row],[DecisionDate]]-Deals[[#This Row],[ApplicationDate]])</f>
        <v>13</v>
      </c>
      <c r="R499" s="21">
        <f>IF(Deals[[#This Row],[Status]]="Approved",1,0)</f>
        <v>0</v>
      </c>
      <c r="S499" s="21">
        <f>IF(Deals[[#This Row],[IsApproved]]=1,Deals[[#This Row],[Amount]],0)</f>
        <v>0</v>
      </c>
      <c r="T499" s="21">
        <f>Deals[[#This Row],[ApprovedAmount]]*Deals[[#This Row],[ProfitRate]]</f>
        <v>0</v>
      </c>
    </row>
    <row r="500" spans="1:20">
      <c r="A500" s="2" t="s">
        <v>960</v>
      </c>
      <c r="B500" s="3">
        <v>46133</v>
      </c>
      <c r="C500" s="2" t="s">
        <v>583</v>
      </c>
      <c r="D500" s="2" t="s">
        <v>29</v>
      </c>
      <c r="E500" s="2" t="s">
        <v>15</v>
      </c>
      <c r="F500" s="2" t="s">
        <v>31</v>
      </c>
      <c r="G500" s="4">
        <v>12100</v>
      </c>
      <c r="H500" s="5">
        <v>6.4199999999999993E-2</v>
      </c>
      <c r="I500" s="2">
        <v>36</v>
      </c>
      <c r="J500" s="2" t="s">
        <v>123</v>
      </c>
      <c r="K500" s="2" t="s">
        <v>17</v>
      </c>
      <c r="L500" s="3">
        <v>46134</v>
      </c>
      <c r="M500" s="2" t="str">
        <f>_xlfn.XLOOKUP(Deals[[#This Row],[CustomerID]],Customers!A:A,Customers!F:F)</f>
        <v>Premium</v>
      </c>
      <c r="N500" s="2" t="str">
        <f>_xlfn.XLOOKUP(Deals[[#This Row],[CustomerID]],Customers!A:A,Customers!E:E)</f>
        <v>Kuwaiti</v>
      </c>
      <c r="O500" s="2">
        <f>2026-_xlfn.XLOOKUP(Deals[[#This Row],[CustomerID]],Customers!A:A,Customers!D:D)</f>
        <v>51</v>
      </c>
      <c r="P500" s="2" t="str" cm="1">
        <f t="array" ref="P500">_xlfn.IFS(Deals[[#This Row],[Age]]&lt;30,"Under 30",Deals[[#This Row],[Age]]&lt;45,"30-44",TRUE,"45+")</f>
        <v>45+</v>
      </c>
      <c r="Q500" s="21">
        <f>IF(Deals[[#This Row],[Status]]="Pending","",Deals[[#This Row],[DecisionDate]]-Deals[[#This Row],[ApplicationDate]])</f>
        <v>1</v>
      </c>
      <c r="R500" s="21">
        <f>IF(Deals[[#This Row],[Status]]="Approved",1,0)</f>
        <v>1</v>
      </c>
      <c r="S500" s="21">
        <f>IF(Deals[[#This Row],[IsApproved]]=1,Deals[[#This Row],[Amount]],0)</f>
        <v>12100</v>
      </c>
      <c r="T500" s="21">
        <f>Deals[[#This Row],[ApprovedAmount]]*Deals[[#This Row],[ProfitRate]]</f>
        <v>776.81999999999994</v>
      </c>
    </row>
    <row r="501" spans="1:20">
      <c r="A501" s="2" t="s">
        <v>961</v>
      </c>
      <c r="B501" s="3">
        <v>46133</v>
      </c>
      <c r="C501" s="2" t="s">
        <v>19</v>
      </c>
      <c r="D501" s="2" t="s">
        <v>14</v>
      </c>
      <c r="E501" s="2" t="s">
        <v>21</v>
      </c>
      <c r="F501" s="2" t="s">
        <v>3</v>
      </c>
      <c r="G501" s="4">
        <v>177600</v>
      </c>
      <c r="H501" s="5">
        <v>4.4400000000000002E-2</v>
      </c>
      <c r="I501" s="2">
        <v>240</v>
      </c>
      <c r="J501" s="2" t="s">
        <v>48</v>
      </c>
      <c r="K501" s="2" t="s">
        <v>45</v>
      </c>
      <c r="L501" s="3">
        <v>46144</v>
      </c>
      <c r="M501" s="2" t="str">
        <f>_xlfn.XLOOKUP(Deals[[#This Row],[CustomerID]],Customers!A:A,Customers!F:F)</f>
        <v>Mass</v>
      </c>
      <c r="N501" s="2" t="str">
        <f>_xlfn.XLOOKUP(Deals[[#This Row],[CustomerID]],Customers!A:A,Customers!E:E)</f>
        <v>Kuwaiti</v>
      </c>
      <c r="O501" s="2">
        <f>2026-_xlfn.XLOOKUP(Deals[[#This Row],[CustomerID]],Customers!A:A,Customers!D:D)</f>
        <v>23</v>
      </c>
      <c r="P501" s="2" t="str" cm="1">
        <f t="array" ref="P501">_xlfn.IFS(Deals[[#This Row],[Age]]&lt;30,"Under 30",Deals[[#This Row],[Age]]&lt;45,"30-44",TRUE,"45+")</f>
        <v>Under 30</v>
      </c>
      <c r="Q501" s="21">
        <f>IF(Deals[[#This Row],[Status]]="Pending","",Deals[[#This Row],[DecisionDate]]-Deals[[#This Row],[ApplicationDate]])</f>
        <v>11</v>
      </c>
      <c r="R501" s="21">
        <f>IF(Deals[[#This Row],[Status]]="Approved",1,0)</f>
        <v>0</v>
      </c>
      <c r="S501" s="21">
        <f>IF(Deals[[#This Row],[IsApproved]]=1,Deals[[#This Row],[Amount]],0)</f>
        <v>0</v>
      </c>
      <c r="T501" s="21">
        <f>Deals[[#This Row],[ApprovedAmount]]*Deals[[#This Row],[ProfitRate]]</f>
        <v>0</v>
      </c>
    </row>
    <row r="502" spans="1:20">
      <c r="A502" s="2" t="s">
        <v>962</v>
      </c>
      <c r="B502" s="3">
        <v>46134</v>
      </c>
      <c r="C502" s="2" t="s">
        <v>963</v>
      </c>
      <c r="D502" s="2" t="s">
        <v>71</v>
      </c>
      <c r="E502" s="2" t="s">
        <v>43</v>
      </c>
      <c r="F502" s="2" t="s">
        <v>3</v>
      </c>
      <c r="G502" s="4">
        <v>136800</v>
      </c>
      <c r="H502" s="5">
        <v>7.3400000000000007E-2</v>
      </c>
      <c r="I502" s="2">
        <v>36</v>
      </c>
      <c r="J502" s="2" t="s">
        <v>101</v>
      </c>
      <c r="K502" s="2" t="s">
        <v>45</v>
      </c>
      <c r="L502" s="3">
        <v>46146</v>
      </c>
      <c r="M502" s="2" t="str">
        <f>_xlfn.XLOOKUP(Deals[[#This Row],[CustomerID]],Customers!A:A,Customers!F:F)</f>
        <v>Affluent</v>
      </c>
      <c r="N502" s="2" t="str">
        <f>_xlfn.XLOOKUP(Deals[[#This Row],[CustomerID]],Customers!A:A,Customers!E:E)</f>
        <v>Kuwaiti</v>
      </c>
      <c r="O502" s="2">
        <f>2026-_xlfn.XLOOKUP(Deals[[#This Row],[CustomerID]],Customers!A:A,Customers!D:D)</f>
        <v>36</v>
      </c>
      <c r="P502" s="2" t="str" cm="1">
        <f t="array" ref="P502">_xlfn.IFS(Deals[[#This Row],[Age]]&lt;30,"Under 30",Deals[[#This Row],[Age]]&lt;45,"30-44",TRUE,"45+")</f>
        <v>30-44</v>
      </c>
      <c r="Q502" s="21">
        <f>IF(Deals[[#This Row],[Status]]="Pending","",Deals[[#This Row],[DecisionDate]]-Deals[[#This Row],[ApplicationDate]])</f>
        <v>12</v>
      </c>
      <c r="R502" s="21">
        <f>IF(Deals[[#This Row],[Status]]="Approved",1,0)</f>
        <v>0</v>
      </c>
      <c r="S502" s="21">
        <f>IF(Deals[[#This Row],[IsApproved]]=1,Deals[[#This Row],[Amount]],0)</f>
        <v>0</v>
      </c>
      <c r="T502" s="21">
        <f>Deals[[#This Row],[ApprovedAmount]]*Deals[[#This Row],[ProfitRate]]</f>
        <v>0</v>
      </c>
    </row>
    <row r="503" spans="1:20">
      <c r="A503" s="2" t="s">
        <v>964</v>
      </c>
      <c r="B503" s="3">
        <v>46134</v>
      </c>
      <c r="C503" s="2" t="s">
        <v>543</v>
      </c>
      <c r="D503" s="2" t="s">
        <v>54</v>
      </c>
      <c r="E503" s="2" t="s">
        <v>30</v>
      </c>
      <c r="F503" s="2" t="s">
        <v>55</v>
      </c>
      <c r="G503" s="4">
        <v>11200</v>
      </c>
      <c r="H503" s="5">
        <v>4.9700000000000001E-2</v>
      </c>
      <c r="I503" s="2">
        <v>60</v>
      </c>
      <c r="J503" s="2" t="s">
        <v>148</v>
      </c>
      <c r="K503" s="2" t="s">
        <v>17</v>
      </c>
      <c r="L503" s="3">
        <v>46138</v>
      </c>
      <c r="M503" s="2" t="str">
        <f>_xlfn.XLOOKUP(Deals[[#This Row],[CustomerID]],Customers!A:A,Customers!F:F)</f>
        <v>Mass</v>
      </c>
      <c r="N503" s="2" t="str">
        <f>_xlfn.XLOOKUP(Deals[[#This Row],[CustomerID]],Customers!A:A,Customers!E:E)</f>
        <v>Kuwaiti</v>
      </c>
      <c r="O503" s="2">
        <f>2026-_xlfn.XLOOKUP(Deals[[#This Row],[CustomerID]],Customers!A:A,Customers!D:D)</f>
        <v>27</v>
      </c>
      <c r="P503" s="2" t="str" cm="1">
        <f t="array" ref="P503">_xlfn.IFS(Deals[[#This Row],[Age]]&lt;30,"Under 30",Deals[[#This Row],[Age]]&lt;45,"30-44",TRUE,"45+")</f>
        <v>Under 30</v>
      </c>
      <c r="Q503" s="21">
        <f>IF(Deals[[#This Row],[Status]]="Pending","",Deals[[#This Row],[DecisionDate]]-Deals[[#This Row],[ApplicationDate]])</f>
        <v>4</v>
      </c>
      <c r="R503" s="21">
        <f>IF(Deals[[#This Row],[Status]]="Approved",1,0)</f>
        <v>1</v>
      </c>
      <c r="S503" s="21">
        <f>IF(Deals[[#This Row],[IsApproved]]=1,Deals[[#This Row],[Amount]],0)</f>
        <v>11200</v>
      </c>
      <c r="T503" s="21">
        <f>Deals[[#This Row],[ApprovedAmount]]*Deals[[#This Row],[ProfitRate]]</f>
        <v>556.64</v>
      </c>
    </row>
    <row r="504" spans="1:20">
      <c r="A504" s="2" t="s">
        <v>965</v>
      </c>
      <c r="B504" s="3">
        <v>46134</v>
      </c>
      <c r="C504" s="2" t="s">
        <v>523</v>
      </c>
      <c r="D504" s="2" t="s">
        <v>25</v>
      </c>
      <c r="E504" s="2" t="s">
        <v>15</v>
      </c>
      <c r="F504" s="2" t="s">
        <v>3</v>
      </c>
      <c r="G504" s="4">
        <v>23000</v>
      </c>
      <c r="H504" s="5">
        <v>5.7299999999999997E-2</v>
      </c>
      <c r="I504" s="2">
        <v>48</v>
      </c>
      <c r="J504" s="2" t="s">
        <v>181</v>
      </c>
      <c r="K504" s="2" t="s">
        <v>45</v>
      </c>
      <c r="L504" s="3">
        <v>46139</v>
      </c>
      <c r="M504" s="2" t="str">
        <f>_xlfn.XLOOKUP(Deals[[#This Row],[CustomerID]],Customers!A:A,Customers!F:F)</f>
        <v>Mass</v>
      </c>
      <c r="N504" s="2" t="str">
        <f>_xlfn.XLOOKUP(Deals[[#This Row],[CustomerID]],Customers!A:A,Customers!E:E)</f>
        <v>Non-Kuwaiti</v>
      </c>
      <c r="O504" s="2">
        <f>2026-_xlfn.XLOOKUP(Deals[[#This Row],[CustomerID]],Customers!A:A,Customers!D:D)</f>
        <v>41</v>
      </c>
      <c r="P504" s="2" t="str" cm="1">
        <f t="array" ref="P504">_xlfn.IFS(Deals[[#This Row],[Age]]&lt;30,"Under 30",Deals[[#This Row],[Age]]&lt;45,"30-44",TRUE,"45+")</f>
        <v>30-44</v>
      </c>
      <c r="Q504" s="21">
        <f>IF(Deals[[#This Row],[Status]]="Pending","",Deals[[#This Row],[DecisionDate]]-Deals[[#This Row],[ApplicationDate]])</f>
        <v>5</v>
      </c>
      <c r="R504" s="21">
        <f>IF(Deals[[#This Row],[Status]]="Approved",1,0)</f>
        <v>0</v>
      </c>
      <c r="S504" s="21">
        <f>IF(Deals[[#This Row],[IsApproved]]=1,Deals[[#This Row],[Amount]],0)</f>
        <v>0</v>
      </c>
      <c r="T504" s="21">
        <f>Deals[[#This Row],[ApprovedAmount]]*Deals[[#This Row],[ProfitRate]]</f>
        <v>0</v>
      </c>
    </row>
    <row r="505" spans="1:20">
      <c r="A505" s="2" t="s">
        <v>966</v>
      </c>
      <c r="B505" s="3">
        <v>46134</v>
      </c>
      <c r="C505" s="2" t="s">
        <v>967</v>
      </c>
      <c r="D505" s="2" t="s">
        <v>25</v>
      </c>
      <c r="E505" s="2" t="s">
        <v>15</v>
      </c>
      <c r="F505" s="2" t="s">
        <v>55</v>
      </c>
      <c r="G505" s="4">
        <v>13900</v>
      </c>
      <c r="H505" s="5">
        <v>5.21E-2</v>
      </c>
      <c r="I505" s="2">
        <v>36</v>
      </c>
      <c r="J505" s="2" t="s">
        <v>181</v>
      </c>
      <c r="K505" s="2" t="s">
        <v>17</v>
      </c>
      <c r="L505" s="3">
        <v>46135</v>
      </c>
      <c r="M505" s="2" t="str">
        <f>_xlfn.XLOOKUP(Deals[[#This Row],[CustomerID]],Customers!A:A,Customers!F:F)</f>
        <v>Mass</v>
      </c>
      <c r="N505" s="2" t="str">
        <f>_xlfn.XLOOKUP(Deals[[#This Row],[CustomerID]],Customers!A:A,Customers!E:E)</f>
        <v>Kuwaiti</v>
      </c>
      <c r="O505" s="2">
        <f>2026-_xlfn.XLOOKUP(Deals[[#This Row],[CustomerID]],Customers!A:A,Customers!D:D)</f>
        <v>32</v>
      </c>
      <c r="P505" s="2" t="str" cm="1">
        <f t="array" ref="P505">_xlfn.IFS(Deals[[#This Row],[Age]]&lt;30,"Under 30",Deals[[#This Row],[Age]]&lt;45,"30-44",TRUE,"45+")</f>
        <v>30-44</v>
      </c>
      <c r="Q505" s="21">
        <f>IF(Deals[[#This Row],[Status]]="Pending","",Deals[[#This Row],[DecisionDate]]-Deals[[#This Row],[ApplicationDate]])</f>
        <v>1</v>
      </c>
      <c r="R505" s="21">
        <f>IF(Deals[[#This Row],[Status]]="Approved",1,0)</f>
        <v>1</v>
      </c>
      <c r="S505" s="21">
        <f>IF(Deals[[#This Row],[IsApproved]]=1,Deals[[#This Row],[Amount]],0)</f>
        <v>13900</v>
      </c>
      <c r="T505" s="21">
        <f>Deals[[#This Row],[ApprovedAmount]]*Deals[[#This Row],[ProfitRate]]</f>
        <v>724.19</v>
      </c>
    </row>
    <row r="506" spans="1:20">
      <c r="A506" s="2" t="s">
        <v>969</v>
      </c>
      <c r="B506" s="3">
        <v>46134</v>
      </c>
      <c r="C506" s="2" t="s">
        <v>78</v>
      </c>
      <c r="D506" s="2" t="s">
        <v>29</v>
      </c>
      <c r="E506" s="2" t="s">
        <v>43</v>
      </c>
      <c r="F506" s="2" t="s">
        <v>3</v>
      </c>
      <c r="G506" s="4">
        <v>112000</v>
      </c>
      <c r="H506" s="5">
        <v>6.3500000000000001E-2</v>
      </c>
      <c r="I506" s="2">
        <v>36</v>
      </c>
      <c r="J506" s="2" t="s">
        <v>123</v>
      </c>
      <c r="K506" s="2" t="s">
        <v>17</v>
      </c>
      <c r="L506" s="3">
        <v>46152</v>
      </c>
      <c r="M506" s="2" t="str">
        <f>_xlfn.XLOOKUP(Deals[[#This Row],[CustomerID]],Customers!A:A,Customers!F:F)</f>
        <v>Mass</v>
      </c>
      <c r="N506" s="2" t="str">
        <f>_xlfn.XLOOKUP(Deals[[#This Row],[CustomerID]],Customers!A:A,Customers!E:E)</f>
        <v>Kuwaiti</v>
      </c>
      <c r="O506" s="2">
        <f>2026-_xlfn.XLOOKUP(Deals[[#This Row],[CustomerID]],Customers!A:A,Customers!D:D)</f>
        <v>34</v>
      </c>
      <c r="P506" s="2" t="str" cm="1">
        <f t="array" ref="P506">_xlfn.IFS(Deals[[#This Row],[Age]]&lt;30,"Under 30",Deals[[#This Row],[Age]]&lt;45,"30-44",TRUE,"45+")</f>
        <v>30-44</v>
      </c>
      <c r="Q506" s="21">
        <f>IF(Deals[[#This Row],[Status]]="Pending","",Deals[[#This Row],[DecisionDate]]-Deals[[#This Row],[ApplicationDate]])</f>
        <v>18</v>
      </c>
      <c r="R506" s="21">
        <f>IF(Deals[[#This Row],[Status]]="Approved",1,0)</f>
        <v>1</v>
      </c>
      <c r="S506" s="21">
        <f>IF(Deals[[#This Row],[IsApproved]]=1,Deals[[#This Row],[Amount]],0)</f>
        <v>112000</v>
      </c>
      <c r="T506" s="21">
        <f>Deals[[#This Row],[ApprovedAmount]]*Deals[[#This Row],[ProfitRate]]</f>
        <v>7112</v>
      </c>
    </row>
    <row r="507" spans="1:20">
      <c r="A507" s="2" t="s">
        <v>970</v>
      </c>
      <c r="B507" s="3">
        <v>46134</v>
      </c>
      <c r="C507" s="2" t="s">
        <v>971</v>
      </c>
      <c r="D507" s="2" t="s">
        <v>71</v>
      </c>
      <c r="E507" s="2" t="s">
        <v>43</v>
      </c>
      <c r="F507" s="2" t="s">
        <v>3</v>
      </c>
      <c r="G507" s="4">
        <v>61300</v>
      </c>
      <c r="H507" s="5">
        <v>7.2400000000000006E-2</v>
      </c>
      <c r="I507" s="2">
        <v>60</v>
      </c>
      <c r="J507" s="2" t="s">
        <v>72</v>
      </c>
      <c r="K507" s="2" t="s">
        <v>17</v>
      </c>
      <c r="L507" s="3">
        <v>46148</v>
      </c>
      <c r="M507" s="2" t="str">
        <f>_xlfn.XLOOKUP(Deals[[#This Row],[CustomerID]],Customers!A:A,Customers!F:F)</f>
        <v>Mass</v>
      </c>
      <c r="N507" s="2" t="str">
        <f>_xlfn.XLOOKUP(Deals[[#This Row],[CustomerID]],Customers!A:A,Customers!E:E)</f>
        <v>Non-Kuwaiti</v>
      </c>
      <c r="O507" s="2">
        <f>2026-_xlfn.XLOOKUP(Deals[[#This Row],[CustomerID]],Customers!A:A,Customers!D:D)</f>
        <v>26</v>
      </c>
      <c r="P507" s="2" t="str" cm="1">
        <f t="array" ref="P507">_xlfn.IFS(Deals[[#This Row],[Age]]&lt;30,"Under 30",Deals[[#This Row],[Age]]&lt;45,"30-44",TRUE,"45+")</f>
        <v>Under 30</v>
      </c>
      <c r="Q507" s="21">
        <f>IF(Deals[[#This Row],[Status]]="Pending","",Deals[[#This Row],[DecisionDate]]-Deals[[#This Row],[ApplicationDate]])</f>
        <v>14</v>
      </c>
      <c r="R507" s="21">
        <f>IF(Deals[[#This Row],[Status]]="Approved",1,0)</f>
        <v>1</v>
      </c>
      <c r="S507" s="21">
        <f>IF(Deals[[#This Row],[IsApproved]]=1,Deals[[#This Row],[Amount]],0)</f>
        <v>61300</v>
      </c>
      <c r="T507" s="21">
        <f>Deals[[#This Row],[ApprovedAmount]]*Deals[[#This Row],[ProfitRate]]</f>
        <v>4438.1200000000008</v>
      </c>
    </row>
    <row r="508" spans="1:20">
      <c r="A508" s="2" t="s">
        <v>972</v>
      </c>
      <c r="B508" s="3">
        <v>46135</v>
      </c>
      <c r="C508" s="2" t="s">
        <v>973</v>
      </c>
      <c r="D508" s="2" t="s">
        <v>14</v>
      </c>
      <c r="E508" s="2" t="s">
        <v>30</v>
      </c>
      <c r="F508" s="2" t="s">
        <v>3</v>
      </c>
      <c r="G508" s="4">
        <v>12000</v>
      </c>
      <c r="H508" s="5">
        <v>4.5699999999999998E-2</v>
      </c>
      <c r="I508" s="2">
        <v>60</v>
      </c>
      <c r="J508" s="2" t="s">
        <v>16</v>
      </c>
      <c r="K508" s="2" t="s">
        <v>45</v>
      </c>
      <c r="L508" s="3">
        <v>46139</v>
      </c>
      <c r="M508" s="2" t="str">
        <f>_xlfn.XLOOKUP(Deals[[#This Row],[CustomerID]],Customers!A:A,Customers!F:F)</f>
        <v>Mass</v>
      </c>
      <c r="N508" s="2" t="str">
        <f>_xlfn.XLOOKUP(Deals[[#This Row],[CustomerID]],Customers!A:A,Customers!E:E)</f>
        <v>Kuwaiti</v>
      </c>
      <c r="O508" s="2">
        <f>2026-_xlfn.XLOOKUP(Deals[[#This Row],[CustomerID]],Customers!A:A,Customers!D:D)</f>
        <v>39</v>
      </c>
      <c r="P508" s="2" t="str" cm="1">
        <f t="array" ref="P508">_xlfn.IFS(Deals[[#This Row],[Age]]&lt;30,"Under 30",Deals[[#This Row],[Age]]&lt;45,"30-44",TRUE,"45+")</f>
        <v>30-44</v>
      </c>
      <c r="Q508" s="21">
        <f>IF(Deals[[#This Row],[Status]]="Pending","",Deals[[#This Row],[DecisionDate]]-Deals[[#This Row],[ApplicationDate]])</f>
        <v>4</v>
      </c>
      <c r="R508" s="21">
        <f>IF(Deals[[#This Row],[Status]]="Approved",1,0)</f>
        <v>0</v>
      </c>
      <c r="S508" s="21">
        <f>IF(Deals[[#This Row],[IsApproved]]=1,Deals[[#This Row],[Amount]],0)</f>
        <v>0</v>
      </c>
      <c r="T508" s="21">
        <f>Deals[[#This Row],[ApprovedAmount]]*Deals[[#This Row],[ProfitRate]]</f>
        <v>0</v>
      </c>
    </row>
    <row r="509" spans="1:20">
      <c r="A509" s="2" t="s">
        <v>974</v>
      </c>
      <c r="B509" s="3">
        <v>46135</v>
      </c>
      <c r="C509" s="2" t="s">
        <v>975</v>
      </c>
      <c r="D509" s="2" t="s">
        <v>20</v>
      </c>
      <c r="E509" s="2" t="s">
        <v>30</v>
      </c>
      <c r="F509" s="2" t="s">
        <v>55</v>
      </c>
      <c r="G509" s="4">
        <v>13200</v>
      </c>
      <c r="H509" s="5">
        <v>4.2000000000000003E-2</v>
      </c>
      <c r="I509" s="2">
        <v>60</v>
      </c>
      <c r="J509" s="2" t="s">
        <v>44</v>
      </c>
      <c r="K509" s="2" t="s">
        <v>17</v>
      </c>
      <c r="L509" s="3">
        <v>46137</v>
      </c>
      <c r="M509" s="2" t="str">
        <f>_xlfn.XLOOKUP(Deals[[#This Row],[CustomerID]],Customers!A:A,Customers!F:F)</f>
        <v>Premium</v>
      </c>
      <c r="N509" s="2" t="str">
        <f>_xlfn.XLOOKUP(Deals[[#This Row],[CustomerID]],Customers!A:A,Customers!E:E)</f>
        <v>Non-Kuwaiti</v>
      </c>
      <c r="O509" s="2">
        <f>2026-_xlfn.XLOOKUP(Deals[[#This Row],[CustomerID]],Customers!A:A,Customers!D:D)</f>
        <v>51</v>
      </c>
      <c r="P509" s="2" t="str" cm="1">
        <f t="array" ref="P509">_xlfn.IFS(Deals[[#This Row],[Age]]&lt;30,"Under 30",Deals[[#This Row],[Age]]&lt;45,"30-44",TRUE,"45+")</f>
        <v>45+</v>
      </c>
      <c r="Q509" s="21">
        <f>IF(Deals[[#This Row],[Status]]="Pending","",Deals[[#This Row],[DecisionDate]]-Deals[[#This Row],[ApplicationDate]])</f>
        <v>2</v>
      </c>
      <c r="R509" s="21">
        <f>IF(Deals[[#This Row],[Status]]="Approved",1,0)</f>
        <v>1</v>
      </c>
      <c r="S509" s="21">
        <f>IF(Deals[[#This Row],[IsApproved]]=1,Deals[[#This Row],[Amount]],0)</f>
        <v>13200</v>
      </c>
      <c r="T509" s="21">
        <f>Deals[[#This Row],[ApprovedAmount]]*Deals[[#This Row],[ProfitRate]]</f>
        <v>554.40000000000009</v>
      </c>
    </row>
    <row r="510" spans="1:20">
      <c r="A510" s="2" t="s">
        <v>976</v>
      </c>
      <c r="B510" s="3">
        <v>46135</v>
      </c>
      <c r="C510" s="2" t="s">
        <v>977</v>
      </c>
      <c r="D510" s="2" t="s">
        <v>14</v>
      </c>
      <c r="E510" s="2" t="s">
        <v>30</v>
      </c>
      <c r="F510" s="2" t="s">
        <v>55</v>
      </c>
      <c r="G510" s="4">
        <v>12700</v>
      </c>
      <c r="H510" s="5">
        <v>4.1000000000000002E-2</v>
      </c>
      <c r="I510" s="2">
        <v>36</v>
      </c>
      <c r="J510" s="2" t="s">
        <v>16</v>
      </c>
      <c r="K510" s="2" t="s">
        <v>17</v>
      </c>
      <c r="L510" s="3">
        <v>46137</v>
      </c>
      <c r="M510" s="2" t="str">
        <f>_xlfn.XLOOKUP(Deals[[#This Row],[CustomerID]],Customers!A:A,Customers!F:F)</f>
        <v>Premium</v>
      </c>
      <c r="N510" s="2" t="str">
        <f>_xlfn.XLOOKUP(Deals[[#This Row],[CustomerID]],Customers!A:A,Customers!E:E)</f>
        <v>Kuwaiti</v>
      </c>
      <c r="O510" s="2">
        <f>2026-_xlfn.XLOOKUP(Deals[[#This Row],[CustomerID]],Customers!A:A,Customers!D:D)</f>
        <v>45</v>
      </c>
      <c r="P510" s="2" t="str" cm="1">
        <f t="array" ref="P510">_xlfn.IFS(Deals[[#This Row],[Age]]&lt;30,"Under 30",Deals[[#This Row],[Age]]&lt;45,"30-44",TRUE,"45+")</f>
        <v>45+</v>
      </c>
      <c r="Q510" s="21">
        <f>IF(Deals[[#This Row],[Status]]="Pending","",Deals[[#This Row],[DecisionDate]]-Deals[[#This Row],[ApplicationDate]])</f>
        <v>2</v>
      </c>
      <c r="R510" s="21">
        <f>IF(Deals[[#This Row],[Status]]="Approved",1,0)</f>
        <v>1</v>
      </c>
      <c r="S510" s="21">
        <f>IF(Deals[[#This Row],[IsApproved]]=1,Deals[[#This Row],[Amount]],0)</f>
        <v>12700</v>
      </c>
      <c r="T510" s="21">
        <f>Deals[[#This Row],[ApprovedAmount]]*Deals[[#This Row],[ProfitRate]]</f>
        <v>520.70000000000005</v>
      </c>
    </row>
    <row r="511" spans="1:20">
      <c r="A511" s="2" t="s">
        <v>978</v>
      </c>
      <c r="B511" s="3">
        <v>46135</v>
      </c>
      <c r="C511" s="2" t="s">
        <v>979</v>
      </c>
      <c r="D511" s="2" t="s">
        <v>14</v>
      </c>
      <c r="E511" s="2" t="s">
        <v>43</v>
      </c>
      <c r="F511" s="2" t="s">
        <v>3</v>
      </c>
      <c r="G511" s="4">
        <v>113700</v>
      </c>
      <c r="H511" s="5">
        <v>7.4300000000000005E-2</v>
      </c>
      <c r="I511" s="2">
        <v>84</v>
      </c>
      <c r="J511" s="2" t="s">
        <v>48</v>
      </c>
      <c r="K511" s="2" t="s">
        <v>17</v>
      </c>
      <c r="L511" s="3">
        <v>46146</v>
      </c>
      <c r="M511" s="2" t="str">
        <f>_xlfn.XLOOKUP(Deals[[#This Row],[CustomerID]],Customers!A:A,Customers!F:F)</f>
        <v>Mass</v>
      </c>
      <c r="N511" s="2" t="str">
        <f>_xlfn.XLOOKUP(Deals[[#This Row],[CustomerID]],Customers!A:A,Customers!E:E)</f>
        <v>Kuwaiti</v>
      </c>
      <c r="O511" s="2">
        <f>2026-_xlfn.XLOOKUP(Deals[[#This Row],[CustomerID]],Customers!A:A,Customers!D:D)</f>
        <v>66</v>
      </c>
      <c r="P511" s="2" t="str" cm="1">
        <f t="array" ref="P511">_xlfn.IFS(Deals[[#This Row],[Age]]&lt;30,"Under 30",Deals[[#This Row],[Age]]&lt;45,"30-44",TRUE,"45+")</f>
        <v>45+</v>
      </c>
      <c r="Q511" s="21">
        <f>IF(Deals[[#This Row],[Status]]="Pending","",Deals[[#This Row],[DecisionDate]]-Deals[[#This Row],[ApplicationDate]])</f>
        <v>11</v>
      </c>
      <c r="R511" s="21">
        <f>IF(Deals[[#This Row],[Status]]="Approved",1,0)</f>
        <v>1</v>
      </c>
      <c r="S511" s="21">
        <f>IF(Deals[[#This Row],[IsApproved]]=1,Deals[[#This Row],[Amount]],0)</f>
        <v>113700</v>
      </c>
      <c r="T511" s="21">
        <f>Deals[[#This Row],[ApprovedAmount]]*Deals[[#This Row],[ProfitRate]]</f>
        <v>8447.91</v>
      </c>
    </row>
    <row r="512" spans="1:20">
      <c r="A512" s="2" t="s">
        <v>980</v>
      </c>
      <c r="B512" s="3">
        <v>46136</v>
      </c>
      <c r="C512" s="2" t="s">
        <v>981</v>
      </c>
      <c r="D512" s="2" t="s">
        <v>20</v>
      </c>
      <c r="E512" s="2" t="s">
        <v>15</v>
      </c>
      <c r="F512" s="2" t="s">
        <v>31</v>
      </c>
      <c r="G512" s="4">
        <v>23600</v>
      </c>
      <c r="H512" s="5">
        <v>5.5300000000000002E-2</v>
      </c>
      <c r="I512" s="2">
        <v>60</v>
      </c>
      <c r="J512" s="2" t="s">
        <v>37</v>
      </c>
      <c r="K512" s="2" t="s">
        <v>45</v>
      </c>
      <c r="L512" s="3">
        <v>46138</v>
      </c>
      <c r="M512" s="2" t="str">
        <f>_xlfn.XLOOKUP(Deals[[#This Row],[CustomerID]],Customers!A:A,Customers!F:F)</f>
        <v>Affluent</v>
      </c>
      <c r="N512" s="2" t="str">
        <f>_xlfn.XLOOKUP(Deals[[#This Row],[CustomerID]],Customers!A:A,Customers!E:E)</f>
        <v>Kuwaiti</v>
      </c>
      <c r="O512" s="2">
        <f>2026-_xlfn.XLOOKUP(Deals[[#This Row],[CustomerID]],Customers!A:A,Customers!D:D)</f>
        <v>25</v>
      </c>
      <c r="P512" s="2" t="str" cm="1">
        <f t="array" ref="P512">_xlfn.IFS(Deals[[#This Row],[Age]]&lt;30,"Under 30",Deals[[#This Row],[Age]]&lt;45,"30-44",TRUE,"45+")</f>
        <v>Under 30</v>
      </c>
      <c r="Q512" s="21">
        <f>IF(Deals[[#This Row],[Status]]="Pending","",Deals[[#This Row],[DecisionDate]]-Deals[[#This Row],[ApplicationDate]])</f>
        <v>2</v>
      </c>
      <c r="R512" s="21">
        <f>IF(Deals[[#This Row],[Status]]="Approved",1,0)</f>
        <v>0</v>
      </c>
      <c r="S512" s="21">
        <f>IF(Deals[[#This Row],[IsApproved]]=1,Deals[[#This Row],[Amount]],0)</f>
        <v>0</v>
      </c>
      <c r="T512" s="21">
        <f>Deals[[#This Row],[ApprovedAmount]]*Deals[[#This Row],[ProfitRate]]</f>
        <v>0</v>
      </c>
    </row>
    <row r="513" spans="1:20">
      <c r="A513" s="2" t="s">
        <v>982</v>
      </c>
      <c r="B513" s="3">
        <v>46136</v>
      </c>
      <c r="C513" s="2" t="s">
        <v>983</v>
      </c>
      <c r="D513" s="2" t="s">
        <v>29</v>
      </c>
      <c r="E513" s="2" t="s">
        <v>43</v>
      </c>
      <c r="F513" s="2" t="s">
        <v>3</v>
      </c>
      <c r="G513" s="4">
        <v>72300</v>
      </c>
      <c r="H513" s="5">
        <v>6.1499999999999999E-2</v>
      </c>
      <c r="I513" s="2">
        <v>36</v>
      </c>
      <c r="J513" s="2" t="s">
        <v>61</v>
      </c>
      <c r="K513" s="2" t="s">
        <v>45</v>
      </c>
      <c r="L513" s="3">
        <v>46145</v>
      </c>
      <c r="M513" s="2" t="str">
        <f>_xlfn.XLOOKUP(Deals[[#This Row],[CustomerID]],Customers!A:A,Customers!F:F)</f>
        <v>Affluent</v>
      </c>
      <c r="N513" s="2" t="str">
        <f>_xlfn.XLOOKUP(Deals[[#This Row],[CustomerID]],Customers!A:A,Customers!E:E)</f>
        <v>Kuwaiti</v>
      </c>
      <c r="O513" s="2">
        <f>2026-_xlfn.XLOOKUP(Deals[[#This Row],[CustomerID]],Customers!A:A,Customers!D:D)</f>
        <v>48</v>
      </c>
      <c r="P513" s="2" t="str" cm="1">
        <f t="array" ref="P513">_xlfn.IFS(Deals[[#This Row],[Age]]&lt;30,"Under 30",Deals[[#This Row],[Age]]&lt;45,"30-44",TRUE,"45+")</f>
        <v>45+</v>
      </c>
      <c r="Q513" s="21">
        <f>IF(Deals[[#This Row],[Status]]="Pending","",Deals[[#This Row],[DecisionDate]]-Deals[[#This Row],[ApplicationDate]])</f>
        <v>9</v>
      </c>
      <c r="R513" s="21">
        <f>IF(Deals[[#This Row],[Status]]="Approved",1,0)</f>
        <v>0</v>
      </c>
      <c r="S513" s="21">
        <f>IF(Deals[[#This Row],[IsApproved]]=1,Deals[[#This Row],[Amount]],0)</f>
        <v>0</v>
      </c>
      <c r="T513" s="21">
        <f>Deals[[#This Row],[ApprovedAmount]]*Deals[[#This Row],[ProfitRate]]</f>
        <v>0</v>
      </c>
    </row>
    <row r="514" spans="1:20">
      <c r="A514" s="2" t="s">
        <v>984</v>
      </c>
      <c r="B514" s="3">
        <v>46136</v>
      </c>
      <c r="C514" s="2" t="s">
        <v>985</v>
      </c>
      <c r="D514" s="2" t="s">
        <v>14</v>
      </c>
      <c r="E514" s="2" t="s">
        <v>30</v>
      </c>
      <c r="F514" s="2" t="s">
        <v>31</v>
      </c>
      <c r="G514" s="4">
        <v>11400</v>
      </c>
      <c r="H514" s="5">
        <v>3.9199999999999999E-2</v>
      </c>
      <c r="I514" s="2">
        <v>36</v>
      </c>
      <c r="J514" s="2" t="s">
        <v>16</v>
      </c>
      <c r="K514" s="2" t="s">
        <v>45</v>
      </c>
      <c r="L514" s="3">
        <v>46139</v>
      </c>
      <c r="M514" s="2" t="str">
        <f>_xlfn.XLOOKUP(Deals[[#This Row],[CustomerID]],Customers!A:A,Customers!F:F)</f>
        <v>Mass</v>
      </c>
      <c r="N514" s="2" t="str">
        <f>_xlfn.XLOOKUP(Deals[[#This Row],[CustomerID]],Customers!A:A,Customers!E:E)</f>
        <v>Non-Kuwaiti</v>
      </c>
      <c r="O514" s="2">
        <f>2026-_xlfn.XLOOKUP(Deals[[#This Row],[CustomerID]],Customers!A:A,Customers!D:D)</f>
        <v>44</v>
      </c>
      <c r="P514" s="2" t="str" cm="1">
        <f t="array" ref="P514">_xlfn.IFS(Deals[[#This Row],[Age]]&lt;30,"Under 30",Deals[[#This Row],[Age]]&lt;45,"30-44",TRUE,"45+")</f>
        <v>30-44</v>
      </c>
      <c r="Q514" s="21">
        <f>IF(Deals[[#This Row],[Status]]="Pending","",Deals[[#This Row],[DecisionDate]]-Deals[[#This Row],[ApplicationDate]])</f>
        <v>3</v>
      </c>
      <c r="R514" s="21">
        <f>IF(Deals[[#This Row],[Status]]="Approved",1,0)</f>
        <v>0</v>
      </c>
      <c r="S514" s="21">
        <f>IF(Deals[[#This Row],[IsApproved]]=1,Deals[[#This Row],[Amount]],0)</f>
        <v>0</v>
      </c>
      <c r="T514" s="21">
        <f>Deals[[#This Row],[ApprovedAmount]]*Deals[[#This Row],[ProfitRate]]</f>
        <v>0</v>
      </c>
    </row>
    <row r="515" spans="1:20">
      <c r="A515" s="2" t="s">
        <v>986</v>
      </c>
      <c r="B515" s="3">
        <v>46136</v>
      </c>
      <c r="C515" s="2" t="s">
        <v>404</v>
      </c>
      <c r="D515" s="2" t="s">
        <v>54</v>
      </c>
      <c r="E515" s="2" t="s">
        <v>43</v>
      </c>
      <c r="F515" s="2" t="s">
        <v>55</v>
      </c>
      <c r="G515" s="4">
        <v>125100</v>
      </c>
      <c r="H515" s="5">
        <v>6.1499999999999999E-2</v>
      </c>
      <c r="I515" s="2">
        <v>84</v>
      </c>
      <c r="J515" s="2" t="s">
        <v>186</v>
      </c>
      <c r="K515" s="2" t="s">
        <v>17</v>
      </c>
      <c r="L515" s="3">
        <v>46144</v>
      </c>
      <c r="M515" s="2" t="str">
        <f>_xlfn.XLOOKUP(Deals[[#This Row],[CustomerID]],Customers!A:A,Customers!F:F)</f>
        <v>Affluent</v>
      </c>
      <c r="N515" s="2" t="str">
        <f>_xlfn.XLOOKUP(Deals[[#This Row],[CustomerID]],Customers!A:A,Customers!E:E)</f>
        <v>Kuwaiti</v>
      </c>
      <c r="O515" s="2">
        <f>2026-_xlfn.XLOOKUP(Deals[[#This Row],[CustomerID]],Customers!A:A,Customers!D:D)</f>
        <v>22</v>
      </c>
      <c r="P515" s="2" t="str" cm="1">
        <f t="array" ref="P515">_xlfn.IFS(Deals[[#This Row],[Age]]&lt;30,"Under 30",Deals[[#This Row],[Age]]&lt;45,"30-44",TRUE,"45+")</f>
        <v>Under 30</v>
      </c>
      <c r="Q515" s="21">
        <f>IF(Deals[[#This Row],[Status]]="Pending","",Deals[[#This Row],[DecisionDate]]-Deals[[#This Row],[ApplicationDate]])</f>
        <v>8</v>
      </c>
      <c r="R515" s="21">
        <f>IF(Deals[[#This Row],[Status]]="Approved",1,0)</f>
        <v>1</v>
      </c>
      <c r="S515" s="21">
        <f>IF(Deals[[#This Row],[IsApproved]]=1,Deals[[#This Row],[Amount]],0)</f>
        <v>125100</v>
      </c>
      <c r="T515" s="21">
        <f>Deals[[#This Row],[ApprovedAmount]]*Deals[[#This Row],[ProfitRate]]</f>
        <v>7693.65</v>
      </c>
    </row>
    <row r="516" spans="1:20">
      <c r="A516" s="2" t="s">
        <v>988</v>
      </c>
      <c r="B516" s="3">
        <v>46136</v>
      </c>
      <c r="C516" s="2" t="s">
        <v>989</v>
      </c>
      <c r="D516" s="2" t="s">
        <v>14</v>
      </c>
      <c r="E516" s="2" t="s">
        <v>15</v>
      </c>
      <c r="F516" s="2" t="s">
        <v>3</v>
      </c>
      <c r="G516" s="4">
        <v>25000</v>
      </c>
      <c r="H516" s="5">
        <v>6.6600000000000006E-2</v>
      </c>
      <c r="I516" s="2">
        <v>12</v>
      </c>
      <c r="J516" s="2" t="s">
        <v>48</v>
      </c>
      <c r="K516" s="2" t="s">
        <v>17</v>
      </c>
      <c r="L516" s="3">
        <v>46141</v>
      </c>
      <c r="M516" s="2" t="str">
        <f>_xlfn.XLOOKUP(Deals[[#This Row],[CustomerID]],Customers!A:A,Customers!F:F)</f>
        <v>Affluent</v>
      </c>
      <c r="N516" s="2" t="str">
        <f>_xlfn.XLOOKUP(Deals[[#This Row],[CustomerID]],Customers!A:A,Customers!E:E)</f>
        <v>Non-Kuwaiti</v>
      </c>
      <c r="O516" s="2">
        <f>2026-_xlfn.XLOOKUP(Deals[[#This Row],[CustomerID]],Customers!A:A,Customers!D:D)</f>
        <v>47</v>
      </c>
      <c r="P516" s="2" t="str" cm="1">
        <f t="array" ref="P516">_xlfn.IFS(Deals[[#This Row],[Age]]&lt;30,"Under 30",Deals[[#This Row],[Age]]&lt;45,"30-44",TRUE,"45+")</f>
        <v>45+</v>
      </c>
      <c r="Q516" s="21">
        <f>IF(Deals[[#This Row],[Status]]="Pending","",Deals[[#This Row],[DecisionDate]]-Deals[[#This Row],[ApplicationDate]])</f>
        <v>5</v>
      </c>
      <c r="R516" s="21">
        <f>IF(Deals[[#This Row],[Status]]="Approved",1,0)</f>
        <v>1</v>
      </c>
      <c r="S516" s="21">
        <f>IF(Deals[[#This Row],[IsApproved]]=1,Deals[[#This Row],[Amount]],0)</f>
        <v>25000</v>
      </c>
      <c r="T516" s="21">
        <f>Deals[[#This Row],[ApprovedAmount]]*Deals[[#This Row],[ProfitRate]]</f>
        <v>1665.0000000000002</v>
      </c>
    </row>
    <row r="517" spans="1:20">
      <c r="A517" s="2" t="s">
        <v>990</v>
      </c>
      <c r="B517" s="3">
        <v>46137</v>
      </c>
      <c r="C517" s="2" t="s">
        <v>991</v>
      </c>
      <c r="D517" s="2" t="s">
        <v>14</v>
      </c>
      <c r="E517" s="2" t="s">
        <v>15</v>
      </c>
      <c r="F517" s="2" t="s">
        <v>3</v>
      </c>
      <c r="G517" s="4">
        <v>22600</v>
      </c>
      <c r="H517" s="5">
        <v>6.2899999999999998E-2</v>
      </c>
      <c r="I517" s="2">
        <v>36</v>
      </c>
      <c r="J517" s="2" t="s">
        <v>16</v>
      </c>
      <c r="K517" s="2" t="s">
        <v>17</v>
      </c>
      <c r="L517" s="3">
        <v>46141</v>
      </c>
      <c r="M517" s="2" t="str">
        <f>_xlfn.XLOOKUP(Deals[[#This Row],[CustomerID]],Customers!A:A,Customers!F:F)</f>
        <v>Mass</v>
      </c>
      <c r="N517" s="2" t="str">
        <f>_xlfn.XLOOKUP(Deals[[#This Row],[CustomerID]],Customers!A:A,Customers!E:E)</f>
        <v>Non-Kuwaiti</v>
      </c>
      <c r="O517" s="2">
        <f>2026-_xlfn.XLOOKUP(Deals[[#This Row],[CustomerID]],Customers!A:A,Customers!D:D)</f>
        <v>27</v>
      </c>
      <c r="P517" s="2" t="str" cm="1">
        <f t="array" ref="P517">_xlfn.IFS(Deals[[#This Row],[Age]]&lt;30,"Under 30",Deals[[#This Row],[Age]]&lt;45,"30-44",TRUE,"45+")</f>
        <v>Under 30</v>
      </c>
      <c r="Q517" s="21">
        <f>IF(Deals[[#This Row],[Status]]="Pending","",Deals[[#This Row],[DecisionDate]]-Deals[[#This Row],[ApplicationDate]])</f>
        <v>4</v>
      </c>
      <c r="R517" s="21">
        <f>IF(Deals[[#This Row],[Status]]="Approved",1,0)</f>
        <v>1</v>
      </c>
      <c r="S517" s="21">
        <f>IF(Deals[[#This Row],[IsApproved]]=1,Deals[[#This Row],[Amount]],0)</f>
        <v>22600</v>
      </c>
      <c r="T517" s="21">
        <f>Deals[[#This Row],[ApprovedAmount]]*Deals[[#This Row],[ProfitRate]]</f>
        <v>1421.54</v>
      </c>
    </row>
    <row r="518" spans="1:20">
      <c r="A518" s="2" t="s">
        <v>992</v>
      </c>
      <c r="B518" s="3">
        <v>46137</v>
      </c>
      <c r="C518" s="2" t="s">
        <v>993</v>
      </c>
      <c r="D518" s="2" t="s">
        <v>14</v>
      </c>
      <c r="E518" s="2" t="s">
        <v>15</v>
      </c>
      <c r="F518" s="2" t="s">
        <v>55</v>
      </c>
      <c r="G518" s="4">
        <v>6400</v>
      </c>
      <c r="H518" s="5">
        <v>5.4600000000000003E-2</v>
      </c>
      <c r="I518" s="2">
        <v>48</v>
      </c>
      <c r="J518" s="2" t="s">
        <v>16</v>
      </c>
      <c r="K518" s="2" t="s">
        <v>17</v>
      </c>
      <c r="L518" s="3">
        <v>46142</v>
      </c>
      <c r="M518" s="2" t="str">
        <f>_xlfn.XLOOKUP(Deals[[#This Row],[CustomerID]],Customers!A:A,Customers!F:F)</f>
        <v>Affluent</v>
      </c>
      <c r="N518" s="2" t="str">
        <f>_xlfn.XLOOKUP(Deals[[#This Row],[CustomerID]],Customers!A:A,Customers!E:E)</f>
        <v>Kuwaiti</v>
      </c>
      <c r="O518" s="2">
        <f>2026-_xlfn.XLOOKUP(Deals[[#This Row],[CustomerID]],Customers!A:A,Customers!D:D)</f>
        <v>30</v>
      </c>
      <c r="P518" s="2" t="str" cm="1">
        <f t="array" ref="P518">_xlfn.IFS(Deals[[#This Row],[Age]]&lt;30,"Under 30",Deals[[#This Row],[Age]]&lt;45,"30-44",TRUE,"45+")</f>
        <v>30-44</v>
      </c>
      <c r="Q518" s="21">
        <f>IF(Deals[[#This Row],[Status]]="Pending","",Deals[[#This Row],[DecisionDate]]-Deals[[#This Row],[ApplicationDate]])</f>
        <v>5</v>
      </c>
      <c r="R518" s="21">
        <f>IF(Deals[[#This Row],[Status]]="Approved",1,0)</f>
        <v>1</v>
      </c>
      <c r="S518" s="21">
        <f>IF(Deals[[#This Row],[IsApproved]]=1,Deals[[#This Row],[Amount]],0)</f>
        <v>6400</v>
      </c>
      <c r="T518" s="21">
        <f>Deals[[#This Row],[ApprovedAmount]]*Deals[[#This Row],[ProfitRate]]</f>
        <v>349.44</v>
      </c>
    </row>
    <row r="519" spans="1:20">
      <c r="A519" s="2" t="s">
        <v>994</v>
      </c>
      <c r="B519" s="3">
        <v>46138</v>
      </c>
      <c r="C519" s="2" t="s">
        <v>109</v>
      </c>
      <c r="D519" s="2" t="s">
        <v>29</v>
      </c>
      <c r="E519" s="2" t="s">
        <v>15</v>
      </c>
      <c r="F519" s="2" t="s">
        <v>3</v>
      </c>
      <c r="G519" s="4">
        <v>14400</v>
      </c>
      <c r="H519" s="5">
        <v>5.04E-2</v>
      </c>
      <c r="I519" s="2">
        <v>36</v>
      </c>
      <c r="J519" s="2" t="s">
        <v>61</v>
      </c>
      <c r="K519" s="2" t="s">
        <v>17</v>
      </c>
      <c r="L519" s="3">
        <v>46145</v>
      </c>
      <c r="M519" s="2" t="str">
        <f>_xlfn.XLOOKUP(Deals[[#This Row],[CustomerID]],Customers!A:A,Customers!F:F)</f>
        <v>Premium</v>
      </c>
      <c r="N519" s="2" t="str">
        <f>_xlfn.XLOOKUP(Deals[[#This Row],[CustomerID]],Customers!A:A,Customers!E:E)</f>
        <v>Kuwaiti</v>
      </c>
      <c r="O519" s="2">
        <f>2026-_xlfn.XLOOKUP(Deals[[#This Row],[CustomerID]],Customers!A:A,Customers!D:D)</f>
        <v>40</v>
      </c>
      <c r="P519" s="2" t="str" cm="1">
        <f t="array" ref="P519">_xlfn.IFS(Deals[[#This Row],[Age]]&lt;30,"Under 30",Deals[[#This Row],[Age]]&lt;45,"30-44",TRUE,"45+")</f>
        <v>30-44</v>
      </c>
      <c r="Q519" s="21">
        <f>IF(Deals[[#This Row],[Status]]="Pending","",Deals[[#This Row],[DecisionDate]]-Deals[[#This Row],[ApplicationDate]])</f>
        <v>7</v>
      </c>
      <c r="R519" s="21">
        <f>IF(Deals[[#This Row],[Status]]="Approved",1,0)</f>
        <v>1</v>
      </c>
      <c r="S519" s="21">
        <f>IF(Deals[[#This Row],[IsApproved]]=1,Deals[[#This Row],[Amount]],0)</f>
        <v>14400</v>
      </c>
      <c r="T519" s="21">
        <f>Deals[[#This Row],[ApprovedAmount]]*Deals[[#This Row],[ProfitRate]]</f>
        <v>725.76</v>
      </c>
    </row>
    <row r="520" spans="1:20">
      <c r="A520" s="2" t="s">
        <v>995</v>
      </c>
      <c r="B520" s="3">
        <v>46138</v>
      </c>
      <c r="C520" s="2" t="s">
        <v>996</v>
      </c>
      <c r="D520" s="2" t="s">
        <v>14</v>
      </c>
      <c r="E520" s="2" t="s">
        <v>15</v>
      </c>
      <c r="F520" s="2" t="s">
        <v>31</v>
      </c>
      <c r="G520" s="4">
        <v>6600</v>
      </c>
      <c r="H520" s="5">
        <v>6.4899999999999999E-2</v>
      </c>
      <c r="I520" s="2">
        <v>24</v>
      </c>
      <c r="J520" s="2" t="s">
        <v>16</v>
      </c>
      <c r="K520" s="2" t="s">
        <v>45</v>
      </c>
      <c r="L520" s="3">
        <v>46140</v>
      </c>
      <c r="M520" s="2" t="str">
        <f>_xlfn.XLOOKUP(Deals[[#This Row],[CustomerID]],Customers!A:A,Customers!F:F)</f>
        <v>Mass</v>
      </c>
      <c r="N520" s="2" t="str">
        <f>_xlfn.XLOOKUP(Deals[[#This Row],[CustomerID]],Customers!A:A,Customers!E:E)</f>
        <v>Kuwaiti</v>
      </c>
      <c r="O520" s="2">
        <f>2026-_xlfn.XLOOKUP(Deals[[#This Row],[CustomerID]],Customers!A:A,Customers!D:D)</f>
        <v>26</v>
      </c>
      <c r="P520" s="2" t="str" cm="1">
        <f t="array" ref="P520">_xlfn.IFS(Deals[[#This Row],[Age]]&lt;30,"Under 30",Deals[[#This Row],[Age]]&lt;45,"30-44",TRUE,"45+")</f>
        <v>Under 30</v>
      </c>
      <c r="Q520" s="21">
        <f>IF(Deals[[#This Row],[Status]]="Pending","",Deals[[#This Row],[DecisionDate]]-Deals[[#This Row],[ApplicationDate]])</f>
        <v>2</v>
      </c>
      <c r="R520" s="21">
        <f>IF(Deals[[#This Row],[Status]]="Approved",1,0)</f>
        <v>0</v>
      </c>
      <c r="S520" s="21">
        <f>IF(Deals[[#This Row],[IsApproved]]=1,Deals[[#This Row],[Amount]],0)</f>
        <v>0</v>
      </c>
      <c r="T520" s="21">
        <f>Deals[[#This Row],[ApprovedAmount]]*Deals[[#This Row],[ProfitRate]]</f>
        <v>0</v>
      </c>
    </row>
    <row r="521" spans="1:20">
      <c r="A521" s="2" t="s">
        <v>997</v>
      </c>
      <c r="B521" s="3">
        <v>46138</v>
      </c>
      <c r="C521" s="2" t="s">
        <v>616</v>
      </c>
      <c r="D521" s="2" t="s">
        <v>20</v>
      </c>
      <c r="E521" s="2" t="s">
        <v>30</v>
      </c>
      <c r="F521" s="2" t="s">
        <v>3</v>
      </c>
      <c r="G521" s="4">
        <v>12300</v>
      </c>
      <c r="H521" s="5">
        <v>4.0300000000000002E-2</v>
      </c>
      <c r="I521" s="2">
        <v>48</v>
      </c>
      <c r="J521" s="2" t="s">
        <v>37</v>
      </c>
      <c r="K521" s="2" t="s">
        <v>17</v>
      </c>
      <c r="L521" s="3">
        <v>46142</v>
      </c>
      <c r="M521" s="2" t="str">
        <f>_xlfn.XLOOKUP(Deals[[#This Row],[CustomerID]],Customers!A:A,Customers!F:F)</f>
        <v>Affluent</v>
      </c>
      <c r="N521" s="2" t="str">
        <f>_xlfn.XLOOKUP(Deals[[#This Row],[CustomerID]],Customers!A:A,Customers!E:E)</f>
        <v>Non-Kuwaiti</v>
      </c>
      <c r="O521" s="2">
        <f>2026-_xlfn.XLOOKUP(Deals[[#This Row],[CustomerID]],Customers!A:A,Customers!D:D)</f>
        <v>26</v>
      </c>
      <c r="P521" s="2" t="str" cm="1">
        <f t="array" ref="P521">_xlfn.IFS(Deals[[#This Row],[Age]]&lt;30,"Under 30",Deals[[#This Row],[Age]]&lt;45,"30-44",TRUE,"45+")</f>
        <v>Under 30</v>
      </c>
      <c r="Q521" s="21">
        <f>IF(Deals[[#This Row],[Status]]="Pending","",Deals[[#This Row],[DecisionDate]]-Deals[[#This Row],[ApplicationDate]])</f>
        <v>4</v>
      </c>
      <c r="R521" s="21">
        <f>IF(Deals[[#This Row],[Status]]="Approved",1,0)</f>
        <v>1</v>
      </c>
      <c r="S521" s="21">
        <f>IF(Deals[[#This Row],[IsApproved]]=1,Deals[[#This Row],[Amount]],0)</f>
        <v>12300</v>
      </c>
      <c r="T521" s="21">
        <f>Deals[[#This Row],[ApprovedAmount]]*Deals[[#This Row],[ProfitRate]]</f>
        <v>495.69000000000005</v>
      </c>
    </row>
    <row r="522" spans="1:20">
      <c r="A522" s="2" t="s">
        <v>998</v>
      </c>
      <c r="B522" s="3">
        <v>46138</v>
      </c>
      <c r="C522" s="2" t="s">
        <v>928</v>
      </c>
      <c r="D522" s="2" t="s">
        <v>54</v>
      </c>
      <c r="E522" s="2" t="s">
        <v>30</v>
      </c>
      <c r="F522" s="2" t="s">
        <v>3</v>
      </c>
      <c r="G522" s="4">
        <v>8200</v>
      </c>
      <c r="H522" s="5">
        <v>4.7399999999999998E-2</v>
      </c>
      <c r="I522" s="2">
        <v>60</v>
      </c>
      <c r="J522" s="2" t="s">
        <v>186</v>
      </c>
      <c r="K522" s="2" t="s">
        <v>17</v>
      </c>
      <c r="L522" s="3">
        <v>46141</v>
      </c>
      <c r="M522" s="2" t="str">
        <f>_xlfn.XLOOKUP(Deals[[#This Row],[CustomerID]],Customers!A:A,Customers!F:F)</f>
        <v>Affluent</v>
      </c>
      <c r="N522" s="2" t="str">
        <f>_xlfn.XLOOKUP(Deals[[#This Row],[CustomerID]],Customers!A:A,Customers!E:E)</f>
        <v>Kuwaiti</v>
      </c>
      <c r="O522" s="2">
        <f>2026-_xlfn.XLOOKUP(Deals[[#This Row],[CustomerID]],Customers!A:A,Customers!D:D)</f>
        <v>26</v>
      </c>
      <c r="P522" s="2" t="str" cm="1">
        <f t="array" ref="P522">_xlfn.IFS(Deals[[#This Row],[Age]]&lt;30,"Under 30",Deals[[#This Row],[Age]]&lt;45,"30-44",TRUE,"45+")</f>
        <v>Under 30</v>
      </c>
      <c r="Q522" s="21">
        <f>IF(Deals[[#This Row],[Status]]="Pending","",Deals[[#This Row],[DecisionDate]]-Deals[[#This Row],[ApplicationDate]])</f>
        <v>3</v>
      </c>
      <c r="R522" s="21">
        <f>IF(Deals[[#This Row],[Status]]="Approved",1,0)</f>
        <v>1</v>
      </c>
      <c r="S522" s="21">
        <f>IF(Deals[[#This Row],[IsApproved]]=1,Deals[[#This Row],[Amount]],0)</f>
        <v>8200</v>
      </c>
      <c r="T522" s="21">
        <f>Deals[[#This Row],[ApprovedAmount]]*Deals[[#This Row],[ProfitRate]]</f>
        <v>388.68</v>
      </c>
    </row>
    <row r="523" spans="1:20">
      <c r="A523" s="2" t="s">
        <v>999</v>
      </c>
      <c r="B523" s="3">
        <v>46138</v>
      </c>
      <c r="C523" s="2" t="s">
        <v>1000</v>
      </c>
      <c r="D523" s="2" t="s">
        <v>25</v>
      </c>
      <c r="E523" s="2" t="s">
        <v>15</v>
      </c>
      <c r="F523" s="2" t="s">
        <v>31</v>
      </c>
      <c r="G523" s="4">
        <v>21700</v>
      </c>
      <c r="H523" s="5">
        <v>6.8199999999999997E-2</v>
      </c>
      <c r="I523" s="2">
        <v>36</v>
      </c>
      <c r="J523" s="2" t="s">
        <v>26</v>
      </c>
      <c r="K523" s="2" t="s">
        <v>45</v>
      </c>
      <c r="L523" s="3">
        <v>46140</v>
      </c>
      <c r="M523" s="2" t="str">
        <f>_xlfn.XLOOKUP(Deals[[#This Row],[CustomerID]],Customers!A:A,Customers!F:F)</f>
        <v>Mass</v>
      </c>
      <c r="N523" s="2" t="str">
        <f>_xlfn.XLOOKUP(Deals[[#This Row],[CustomerID]],Customers!A:A,Customers!E:E)</f>
        <v>Non-Kuwaiti</v>
      </c>
      <c r="O523" s="2">
        <f>2026-_xlfn.XLOOKUP(Deals[[#This Row],[CustomerID]],Customers!A:A,Customers!D:D)</f>
        <v>26</v>
      </c>
      <c r="P523" s="2" t="str" cm="1">
        <f t="array" ref="P523">_xlfn.IFS(Deals[[#This Row],[Age]]&lt;30,"Under 30",Deals[[#This Row],[Age]]&lt;45,"30-44",TRUE,"45+")</f>
        <v>Under 30</v>
      </c>
      <c r="Q523" s="21">
        <f>IF(Deals[[#This Row],[Status]]="Pending","",Deals[[#This Row],[DecisionDate]]-Deals[[#This Row],[ApplicationDate]])</f>
        <v>2</v>
      </c>
      <c r="R523" s="21">
        <f>IF(Deals[[#This Row],[Status]]="Approved",1,0)</f>
        <v>0</v>
      </c>
      <c r="S523" s="21">
        <f>IF(Deals[[#This Row],[IsApproved]]=1,Deals[[#This Row],[Amount]],0)</f>
        <v>0</v>
      </c>
      <c r="T523" s="21">
        <f>Deals[[#This Row],[ApprovedAmount]]*Deals[[#This Row],[ProfitRate]]</f>
        <v>0</v>
      </c>
    </row>
    <row r="524" spans="1:20">
      <c r="A524" s="2" t="s">
        <v>1001</v>
      </c>
      <c r="B524" s="3">
        <v>46139</v>
      </c>
      <c r="C524" s="2" t="s">
        <v>1002</v>
      </c>
      <c r="D524" s="2" t="s">
        <v>14</v>
      </c>
      <c r="E524" s="2" t="s">
        <v>15</v>
      </c>
      <c r="F524" s="2" t="s">
        <v>3</v>
      </c>
      <c r="G524" s="4">
        <v>25000</v>
      </c>
      <c r="H524" s="5">
        <v>5.0200000000000002E-2</v>
      </c>
      <c r="I524" s="2">
        <v>48</v>
      </c>
      <c r="J524" s="2" t="s">
        <v>40</v>
      </c>
      <c r="K524" s="2" t="s">
        <v>17</v>
      </c>
      <c r="L524" s="3">
        <v>46145</v>
      </c>
      <c r="M524" s="2" t="str">
        <f>_xlfn.XLOOKUP(Deals[[#This Row],[CustomerID]],Customers!A:A,Customers!F:F)</f>
        <v>Premium</v>
      </c>
      <c r="N524" s="2" t="str">
        <f>_xlfn.XLOOKUP(Deals[[#This Row],[CustomerID]],Customers!A:A,Customers!E:E)</f>
        <v>Kuwaiti</v>
      </c>
      <c r="O524" s="2">
        <f>2026-_xlfn.XLOOKUP(Deals[[#This Row],[CustomerID]],Customers!A:A,Customers!D:D)</f>
        <v>41</v>
      </c>
      <c r="P524" s="2" t="str" cm="1">
        <f t="array" ref="P524">_xlfn.IFS(Deals[[#This Row],[Age]]&lt;30,"Under 30",Deals[[#This Row],[Age]]&lt;45,"30-44",TRUE,"45+")</f>
        <v>30-44</v>
      </c>
      <c r="Q524" s="21">
        <f>IF(Deals[[#This Row],[Status]]="Pending","",Deals[[#This Row],[DecisionDate]]-Deals[[#This Row],[ApplicationDate]])</f>
        <v>6</v>
      </c>
      <c r="R524" s="21">
        <f>IF(Deals[[#This Row],[Status]]="Approved",1,0)</f>
        <v>1</v>
      </c>
      <c r="S524" s="21">
        <f>IF(Deals[[#This Row],[IsApproved]]=1,Deals[[#This Row],[Amount]],0)</f>
        <v>25000</v>
      </c>
      <c r="T524" s="21">
        <f>Deals[[#This Row],[ApprovedAmount]]*Deals[[#This Row],[ProfitRate]]</f>
        <v>1255</v>
      </c>
    </row>
    <row r="525" spans="1:20">
      <c r="A525" s="2" t="s">
        <v>1003</v>
      </c>
      <c r="B525" s="3">
        <v>46140</v>
      </c>
      <c r="C525" s="2" t="s">
        <v>1004</v>
      </c>
      <c r="D525" s="2" t="s">
        <v>71</v>
      </c>
      <c r="E525" s="2" t="s">
        <v>15</v>
      </c>
      <c r="F525" s="2" t="s">
        <v>31</v>
      </c>
      <c r="G525" s="4">
        <v>11400</v>
      </c>
      <c r="H525" s="5">
        <v>6.1899999999999997E-2</v>
      </c>
      <c r="I525" s="2">
        <v>36</v>
      </c>
      <c r="J525" s="2" t="s">
        <v>94</v>
      </c>
      <c r="K525" s="2" t="s">
        <v>17</v>
      </c>
      <c r="L525" s="3">
        <v>46140</v>
      </c>
      <c r="M525" s="2" t="str">
        <f>_xlfn.XLOOKUP(Deals[[#This Row],[CustomerID]],Customers!A:A,Customers!F:F)</f>
        <v>Mass</v>
      </c>
      <c r="N525" s="2" t="str">
        <f>_xlfn.XLOOKUP(Deals[[#This Row],[CustomerID]],Customers!A:A,Customers!E:E)</f>
        <v>Non-Kuwaiti</v>
      </c>
      <c r="O525" s="2">
        <f>2026-_xlfn.XLOOKUP(Deals[[#This Row],[CustomerID]],Customers!A:A,Customers!D:D)</f>
        <v>27</v>
      </c>
      <c r="P525" s="2" t="str" cm="1">
        <f t="array" ref="P525">_xlfn.IFS(Deals[[#This Row],[Age]]&lt;30,"Under 30",Deals[[#This Row],[Age]]&lt;45,"30-44",TRUE,"45+")</f>
        <v>Under 30</v>
      </c>
      <c r="Q525" s="21">
        <f>IF(Deals[[#This Row],[Status]]="Pending","",Deals[[#This Row],[DecisionDate]]-Deals[[#This Row],[ApplicationDate]])</f>
        <v>0</v>
      </c>
      <c r="R525" s="21">
        <f>IF(Deals[[#This Row],[Status]]="Approved",1,0)</f>
        <v>1</v>
      </c>
      <c r="S525" s="21">
        <f>IF(Deals[[#This Row],[IsApproved]]=1,Deals[[#This Row],[Amount]],0)</f>
        <v>11400</v>
      </c>
      <c r="T525" s="21">
        <f>Deals[[#This Row],[ApprovedAmount]]*Deals[[#This Row],[ProfitRate]]</f>
        <v>705.66</v>
      </c>
    </row>
    <row r="526" spans="1:20">
      <c r="A526" s="2" t="s">
        <v>1005</v>
      </c>
      <c r="B526" s="3">
        <v>46140</v>
      </c>
      <c r="C526" s="2" t="s">
        <v>1006</v>
      </c>
      <c r="D526" s="2" t="s">
        <v>25</v>
      </c>
      <c r="E526" s="2" t="s">
        <v>30</v>
      </c>
      <c r="F526" s="2" t="s">
        <v>3</v>
      </c>
      <c r="G526" s="4">
        <v>8200</v>
      </c>
      <c r="H526" s="5">
        <v>4.2000000000000003E-2</v>
      </c>
      <c r="I526" s="2">
        <v>48</v>
      </c>
      <c r="J526" s="2" t="s">
        <v>66</v>
      </c>
      <c r="K526" s="2" t="s">
        <v>17</v>
      </c>
      <c r="L526" s="3">
        <v>46142</v>
      </c>
      <c r="M526" s="2" t="str">
        <f>_xlfn.XLOOKUP(Deals[[#This Row],[CustomerID]],Customers!A:A,Customers!F:F)</f>
        <v>Mass</v>
      </c>
      <c r="N526" s="2" t="str">
        <f>_xlfn.XLOOKUP(Deals[[#This Row],[CustomerID]],Customers!A:A,Customers!E:E)</f>
        <v>Kuwaiti</v>
      </c>
      <c r="O526" s="2">
        <f>2026-_xlfn.XLOOKUP(Deals[[#This Row],[CustomerID]],Customers!A:A,Customers!D:D)</f>
        <v>42</v>
      </c>
      <c r="P526" s="2" t="str" cm="1">
        <f t="array" ref="P526">_xlfn.IFS(Deals[[#This Row],[Age]]&lt;30,"Under 30",Deals[[#This Row],[Age]]&lt;45,"30-44",TRUE,"45+")</f>
        <v>30-44</v>
      </c>
      <c r="Q526" s="21">
        <f>IF(Deals[[#This Row],[Status]]="Pending","",Deals[[#This Row],[DecisionDate]]-Deals[[#This Row],[ApplicationDate]])</f>
        <v>2</v>
      </c>
      <c r="R526" s="21">
        <f>IF(Deals[[#This Row],[Status]]="Approved",1,0)</f>
        <v>1</v>
      </c>
      <c r="S526" s="21">
        <f>IF(Deals[[#This Row],[IsApproved]]=1,Deals[[#This Row],[Amount]],0)</f>
        <v>8200</v>
      </c>
      <c r="T526" s="21">
        <f>Deals[[#This Row],[ApprovedAmount]]*Deals[[#This Row],[ProfitRate]]</f>
        <v>344.40000000000003</v>
      </c>
    </row>
    <row r="527" spans="1:20">
      <c r="A527" s="2" t="s">
        <v>1007</v>
      </c>
      <c r="B527" s="3">
        <v>46140</v>
      </c>
      <c r="C527" s="2" t="s">
        <v>1008</v>
      </c>
      <c r="D527" s="2" t="s">
        <v>20</v>
      </c>
      <c r="E527" s="2" t="s">
        <v>15</v>
      </c>
      <c r="F527" s="2" t="s">
        <v>3</v>
      </c>
      <c r="G527" s="4">
        <v>18300</v>
      </c>
      <c r="H527" s="5">
        <v>5.9200000000000003E-2</v>
      </c>
      <c r="I527" s="2">
        <v>24</v>
      </c>
      <c r="J527" s="2" t="s">
        <v>22</v>
      </c>
      <c r="K527" s="2" t="s">
        <v>17</v>
      </c>
      <c r="L527" s="3">
        <v>46144</v>
      </c>
      <c r="M527" s="2" t="str">
        <f>_xlfn.XLOOKUP(Deals[[#This Row],[CustomerID]],Customers!A:A,Customers!F:F)</f>
        <v>Mass</v>
      </c>
      <c r="N527" s="2" t="str">
        <f>_xlfn.XLOOKUP(Deals[[#This Row],[CustomerID]],Customers!A:A,Customers!E:E)</f>
        <v>Kuwaiti</v>
      </c>
      <c r="O527" s="2">
        <f>2026-_xlfn.XLOOKUP(Deals[[#This Row],[CustomerID]],Customers!A:A,Customers!D:D)</f>
        <v>46</v>
      </c>
      <c r="P527" s="2" t="str" cm="1">
        <f t="array" ref="P527">_xlfn.IFS(Deals[[#This Row],[Age]]&lt;30,"Under 30",Deals[[#This Row],[Age]]&lt;45,"30-44",TRUE,"45+")</f>
        <v>45+</v>
      </c>
      <c r="Q527" s="21">
        <f>IF(Deals[[#This Row],[Status]]="Pending","",Deals[[#This Row],[DecisionDate]]-Deals[[#This Row],[ApplicationDate]])</f>
        <v>4</v>
      </c>
      <c r="R527" s="21">
        <f>IF(Deals[[#This Row],[Status]]="Approved",1,0)</f>
        <v>1</v>
      </c>
      <c r="S527" s="21">
        <f>IF(Deals[[#This Row],[IsApproved]]=1,Deals[[#This Row],[Amount]],0)</f>
        <v>18300</v>
      </c>
      <c r="T527" s="21">
        <f>Deals[[#This Row],[ApprovedAmount]]*Deals[[#This Row],[ProfitRate]]</f>
        <v>1083.3600000000001</v>
      </c>
    </row>
    <row r="528" spans="1:20">
      <c r="A528" s="2" t="s">
        <v>1009</v>
      </c>
      <c r="B528" s="3">
        <v>46140</v>
      </c>
      <c r="C528" s="2" t="s">
        <v>120</v>
      </c>
      <c r="D528" s="2" t="s">
        <v>20</v>
      </c>
      <c r="E528" s="2" t="s">
        <v>15</v>
      </c>
      <c r="F528" s="2" t="s">
        <v>55</v>
      </c>
      <c r="G528" s="4">
        <v>10500</v>
      </c>
      <c r="H528" s="5">
        <v>6.08E-2</v>
      </c>
      <c r="I528" s="2">
        <v>36</v>
      </c>
      <c r="J528" s="2" t="s">
        <v>44</v>
      </c>
      <c r="K528" s="2" t="s">
        <v>17</v>
      </c>
      <c r="L528" s="3">
        <v>46144</v>
      </c>
      <c r="M528" s="2" t="str">
        <f>_xlfn.XLOOKUP(Deals[[#This Row],[CustomerID]],Customers!A:A,Customers!F:F)</f>
        <v>Mass</v>
      </c>
      <c r="N528" s="2" t="str">
        <f>_xlfn.XLOOKUP(Deals[[#This Row],[CustomerID]],Customers!A:A,Customers!E:E)</f>
        <v>Kuwaiti</v>
      </c>
      <c r="O528" s="2">
        <f>2026-_xlfn.XLOOKUP(Deals[[#This Row],[CustomerID]],Customers!A:A,Customers!D:D)</f>
        <v>31</v>
      </c>
      <c r="P528" s="2" t="str" cm="1">
        <f t="array" ref="P528">_xlfn.IFS(Deals[[#This Row],[Age]]&lt;30,"Under 30",Deals[[#This Row],[Age]]&lt;45,"30-44",TRUE,"45+")</f>
        <v>30-44</v>
      </c>
      <c r="Q528" s="21">
        <f>IF(Deals[[#This Row],[Status]]="Pending","",Deals[[#This Row],[DecisionDate]]-Deals[[#This Row],[ApplicationDate]])</f>
        <v>4</v>
      </c>
      <c r="R528" s="21">
        <f>IF(Deals[[#This Row],[Status]]="Approved",1,0)</f>
        <v>1</v>
      </c>
      <c r="S528" s="21">
        <f>IF(Deals[[#This Row],[IsApproved]]=1,Deals[[#This Row],[Amount]],0)</f>
        <v>10500</v>
      </c>
      <c r="T528" s="21">
        <f>Deals[[#This Row],[ApprovedAmount]]*Deals[[#This Row],[ProfitRate]]</f>
        <v>638.4</v>
      </c>
    </row>
    <row r="529" spans="1:20">
      <c r="A529" s="2" t="s">
        <v>1010</v>
      </c>
      <c r="B529" s="3">
        <v>46141</v>
      </c>
      <c r="C529" s="2" t="s">
        <v>1011</v>
      </c>
      <c r="D529" s="2" t="s">
        <v>29</v>
      </c>
      <c r="E529" s="2" t="s">
        <v>43</v>
      </c>
      <c r="F529" s="2" t="s">
        <v>3</v>
      </c>
      <c r="G529" s="4">
        <v>93100</v>
      </c>
      <c r="H529" s="5">
        <v>7.2300000000000003E-2</v>
      </c>
      <c r="I529" s="2">
        <v>60</v>
      </c>
      <c r="J529" s="2" t="s">
        <v>61</v>
      </c>
      <c r="K529" s="2" t="s">
        <v>17</v>
      </c>
      <c r="L529" s="3">
        <v>46162</v>
      </c>
      <c r="M529" s="2" t="str">
        <f>_xlfn.XLOOKUP(Deals[[#This Row],[CustomerID]],Customers!A:A,Customers!F:F)</f>
        <v>Premium</v>
      </c>
      <c r="N529" s="2" t="str">
        <f>_xlfn.XLOOKUP(Deals[[#This Row],[CustomerID]],Customers!A:A,Customers!E:E)</f>
        <v>Non-Kuwaiti</v>
      </c>
      <c r="O529" s="2">
        <f>2026-_xlfn.XLOOKUP(Deals[[#This Row],[CustomerID]],Customers!A:A,Customers!D:D)</f>
        <v>30</v>
      </c>
      <c r="P529" s="2" t="str" cm="1">
        <f t="array" ref="P529">_xlfn.IFS(Deals[[#This Row],[Age]]&lt;30,"Under 30",Deals[[#This Row],[Age]]&lt;45,"30-44",TRUE,"45+")</f>
        <v>30-44</v>
      </c>
      <c r="Q529" s="21">
        <f>IF(Deals[[#This Row],[Status]]="Pending","",Deals[[#This Row],[DecisionDate]]-Deals[[#This Row],[ApplicationDate]])</f>
        <v>21</v>
      </c>
      <c r="R529" s="21">
        <f>IF(Deals[[#This Row],[Status]]="Approved",1,0)</f>
        <v>1</v>
      </c>
      <c r="S529" s="21">
        <f>IF(Deals[[#This Row],[IsApproved]]=1,Deals[[#This Row],[Amount]],0)</f>
        <v>93100</v>
      </c>
      <c r="T529" s="21">
        <f>Deals[[#This Row],[ApprovedAmount]]*Deals[[#This Row],[ProfitRate]]</f>
        <v>6731.13</v>
      </c>
    </row>
    <row r="530" spans="1:20">
      <c r="A530" s="2" t="s">
        <v>1012</v>
      </c>
      <c r="B530" s="3">
        <v>46141</v>
      </c>
      <c r="C530" s="2" t="s">
        <v>374</v>
      </c>
      <c r="D530" s="2" t="s">
        <v>29</v>
      </c>
      <c r="E530" s="2" t="s">
        <v>15</v>
      </c>
      <c r="F530" s="2" t="s">
        <v>3</v>
      </c>
      <c r="G530" s="4">
        <v>22100</v>
      </c>
      <c r="H530" s="5">
        <v>6.8599999999999994E-2</v>
      </c>
      <c r="I530" s="2">
        <v>36</v>
      </c>
      <c r="J530" s="2" t="s">
        <v>123</v>
      </c>
      <c r="K530" s="2" t="s">
        <v>17</v>
      </c>
      <c r="L530" s="3">
        <v>46148</v>
      </c>
      <c r="M530" s="2" t="str">
        <f>_xlfn.XLOOKUP(Deals[[#This Row],[CustomerID]],Customers!A:A,Customers!F:F)</f>
        <v>Mass</v>
      </c>
      <c r="N530" s="2" t="str">
        <f>_xlfn.XLOOKUP(Deals[[#This Row],[CustomerID]],Customers!A:A,Customers!E:E)</f>
        <v>Kuwaiti</v>
      </c>
      <c r="O530" s="2">
        <f>2026-_xlfn.XLOOKUP(Deals[[#This Row],[CustomerID]],Customers!A:A,Customers!D:D)</f>
        <v>24</v>
      </c>
      <c r="P530" s="2" t="str" cm="1">
        <f t="array" ref="P530">_xlfn.IFS(Deals[[#This Row],[Age]]&lt;30,"Under 30",Deals[[#This Row],[Age]]&lt;45,"30-44",TRUE,"45+")</f>
        <v>Under 30</v>
      </c>
      <c r="Q530" s="21">
        <f>IF(Deals[[#This Row],[Status]]="Pending","",Deals[[#This Row],[DecisionDate]]-Deals[[#This Row],[ApplicationDate]])</f>
        <v>7</v>
      </c>
      <c r="R530" s="21">
        <f>IF(Deals[[#This Row],[Status]]="Approved",1,0)</f>
        <v>1</v>
      </c>
      <c r="S530" s="21">
        <f>IF(Deals[[#This Row],[IsApproved]]=1,Deals[[#This Row],[Amount]],0)</f>
        <v>22100</v>
      </c>
      <c r="T530" s="21">
        <f>Deals[[#This Row],[ApprovedAmount]]*Deals[[#This Row],[ProfitRate]]</f>
        <v>1516.06</v>
      </c>
    </row>
    <row r="531" spans="1:20">
      <c r="A531" s="2" t="s">
        <v>1013</v>
      </c>
      <c r="B531" s="3">
        <v>46141</v>
      </c>
      <c r="C531" s="2" t="s">
        <v>748</v>
      </c>
      <c r="D531" s="2" t="s">
        <v>14</v>
      </c>
      <c r="E531" s="2" t="s">
        <v>15</v>
      </c>
      <c r="F531" s="2" t="s">
        <v>3</v>
      </c>
      <c r="G531" s="4">
        <v>22800</v>
      </c>
      <c r="H531" s="5">
        <v>5.7299999999999997E-2</v>
      </c>
      <c r="I531" s="2">
        <v>12</v>
      </c>
      <c r="J531" s="2" t="s">
        <v>40</v>
      </c>
      <c r="K531" s="2" t="s">
        <v>17</v>
      </c>
      <c r="L531" s="3">
        <v>46145</v>
      </c>
      <c r="M531" s="2" t="str">
        <f>_xlfn.XLOOKUP(Deals[[#This Row],[CustomerID]],Customers!A:A,Customers!F:F)</f>
        <v>Mass</v>
      </c>
      <c r="N531" s="2" t="str">
        <f>_xlfn.XLOOKUP(Deals[[#This Row],[CustomerID]],Customers!A:A,Customers!E:E)</f>
        <v>Non-Kuwaiti</v>
      </c>
      <c r="O531" s="2">
        <f>2026-_xlfn.XLOOKUP(Deals[[#This Row],[CustomerID]],Customers!A:A,Customers!D:D)</f>
        <v>71</v>
      </c>
      <c r="P531" s="2" t="str" cm="1">
        <f t="array" ref="P531">_xlfn.IFS(Deals[[#This Row],[Age]]&lt;30,"Under 30",Deals[[#This Row],[Age]]&lt;45,"30-44",TRUE,"45+")</f>
        <v>45+</v>
      </c>
      <c r="Q531" s="21">
        <f>IF(Deals[[#This Row],[Status]]="Pending","",Deals[[#This Row],[DecisionDate]]-Deals[[#This Row],[ApplicationDate]])</f>
        <v>4</v>
      </c>
      <c r="R531" s="21">
        <f>IF(Deals[[#This Row],[Status]]="Approved",1,0)</f>
        <v>1</v>
      </c>
      <c r="S531" s="21">
        <f>IF(Deals[[#This Row],[IsApproved]]=1,Deals[[#This Row],[Amount]],0)</f>
        <v>22800</v>
      </c>
      <c r="T531" s="21">
        <f>Deals[[#This Row],[ApprovedAmount]]*Deals[[#This Row],[ProfitRate]]</f>
        <v>1306.4399999999998</v>
      </c>
    </row>
    <row r="532" spans="1:20">
      <c r="A532" s="2" t="s">
        <v>1014</v>
      </c>
      <c r="B532" s="3">
        <v>46141</v>
      </c>
      <c r="C532" s="2" t="s">
        <v>1015</v>
      </c>
      <c r="D532" s="2" t="s">
        <v>29</v>
      </c>
      <c r="E532" s="2" t="s">
        <v>15</v>
      </c>
      <c r="F532" s="2" t="s">
        <v>31</v>
      </c>
      <c r="G532" s="4">
        <v>7300</v>
      </c>
      <c r="H532" s="5">
        <v>6.8900000000000003E-2</v>
      </c>
      <c r="I532" s="2">
        <v>48</v>
      </c>
      <c r="J532" s="2" t="s">
        <v>32</v>
      </c>
      <c r="K532" s="2" t="s">
        <v>17</v>
      </c>
      <c r="L532" s="3">
        <v>46146</v>
      </c>
      <c r="M532" s="2" t="str">
        <f>_xlfn.XLOOKUP(Deals[[#This Row],[CustomerID]],Customers!A:A,Customers!F:F)</f>
        <v>Mass</v>
      </c>
      <c r="N532" s="2" t="str">
        <f>_xlfn.XLOOKUP(Deals[[#This Row],[CustomerID]],Customers!A:A,Customers!E:E)</f>
        <v>Kuwaiti</v>
      </c>
      <c r="O532" s="2">
        <f>2026-_xlfn.XLOOKUP(Deals[[#This Row],[CustomerID]],Customers!A:A,Customers!D:D)</f>
        <v>31</v>
      </c>
      <c r="P532" s="2" t="str" cm="1">
        <f t="array" ref="P532">_xlfn.IFS(Deals[[#This Row],[Age]]&lt;30,"Under 30",Deals[[#This Row],[Age]]&lt;45,"30-44",TRUE,"45+")</f>
        <v>30-44</v>
      </c>
      <c r="Q532" s="21">
        <f>IF(Deals[[#This Row],[Status]]="Pending","",Deals[[#This Row],[DecisionDate]]-Deals[[#This Row],[ApplicationDate]])</f>
        <v>5</v>
      </c>
      <c r="R532" s="21">
        <f>IF(Deals[[#This Row],[Status]]="Approved",1,0)</f>
        <v>1</v>
      </c>
      <c r="S532" s="21">
        <f>IF(Deals[[#This Row],[IsApproved]]=1,Deals[[#This Row],[Amount]],0)</f>
        <v>7300</v>
      </c>
      <c r="T532" s="21">
        <f>Deals[[#This Row],[ApprovedAmount]]*Deals[[#This Row],[ProfitRate]]</f>
        <v>502.97</v>
      </c>
    </row>
    <row r="533" spans="1:20">
      <c r="A533" s="2" t="s">
        <v>1016</v>
      </c>
      <c r="B533" s="3">
        <v>46141</v>
      </c>
      <c r="C533" s="2" t="s">
        <v>689</v>
      </c>
      <c r="D533" s="2" t="s">
        <v>20</v>
      </c>
      <c r="E533" s="2" t="s">
        <v>30</v>
      </c>
      <c r="F533" s="2" t="s">
        <v>31</v>
      </c>
      <c r="G533" s="4">
        <v>11500</v>
      </c>
      <c r="H533" s="5">
        <v>3.9100000000000003E-2</v>
      </c>
      <c r="I533" s="2">
        <v>36</v>
      </c>
      <c r="J533" s="2" t="s">
        <v>37</v>
      </c>
      <c r="K533" s="2" t="s">
        <v>17</v>
      </c>
      <c r="L533" s="3">
        <v>46143</v>
      </c>
      <c r="M533" s="2" t="str">
        <f>_xlfn.XLOOKUP(Deals[[#This Row],[CustomerID]],Customers!A:A,Customers!F:F)</f>
        <v>Affluent</v>
      </c>
      <c r="N533" s="2" t="str">
        <f>_xlfn.XLOOKUP(Deals[[#This Row],[CustomerID]],Customers!A:A,Customers!E:E)</f>
        <v>Kuwaiti</v>
      </c>
      <c r="O533" s="2">
        <f>2026-_xlfn.XLOOKUP(Deals[[#This Row],[CustomerID]],Customers!A:A,Customers!D:D)</f>
        <v>25</v>
      </c>
      <c r="P533" s="2" t="str" cm="1">
        <f t="array" ref="P533">_xlfn.IFS(Deals[[#This Row],[Age]]&lt;30,"Under 30",Deals[[#This Row],[Age]]&lt;45,"30-44",TRUE,"45+")</f>
        <v>Under 30</v>
      </c>
      <c r="Q533" s="21">
        <f>IF(Deals[[#This Row],[Status]]="Pending","",Deals[[#This Row],[DecisionDate]]-Deals[[#This Row],[ApplicationDate]])</f>
        <v>2</v>
      </c>
      <c r="R533" s="21">
        <f>IF(Deals[[#This Row],[Status]]="Approved",1,0)</f>
        <v>1</v>
      </c>
      <c r="S533" s="21">
        <f>IF(Deals[[#This Row],[IsApproved]]=1,Deals[[#This Row],[Amount]],0)</f>
        <v>11500</v>
      </c>
      <c r="T533" s="21">
        <f>Deals[[#This Row],[ApprovedAmount]]*Deals[[#This Row],[ProfitRate]]</f>
        <v>449.65000000000003</v>
      </c>
    </row>
    <row r="534" spans="1:20">
      <c r="A534" s="2" t="s">
        <v>1017</v>
      </c>
      <c r="B534" s="3">
        <v>46142</v>
      </c>
      <c r="C534" s="2" t="s">
        <v>1018</v>
      </c>
      <c r="D534" s="2" t="s">
        <v>25</v>
      </c>
      <c r="E534" s="2" t="s">
        <v>15</v>
      </c>
      <c r="F534" s="2" t="s">
        <v>3</v>
      </c>
      <c r="G534" s="4">
        <v>18300</v>
      </c>
      <c r="H534" s="5">
        <v>5.0900000000000001E-2</v>
      </c>
      <c r="I534" s="2">
        <v>12</v>
      </c>
      <c r="J534" s="2" t="s">
        <v>66</v>
      </c>
      <c r="K534" s="2" t="s">
        <v>45</v>
      </c>
      <c r="L534" s="3">
        <v>46145</v>
      </c>
      <c r="M534" s="2" t="str">
        <f>_xlfn.XLOOKUP(Deals[[#This Row],[CustomerID]],Customers!A:A,Customers!F:F)</f>
        <v>Affluent</v>
      </c>
      <c r="N534" s="2" t="str">
        <f>_xlfn.XLOOKUP(Deals[[#This Row],[CustomerID]],Customers!A:A,Customers!E:E)</f>
        <v>Non-Kuwaiti</v>
      </c>
      <c r="O534" s="2">
        <f>2026-_xlfn.XLOOKUP(Deals[[#This Row],[CustomerID]],Customers!A:A,Customers!D:D)</f>
        <v>39</v>
      </c>
      <c r="P534" s="2" t="str" cm="1">
        <f t="array" ref="P534">_xlfn.IFS(Deals[[#This Row],[Age]]&lt;30,"Under 30",Deals[[#This Row],[Age]]&lt;45,"30-44",TRUE,"45+")</f>
        <v>30-44</v>
      </c>
      <c r="Q534" s="21">
        <f>IF(Deals[[#This Row],[Status]]="Pending","",Deals[[#This Row],[DecisionDate]]-Deals[[#This Row],[ApplicationDate]])</f>
        <v>3</v>
      </c>
      <c r="R534" s="21">
        <f>IF(Deals[[#This Row],[Status]]="Approved",1,0)</f>
        <v>0</v>
      </c>
      <c r="S534" s="21">
        <f>IF(Deals[[#This Row],[IsApproved]]=1,Deals[[#This Row],[Amount]],0)</f>
        <v>0</v>
      </c>
      <c r="T534" s="21">
        <f>Deals[[#This Row],[ApprovedAmount]]*Deals[[#This Row],[ProfitRate]]</f>
        <v>0</v>
      </c>
    </row>
    <row r="535" spans="1:20">
      <c r="A535" s="2" t="s">
        <v>1019</v>
      </c>
      <c r="B535" s="3">
        <v>46142</v>
      </c>
      <c r="C535" s="2" t="s">
        <v>1020</v>
      </c>
      <c r="D535" s="2" t="s">
        <v>20</v>
      </c>
      <c r="E535" s="2" t="s">
        <v>30</v>
      </c>
      <c r="F535" s="2" t="s">
        <v>3</v>
      </c>
      <c r="G535" s="4">
        <v>6700</v>
      </c>
      <c r="H535" s="5">
        <v>4.2299999999999997E-2</v>
      </c>
      <c r="I535" s="2">
        <v>36</v>
      </c>
      <c r="J535" s="2" t="s">
        <v>22</v>
      </c>
      <c r="K535" s="2" t="s">
        <v>17</v>
      </c>
      <c r="L535" s="3">
        <v>46144</v>
      </c>
      <c r="M535" s="2" t="str">
        <f>_xlfn.XLOOKUP(Deals[[#This Row],[CustomerID]],Customers!A:A,Customers!F:F)</f>
        <v>Mass</v>
      </c>
      <c r="N535" s="2" t="str">
        <f>_xlfn.XLOOKUP(Deals[[#This Row],[CustomerID]],Customers!A:A,Customers!E:E)</f>
        <v>Kuwaiti</v>
      </c>
      <c r="O535" s="2">
        <f>2026-_xlfn.XLOOKUP(Deals[[#This Row],[CustomerID]],Customers!A:A,Customers!D:D)</f>
        <v>27</v>
      </c>
      <c r="P535" s="2" t="str" cm="1">
        <f t="array" ref="P535">_xlfn.IFS(Deals[[#This Row],[Age]]&lt;30,"Under 30",Deals[[#This Row],[Age]]&lt;45,"30-44",TRUE,"45+")</f>
        <v>Under 30</v>
      </c>
      <c r="Q535" s="21">
        <f>IF(Deals[[#This Row],[Status]]="Pending","",Deals[[#This Row],[DecisionDate]]-Deals[[#This Row],[ApplicationDate]])</f>
        <v>2</v>
      </c>
      <c r="R535" s="21">
        <f>IF(Deals[[#This Row],[Status]]="Approved",1,0)</f>
        <v>1</v>
      </c>
      <c r="S535" s="21">
        <f>IF(Deals[[#This Row],[IsApproved]]=1,Deals[[#This Row],[Amount]],0)</f>
        <v>6700</v>
      </c>
      <c r="T535" s="21">
        <f>Deals[[#This Row],[ApprovedAmount]]*Deals[[#This Row],[ProfitRate]]</f>
        <v>283.40999999999997</v>
      </c>
    </row>
    <row r="536" spans="1:20">
      <c r="A536" s="2" t="s">
        <v>1021</v>
      </c>
      <c r="B536" s="3">
        <v>46142</v>
      </c>
      <c r="C536" s="2" t="s">
        <v>581</v>
      </c>
      <c r="D536" s="2" t="s">
        <v>14</v>
      </c>
      <c r="E536" s="2" t="s">
        <v>43</v>
      </c>
      <c r="F536" s="2" t="s">
        <v>3</v>
      </c>
      <c r="G536" s="4">
        <v>104600</v>
      </c>
      <c r="H536" s="5">
        <v>6.8599999999999994E-2</v>
      </c>
      <c r="I536" s="2">
        <v>24</v>
      </c>
      <c r="J536" s="2" t="s">
        <v>16</v>
      </c>
      <c r="K536" s="2" t="s">
        <v>17</v>
      </c>
      <c r="L536" s="3">
        <v>46160</v>
      </c>
      <c r="M536" s="2" t="str">
        <f>_xlfn.XLOOKUP(Deals[[#This Row],[CustomerID]],Customers!A:A,Customers!F:F)</f>
        <v>Mass</v>
      </c>
      <c r="N536" s="2" t="str">
        <f>_xlfn.XLOOKUP(Deals[[#This Row],[CustomerID]],Customers!A:A,Customers!E:E)</f>
        <v>Kuwaiti</v>
      </c>
      <c r="O536" s="2">
        <f>2026-_xlfn.XLOOKUP(Deals[[#This Row],[CustomerID]],Customers!A:A,Customers!D:D)</f>
        <v>69</v>
      </c>
      <c r="P536" s="2" t="str" cm="1">
        <f t="array" ref="P536">_xlfn.IFS(Deals[[#This Row],[Age]]&lt;30,"Under 30",Deals[[#This Row],[Age]]&lt;45,"30-44",TRUE,"45+")</f>
        <v>45+</v>
      </c>
      <c r="Q536" s="21">
        <f>IF(Deals[[#This Row],[Status]]="Pending","",Deals[[#This Row],[DecisionDate]]-Deals[[#This Row],[ApplicationDate]])</f>
        <v>18</v>
      </c>
      <c r="R536" s="21">
        <f>IF(Deals[[#This Row],[Status]]="Approved",1,0)</f>
        <v>1</v>
      </c>
      <c r="S536" s="21">
        <f>IF(Deals[[#This Row],[IsApproved]]=1,Deals[[#This Row],[Amount]],0)</f>
        <v>104600</v>
      </c>
      <c r="T536" s="21">
        <f>Deals[[#This Row],[ApprovedAmount]]*Deals[[#This Row],[ProfitRate]]</f>
        <v>7175.5599999999995</v>
      </c>
    </row>
    <row r="537" spans="1:20">
      <c r="A537" s="2" t="s">
        <v>1022</v>
      </c>
      <c r="B537" s="3">
        <v>46142</v>
      </c>
      <c r="C537" s="2" t="s">
        <v>734</v>
      </c>
      <c r="D537" s="2" t="s">
        <v>29</v>
      </c>
      <c r="E537" s="2" t="s">
        <v>21</v>
      </c>
      <c r="F537" s="2" t="s">
        <v>3</v>
      </c>
      <c r="G537" s="4">
        <v>151100</v>
      </c>
      <c r="H537" s="5">
        <v>4.1000000000000002E-2</v>
      </c>
      <c r="I537" s="2">
        <v>120</v>
      </c>
      <c r="J537" s="2" t="s">
        <v>61</v>
      </c>
      <c r="K537" s="2" t="s">
        <v>17</v>
      </c>
      <c r="L537" s="3">
        <v>46152</v>
      </c>
      <c r="M537" s="2" t="str">
        <f>_xlfn.XLOOKUP(Deals[[#This Row],[CustomerID]],Customers!A:A,Customers!F:F)</f>
        <v>Mass</v>
      </c>
      <c r="N537" s="2" t="str">
        <f>_xlfn.XLOOKUP(Deals[[#This Row],[CustomerID]],Customers!A:A,Customers!E:E)</f>
        <v>Non-Kuwaiti</v>
      </c>
      <c r="O537" s="2">
        <f>2026-_xlfn.XLOOKUP(Deals[[#This Row],[CustomerID]],Customers!A:A,Customers!D:D)</f>
        <v>34</v>
      </c>
      <c r="P537" s="2" t="str" cm="1">
        <f t="array" ref="P537">_xlfn.IFS(Deals[[#This Row],[Age]]&lt;30,"Under 30",Deals[[#This Row],[Age]]&lt;45,"30-44",TRUE,"45+")</f>
        <v>30-44</v>
      </c>
      <c r="Q537" s="21">
        <f>IF(Deals[[#This Row],[Status]]="Pending","",Deals[[#This Row],[DecisionDate]]-Deals[[#This Row],[ApplicationDate]])</f>
        <v>10</v>
      </c>
      <c r="R537" s="21">
        <f>IF(Deals[[#This Row],[Status]]="Approved",1,0)</f>
        <v>1</v>
      </c>
      <c r="S537" s="21">
        <f>IF(Deals[[#This Row],[IsApproved]]=1,Deals[[#This Row],[Amount]],0)</f>
        <v>151100</v>
      </c>
      <c r="T537" s="21">
        <f>Deals[[#This Row],[ApprovedAmount]]*Deals[[#This Row],[ProfitRate]]</f>
        <v>6195.1</v>
      </c>
    </row>
    <row r="538" spans="1:20">
      <c r="A538" s="2" t="s">
        <v>1023</v>
      </c>
      <c r="B538" s="3">
        <v>46142</v>
      </c>
      <c r="C538" s="2" t="s">
        <v>1024</v>
      </c>
      <c r="D538" s="2" t="s">
        <v>14</v>
      </c>
      <c r="E538" s="2" t="s">
        <v>30</v>
      </c>
      <c r="F538" s="2" t="s">
        <v>3</v>
      </c>
      <c r="G538" s="4">
        <v>19800</v>
      </c>
      <c r="H538" s="5">
        <v>4.7100000000000003E-2</v>
      </c>
      <c r="I538" s="2">
        <v>60</v>
      </c>
      <c r="J538" s="2" t="s">
        <v>48</v>
      </c>
      <c r="K538" s="2" t="s">
        <v>17</v>
      </c>
      <c r="L538" s="3">
        <v>46146</v>
      </c>
      <c r="M538" s="2" t="str">
        <f>_xlfn.XLOOKUP(Deals[[#This Row],[CustomerID]],Customers!A:A,Customers!F:F)</f>
        <v>Premium</v>
      </c>
      <c r="N538" s="2" t="str">
        <f>_xlfn.XLOOKUP(Deals[[#This Row],[CustomerID]],Customers!A:A,Customers!E:E)</f>
        <v>Kuwaiti</v>
      </c>
      <c r="O538" s="2">
        <f>2026-_xlfn.XLOOKUP(Deals[[#This Row],[CustomerID]],Customers!A:A,Customers!D:D)</f>
        <v>32</v>
      </c>
      <c r="P538" s="2" t="str" cm="1">
        <f t="array" ref="P538">_xlfn.IFS(Deals[[#This Row],[Age]]&lt;30,"Under 30",Deals[[#This Row],[Age]]&lt;45,"30-44",TRUE,"45+")</f>
        <v>30-44</v>
      </c>
      <c r="Q538" s="21">
        <f>IF(Deals[[#This Row],[Status]]="Pending","",Deals[[#This Row],[DecisionDate]]-Deals[[#This Row],[ApplicationDate]])</f>
        <v>4</v>
      </c>
      <c r="R538" s="21">
        <f>IF(Deals[[#This Row],[Status]]="Approved",1,0)</f>
        <v>1</v>
      </c>
      <c r="S538" s="21">
        <f>IF(Deals[[#This Row],[IsApproved]]=1,Deals[[#This Row],[Amount]],0)</f>
        <v>19800</v>
      </c>
      <c r="T538" s="21">
        <f>Deals[[#This Row],[ApprovedAmount]]*Deals[[#This Row],[ProfitRate]]</f>
        <v>932.58</v>
      </c>
    </row>
    <row r="539" spans="1:20">
      <c r="A539" s="2" t="s">
        <v>1025</v>
      </c>
      <c r="B539" s="3">
        <v>46143</v>
      </c>
      <c r="C539" s="2" t="s">
        <v>1026</v>
      </c>
      <c r="D539" s="2" t="s">
        <v>54</v>
      </c>
      <c r="E539" s="2" t="s">
        <v>21</v>
      </c>
      <c r="F539" s="2" t="s">
        <v>3</v>
      </c>
      <c r="G539" s="4">
        <v>115800</v>
      </c>
      <c r="H539" s="5">
        <v>3.6799999999999999E-2</v>
      </c>
      <c r="I539" s="2">
        <v>300</v>
      </c>
      <c r="J539" s="2" t="s">
        <v>186</v>
      </c>
      <c r="K539" s="2" t="s">
        <v>45</v>
      </c>
      <c r="L539" s="3">
        <v>46167</v>
      </c>
      <c r="M539" s="2" t="str">
        <f>_xlfn.XLOOKUP(Deals[[#This Row],[CustomerID]],Customers!A:A,Customers!F:F)</f>
        <v>Affluent</v>
      </c>
      <c r="N539" s="2" t="str">
        <f>_xlfn.XLOOKUP(Deals[[#This Row],[CustomerID]],Customers!A:A,Customers!E:E)</f>
        <v>Kuwaiti</v>
      </c>
      <c r="O539" s="2">
        <f>2026-_xlfn.XLOOKUP(Deals[[#This Row],[CustomerID]],Customers!A:A,Customers!D:D)</f>
        <v>52</v>
      </c>
      <c r="P539" s="2" t="str" cm="1">
        <f t="array" ref="P539">_xlfn.IFS(Deals[[#This Row],[Age]]&lt;30,"Under 30",Deals[[#This Row],[Age]]&lt;45,"30-44",TRUE,"45+")</f>
        <v>45+</v>
      </c>
      <c r="Q539" s="21">
        <f>IF(Deals[[#This Row],[Status]]="Pending","",Deals[[#This Row],[DecisionDate]]-Deals[[#This Row],[ApplicationDate]])</f>
        <v>24</v>
      </c>
      <c r="R539" s="21">
        <f>IF(Deals[[#This Row],[Status]]="Approved",1,0)</f>
        <v>0</v>
      </c>
      <c r="S539" s="21">
        <f>IF(Deals[[#This Row],[IsApproved]]=1,Deals[[#This Row],[Amount]],0)</f>
        <v>0</v>
      </c>
      <c r="T539" s="21">
        <f>Deals[[#This Row],[ApprovedAmount]]*Deals[[#This Row],[ProfitRate]]</f>
        <v>0</v>
      </c>
    </row>
    <row r="540" spans="1:20">
      <c r="A540" s="2" t="s">
        <v>1027</v>
      </c>
      <c r="B540" s="3">
        <v>46143</v>
      </c>
      <c r="C540" s="2" t="s">
        <v>1028</v>
      </c>
      <c r="D540" s="2" t="s">
        <v>14</v>
      </c>
      <c r="E540" s="2" t="s">
        <v>43</v>
      </c>
      <c r="F540" s="2" t="s">
        <v>3</v>
      </c>
      <c r="G540" s="4">
        <v>45600</v>
      </c>
      <c r="H540" s="5">
        <v>7.3599999999999999E-2</v>
      </c>
      <c r="I540" s="2">
        <v>36</v>
      </c>
      <c r="J540" s="2" t="s">
        <v>48</v>
      </c>
      <c r="K540" s="2" t="s">
        <v>45</v>
      </c>
      <c r="L540" s="3">
        <v>46150</v>
      </c>
      <c r="M540" s="2" t="str">
        <f>_xlfn.XLOOKUP(Deals[[#This Row],[CustomerID]],Customers!A:A,Customers!F:F)</f>
        <v>Affluent</v>
      </c>
      <c r="N540" s="2" t="str">
        <f>_xlfn.XLOOKUP(Deals[[#This Row],[CustomerID]],Customers!A:A,Customers!E:E)</f>
        <v>Non-Kuwaiti</v>
      </c>
      <c r="O540" s="2">
        <f>2026-_xlfn.XLOOKUP(Deals[[#This Row],[CustomerID]],Customers!A:A,Customers!D:D)</f>
        <v>24</v>
      </c>
      <c r="P540" s="2" t="str" cm="1">
        <f t="array" ref="P540">_xlfn.IFS(Deals[[#This Row],[Age]]&lt;30,"Under 30",Deals[[#This Row],[Age]]&lt;45,"30-44",TRUE,"45+")</f>
        <v>Under 30</v>
      </c>
      <c r="Q540" s="21">
        <f>IF(Deals[[#This Row],[Status]]="Pending","",Deals[[#This Row],[DecisionDate]]-Deals[[#This Row],[ApplicationDate]])</f>
        <v>7</v>
      </c>
      <c r="R540" s="21">
        <f>IF(Deals[[#This Row],[Status]]="Approved",1,0)</f>
        <v>0</v>
      </c>
      <c r="S540" s="21">
        <f>IF(Deals[[#This Row],[IsApproved]]=1,Deals[[#This Row],[Amount]],0)</f>
        <v>0</v>
      </c>
      <c r="T540" s="21">
        <f>Deals[[#This Row],[ApprovedAmount]]*Deals[[#This Row],[ProfitRate]]</f>
        <v>0</v>
      </c>
    </row>
    <row r="541" spans="1:20">
      <c r="A541" s="2" t="s">
        <v>1029</v>
      </c>
      <c r="B541" s="3">
        <v>46143</v>
      </c>
      <c r="C541" s="2" t="s">
        <v>1030</v>
      </c>
      <c r="D541" s="2" t="s">
        <v>20</v>
      </c>
      <c r="E541" s="2" t="s">
        <v>15</v>
      </c>
      <c r="F541" s="2" t="s">
        <v>3</v>
      </c>
      <c r="G541" s="4">
        <v>25000</v>
      </c>
      <c r="H541" s="5">
        <v>5.8900000000000001E-2</v>
      </c>
      <c r="I541" s="2">
        <v>60</v>
      </c>
      <c r="J541" s="2" t="s">
        <v>44</v>
      </c>
      <c r="K541" s="2" t="s">
        <v>45</v>
      </c>
      <c r="L541" s="3">
        <v>46147</v>
      </c>
      <c r="M541" s="2" t="str">
        <f>_xlfn.XLOOKUP(Deals[[#This Row],[CustomerID]],Customers!A:A,Customers!F:F)</f>
        <v>Premium</v>
      </c>
      <c r="N541" s="2" t="str">
        <f>_xlfn.XLOOKUP(Deals[[#This Row],[CustomerID]],Customers!A:A,Customers!E:E)</f>
        <v>Kuwaiti</v>
      </c>
      <c r="O541" s="2">
        <f>2026-_xlfn.XLOOKUP(Deals[[#This Row],[CustomerID]],Customers!A:A,Customers!D:D)</f>
        <v>32</v>
      </c>
      <c r="P541" s="2" t="str" cm="1">
        <f t="array" ref="P541">_xlfn.IFS(Deals[[#This Row],[Age]]&lt;30,"Under 30",Deals[[#This Row],[Age]]&lt;45,"30-44",TRUE,"45+")</f>
        <v>30-44</v>
      </c>
      <c r="Q541" s="21">
        <f>IF(Deals[[#This Row],[Status]]="Pending","",Deals[[#This Row],[DecisionDate]]-Deals[[#This Row],[ApplicationDate]])</f>
        <v>4</v>
      </c>
      <c r="R541" s="21">
        <f>IF(Deals[[#This Row],[Status]]="Approved",1,0)</f>
        <v>0</v>
      </c>
      <c r="S541" s="21">
        <f>IF(Deals[[#This Row],[IsApproved]]=1,Deals[[#This Row],[Amount]],0)</f>
        <v>0</v>
      </c>
      <c r="T541" s="21">
        <f>Deals[[#This Row],[ApprovedAmount]]*Deals[[#This Row],[ProfitRate]]</f>
        <v>0</v>
      </c>
    </row>
    <row r="542" spans="1:20">
      <c r="A542" s="2" t="s">
        <v>1031</v>
      </c>
      <c r="B542" s="3">
        <v>46143</v>
      </c>
      <c r="C542" s="2" t="s">
        <v>1032</v>
      </c>
      <c r="D542" s="2" t="s">
        <v>29</v>
      </c>
      <c r="E542" s="2" t="s">
        <v>15</v>
      </c>
      <c r="F542" s="2" t="s">
        <v>3</v>
      </c>
      <c r="G542" s="4">
        <v>22200</v>
      </c>
      <c r="H542" s="5">
        <v>6.3500000000000001E-2</v>
      </c>
      <c r="I542" s="2">
        <v>48</v>
      </c>
      <c r="J542" s="2" t="s">
        <v>32</v>
      </c>
      <c r="K542" s="2" t="s">
        <v>17</v>
      </c>
      <c r="L542" s="3">
        <v>46145</v>
      </c>
      <c r="M542" s="2" t="str">
        <f>_xlfn.XLOOKUP(Deals[[#This Row],[CustomerID]],Customers!A:A,Customers!F:F)</f>
        <v>Mass</v>
      </c>
      <c r="N542" s="2" t="str">
        <f>_xlfn.XLOOKUP(Deals[[#This Row],[CustomerID]],Customers!A:A,Customers!E:E)</f>
        <v>Kuwaiti</v>
      </c>
      <c r="O542" s="2">
        <f>2026-_xlfn.XLOOKUP(Deals[[#This Row],[CustomerID]],Customers!A:A,Customers!D:D)</f>
        <v>38</v>
      </c>
      <c r="P542" s="2" t="str" cm="1">
        <f t="array" ref="P542">_xlfn.IFS(Deals[[#This Row],[Age]]&lt;30,"Under 30",Deals[[#This Row],[Age]]&lt;45,"30-44",TRUE,"45+")</f>
        <v>30-44</v>
      </c>
      <c r="Q542" s="21">
        <f>IF(Deals[[#This Row],[Status]]="Pending","",Deals[[#This Row],[DecisionDate]]-Deals[[#This Row],[ApplicationDate]])</f>
        <v>2</v>
      </c>
      <c r="R542" s="21">
        <f>IF(Deals[[#This Row],[Status]]="Approved",1,0)</f>
        <v>1</v>
      </c>
      <c r="S542" s="21">
        <f>IF(Deals[[#This Row],[IsApproved]]=1,Deals[[#This Row],[Amount]],0)</f>
        <v>22200</v>
      </c>
      <c r="T542" s="21">
        <f>Deals[[#This Row],[ApprovedAmount]]*Deals[[#This Row],[ProfitRate]]</f>
        <v>1409.7</v>
      </c>
    </row>
    <row r="543" spans="1:20">
      <c r="A543" s="2" t="s">
        <v>1033</v>
      </c>
      <c r="B543" s="3">
        <v>46143</v>
      </c>
      <c r="C543" s="2" t="s">
        <v>1034</v>
      </c>
      <c r="D543" s="2" t="s">
        <v>54</v>
      </c>
      <c r="E543" s="2" t="s">
        <v>15</v>
      </c>
      <c r="F543" s="2" t="s">
        <v>3</v>
      </c>
      <c r="G543" s="4">
        <v>11800</v>
      </c>
      <c r="H543" s="5">
        <v>5.2400000000000002E-2</v>
      </c>
      <c r="I543" s="2">
        <v>36</v>
      </c>
      <c r="J543" s="2" t="s">
        <v>186</v>
      </c>
      <c r="K543" s="2" t="s">
        <v>45</v>
      </c>
      <c r="L543" s="3">
        <v>46148</v>
      </c>
      <c r="M543" s="2" t="str">
        <f>_xlfn.XLOOKUP(Deals[[#This Row],[CustomerID]],Customers!A:A,Customers!F:F)</f>
        <v>Mass</v>
      </c>
      <c r="N543" s="2" t="str">
        <f>_xlfn.XLOOKUP(Deals[[#This Row],[CustomerID]],Customers!A:A,Customers!E:E)</f>
        <v>Kuwaiti</v>
      </c>
      <c r="O543" s="2">
        <f>2026-_xlfn.XLOOKUP(Deals[[#This Row],[CustomerID]],Customers!A:A,Customers!D:D)</f>
        <v>71</v>
      </c>
      <c r="P543" s="2" t="str" cm="1">
        <f t="array" ref="P543">_xlfn.IFS(Deals[[#This Row],[Age]]&lt;30,"Under 30",Deals[[#This Row],[Age]]&lt;45,"30-44",TRUE,"45+")</f>
        <v>45+</v>
      </c>
      <c r="Q543" s="21">
        <f>IF(Deals[[#This Row],[Status]]="Pending","",Deals[[#This Row],[DecisionDate]]-Deals[[#This Row],[ApplicationDate]])</f>
        <v>5</v>
      </c>
      <c r="R543" s="21">
        <f>IF(Deals[[#This Row],[Status]]="Approved",1,0)</f>
        <v>0</v>
      </c>
      <c r="S543" s="21">
        <f>IF(Deals[[#This Row],[IsApproved]]=1,Deals[[#This Row],[Amount]],0)</f>
        <v>0</v>
      </c>
      <c r="T543" s="21">
        <f>Deals[[#This Row],[ApprovedAmount]]*Deals[[#This Row],[ProfitRate]]</f>
        <v>0</v>
      </c>
    </row>
    <row r="544" spans="1:20">
      <c r="A544" s="2" t="s">
        <v>1035</v>
      </c>
      <c r="B544" s="3">
        <v>46144</v>
      </c>
      <c r="C544" s="2" t="s">
        <v>286</v>
      </c>
      <c r="D544" s="2" t="s">
        <v>14</v>
      </c>
      <c r="E544" s="2" t="s">
        <v>30</v>
      </c>
      <c r="F544" s="2" t="s">
        <v>3</v>
      </c>
      <c r="G544" s="4">
        <v>11900</v>
      </c>
      <c r="H544" s="5">
        <v>4.48E-2</v>
      </c>
      <c r="I544" s="2">
        <v>48</v>
      </c>
      <c r="J544" s="2" t="s">
        <v>40</v>
      </c>
      <c r="K544" s="2" t="s">
        <v>17</v>
      </c>
      <c r="L544" s="3">
        <v>46149</v>
      </c>
      <c r="M544" s="2" t="str">
        <f>_xlfn.XLOOKUP(Deals[[#This Row],[CustomerID]],Customers!A:A,Customers!F:F)</f>
        <v>Affluent</v>
      </c>
      <c r="N544" s="2" t="str">
        <f>_xlfn.XLOOKUP(Deals[[#This Row],[CustomerID]],Customers!A:A,Customers!E:E)</f>
        <v>Kuwaiti</v>
      </c>
      <c r="O544" s="2">
        <f>2026-_xlfn.XLOOKUP(Deals[[#This Row],[CustomerID]],Customers!A:A,Customers!D:D)</f>
        <v>52</v>
      </c>
      <c r="P544" s="2" t="str" cm="1">
        <f t="array" ref="P544">_xlfn.IFS(Deals[[#This Row],[Age]]&lt;30,"Under 30",Deals[[#This Row],[Age]]&lt;45,"30-44",TRUE,"45+")</f>
        <v>45+</v>
      </c>
      <c r="Q544" s="21">
        <f>IF(Deals[[#This Row],[Status]]="Pending","",Deals[[#This Row],[DecisionDate]]-Deals[[#This Row],[ApplicationDate]])</f>
        <v>5</v>
      </c>
      <c r="R544" s="21">
        <f>IF(Deals[[#This Row],[Status]]="Approved",1,0)</f>
        <v>1</v>
      </c>
      <c r="S544" s="21">
        <f>IF(Deals[[#This Row],[IsApproved]]=1,Deals[[#This Row],[Amount]],0)</f>
        <v>11900</v>
      </c>
      <c r="T544" s="21">
        <f>Deals[[#This Row],[ApprovedAmount]]*Deals[[#This Row],[ProfitRate]]</f>
        <v>533.12</v>
      </c>
    </row>
    <row r="545" spans="1:20">
      <c r="A545" s="2" t="s">
        <v>1036</v>
      </c>
      <c r="B545" s="3">
        <v>46144</v>
      </c>
      <c r="C545" s="2" t="s">
        <v>390</v>
      </c>
      <c r="D545" s="2" t="s">
        <v>14</v>
      </c>
      <c r="E545" s="2" t="s">
        <v>15</v>
      </c>
      <c r="F545" s="2" t="s">
        <v>55</v>
      </c>
      <c r="G545" s="4">
        <v>12000</v>
      </c>
      <c r="H545" s="5">
        <v>6.1699999999999998E-2</v>
      </c>
      <c r="I545" s="2">
        <v>60</v>
      </c>
      <c r="J545" s="2" t="s">
        <v>48</v>
      </c>
      <c r="K545" s="2" t="s">
        <v>17</v>
      </c>
      <c r="L545" s="3">
        <v>46145</v>
      </c>
      <c r="M545" s="2" t="str">
        <f>_xlfn.XLOOKUP(Deals[[#This Row],[CustomerID]],Customers!A:A,Customers!F:F)</f>
        <v>Mass</v>
      </c>
      <c r="N545" s="2" t="str">
        <f>_xlfn.XLOOKUP(Deals[[#This Row],[CustomerID]],Customers!A:A,Customers!E:E)</f>
        <v>Kuwaiti</v>
      </c>
      <c r="O545" s="2">
        <f>2026-_xlfn.XLOOKUP(Deals[[#This Row],[CustomerID]],Customers!A:A,Customers!D:D)</f>
        <v>40</v>
      </c>
      <c r="P545" s="2" t="str" cm="1">
        <f t="array" ref="P545">_xlfn.IFS(Deals[[#This Row],[Age]]&lt;30,"Under 30",Deals[[#This Row],[Age]]&lt;45,"30-44",TRUE,"45+")</f>
        <v>30-44</v>
      </c>
      <c r="Q545" s="21">
        <f>IF(Deals[[#This Row],[Status]]="Pending","",Deals[[#This Row],[DecisionDate]]-Deals[[#This Row],[ApplicationDate]])</f>
        <v>1</v>
      </c>
      <c r="R545" s="21">
        <f>IF(Deals[[#This Row],[Status]]="Approved",1,0)</f>
        <v>1</v>
      </c>
      <c r="S545" s="21">
        <f>IF(Deals[[#This Row],[IsApproved]]=1,Deals[[#This Row],[Amount]],0)</f>
        <v>12000</v>
      </c>
      <c r="T545" s="21">
        <f>Deals[[#This Row],[ApprovedAmount]]*Deals[[#This Row],[ProfitRate]]</f>
        <v>740.4</v>
      </c>
    </row>
    <row r="546" spans="1:20">
      <c r="A546" s="2" t="s">
        <v>1037</v>
      </c>
      <c r="B546" s="3">
        <v>46144</v>
      </c>
      <c r="C546" s="2" t="s">
        <v>1038</v>
      </c>
      <c r="D546" s="2" t="s">
        <v>29</v>
      </c>
      <c r="E546" s="2" t="s">
        <v>43</v>
      </c>
      <c r="F546" s="2" t="s">
        <v>3</v>
      </c>
      <c r="G546" s="4">
        <v>55000</v>
      </c>
      <c r="H546" s="5">
        <v>5.7299999999999997E-2</v>
      </c>
      <c r="I546" s="2">
        <v>24</v>
      </c>
      <c r="J546" s="2" t="s">
        <v>123</v>
      </c>
      <c r="K546" s="2" t="s">
        <v>17</v>
      </c>
      <c r="L546" s="3">
        <v>46155</v>
      </c>
      <c r="M546" s="2" t="str">
        <f>_xlfn.XLOOKUP(Deals[[#This Row],[CustomerID]],Customers!A:A,Customers!F:F)</f>
        <v>Affluent</v>
      </c>
      <c r="N546" s="2" t="str">
        <f>_xlfn.XLOOKUP(Deals[[#This Row],[CustomerID]],Customers!A:A,Customers!E:E)</f>
        <v>Kuwaiti</v>
      </c>
      <c r="O546" s="2">
        <f>2026-_xlfn.XLOOKUP(Deals[[#This Row],[CustomerID]],Customers!A:A,Customers!D:D)</f>
        <v>50</v>
      </c>
      <c r="P546" s="2" t="str" cm="1">
        <f t="array" ref="P546">_xlfn.IFS(Deals[[#This Row],[Age]]&lt;30,"Under 30",Deals[[#This Row],[Age]]&lt;45,"30-44",TRUE,"45+")</f>
        <v>45+</v>
      </c>
      <c r="Q546" s="21">
        <f>IF(Deals[[#This Row],[Status]]="Pending","",Deals[[#This Row],[DecisionDate]]-Deals[[#This Row],[ApplicationDate]])</f>
        <v>11</v>
      </c>
      <c r="R546" s="21">
        <f>IF(Deals[[#This Row],[Status]]="Approved",1,0)</f>
        <v>1</v>
      </c>
      <c r="S546" s="21">
        <f>IF(Deals[[#This Row],[IsApproved]]=1,Deals[[#This Row],[Amount]],0)</f>
        <v>55000</v>
      </c>
      <c r="T546" s="21">
        <f>Deals[[#This Row],[ApprovedAmount]]*Deals[[#This Row],[ProfitRate]]</f>
        <v>3151.5</v>
      </c>
    </row>
    <row r="547" spans="1:20">
      <c r="A547" s="2" t="s">
        <v>1039</v>
      </c>
      <c r="B547" s="3">
        <v>46144</v>
      </c>
      <c r="C547" s="2" t="s">
        <v>1040</v>
      </c>
      <c r="D547" s="2" t="s">
        <v>54</v>
      </c>
      <c r="E547" s="2" t="s">
        <v>15</v>
      </c>
      <c r="F547" s="2" t="s">
        <v>31</v>
      </c>
      <c r="G547" s="4">
        <v>17500</v>
      </c>
      <c r="H547" s="5">
        <v>6.6900000000000001E-2</v>
      </c>
      <c r="I547" s="2">
        <v>36</v>
      </c>
      <c r="J547" s="2" t="s">
        <v>186</v>
      </c>
      <c r="K547" s="2" t="s">
        <v>45</v>
      </c>
      <c r="L547" s="3">
        <v>46147</v>
      </c>
      <c r="M547" s="2" t="str">
        <f>_xlfn.XLOOKUP(Deals[[#This Row],[CustomerID]],Customers!A:A,Customers!F:F)</f>
        <v>Mass</v>
      </c>
      <c r="N547" s="2" t="str">
        <f>_xlfn.XLOOKUP(Deals[[#This Row],[CustomerID]],Customers!A:A,Customers!E:E)</f>
        <v>Non-Kuwaiti</v>
      </c>
      <c r="O547" s="2">
        <f>2026-_xlfn.XLOOKUP(Deals[[#This Row],[CustomerID]],Customers!A:A,Customers!D:D)</f>
        <v>33</v>
      </c>
      <c r="P547" s="2" t="str" cm="1">
        <f t="array" ref="P547">_xlfn.IFS(Deals[[#This Row],[Age]]&lt;30,"Under 30",Deals[[#This Row],[Age]]&lt;45,"30-44",TRUE,"45+")</f>
        <v>30-44</v>
      </c>
      <c r="Q547" s="21">
        <f>IF(Deals[[#This Row],[Status]]="Pending","",Deals[[#This Row],[DecisionDate]]-Deals[[#This Row],[ApplicationDate]])</f>
        <v>3</v>
      </c>
      <c r="R547" s="21">
        <f>IF(Deals[[#This Row],[Status]]="Approved",1,0)</f>
        <v>0</v>
      </c>
      <c r="S547" s="21">
        <f>IF(Deals[[#This Row],[IsApproved]]=1,Deals[[#This Row],[Amount]],0)</f>
        <v>0</v>
      </c>
      <c r="T547" s="21">
        <f>Deals[[#This Row],[ApprovedAmount]]*Deals[[#This Row],[ProfitRate]]</f>
        <v>0</v>
      </c>
    </row>
    <row r="548" spans="1:20">
      <c r="A548" s="2" t="s">
        <v>1041</v>
      </c>
      <c r="B548" s="3">
        <v>46144</v>
      </c>
      <c r="C548" s="2" t="s">
        <v>1034</v>
      </c>
      <c r="D548" s="2" t="s">
        <v>20</v>
      </c>
      <c r="E548" s="2" t="s">
        <v>43</v>
      </c>
      <c r="F548" s="2" t="s">
        <v>3</v>
      </c>
      <c r="G548" s="4">
        <v>97900</v>
      </c>
      <c r="H548" s="5">
        <v>6.0499999999999998E-2</v>
      </c>
      <c r="I548" s="2">
        <v>24</v>
      </c>
      <c r="J548" s="2" t="s">
        <v>37</v>
      </c>
      <c r="K548" s="2" t="s">
        <v>17</v>
      </c>
      <c r="L548" s="3">
        <v>46162</v>
      </c>
      <c r="M548" s="2" t="str">
        <f>_xlfn.XLOOKUP(Deals[[#This Row],[CustomerID]],Customers!A:A,Customers!F:F)</f>
        <v>Mass</v>
      </c>
      <c r="N548" s="2" t="str">
        <f>_xlfn.XLOOKUP(Deals[[#This Row],[CustomerID]],Customers!A:A,Customers!E:E)</f>
        <v>Kuwaiti</v>
      </c>
      <c r="O548" s="2">
        <f>2026-_xlfn.XLOOKUP(Deals[[#This Row],[CustomerID]],Customers!A:A,Customers!D:D)</f>
        <v>71</v>
      </c>
      <c r="P548" s="2" t="str" cm="1">
        <f t="array" ref="P548">_xlfn.IFS(Deals[[#This Row],[Age]]&lt;30,"Under 30",Deals[[#This Row],[Age]]&lt;45,"30-44",TRUE,"45+")</f>
        <v>45+</v>
      </c>
      <c r="Q548" s="21">
        <f>IF(Deals[[#This Row],[Status]]="Pending","",Deals[[#This Row],[DecisionDate]]-Deals[[#This Row],[ApplicationDate]])</f>
        <v>18</v>
      </c>
      <c r="R548" s="21">
        <f>IF(Deals[[#This Row],[Status]]="Approved",1,0)</f>
        <v>1</v>
      </c>
      <c r="S548" s="21">
        <f>IF(Deals[[#This Row],[IsApproved]]=1,Deals[[#This Row],[Amount]],0)</f>
        <v>97900</v>
      </c>
      <c r="T548" s="21">
        <f>Deals[[#This Row],[ApprovedAmount]]*Deals[[#This Row],[ProfitRate]]</f>
        <v>5922.95</v>
      </c>
    </row>
    <row r="549" spans="1:20">
      <c r="A549" s="2" t="s">
        <v>1042</v>
      </c>
      <c r="B549" s="3">
        <v>46145</v>
      </c>
      <c r="C549" s="2" t="s">
        <v>1043</v>
      </c>
      <c r="D549" s="2" t="s">
        <v>29</v>
      </c>
      <c r="E549" s="2" t="s">
        <v>30</v>
      </c>
      <c r="F549" s="2" t="s">
        <v>55</v>
      </c>
      <c r="G549" s="4">
        <v>8800</v>
      </c>
      <c r="H549" s="5">
        <v>4.1500000000000002E-2</v>
      </c>
      <c r="I549" s="2">
        <v>60</v>
      </c>
      <c r="J549" s="2" t="s">
        <v>32</v>
      </c>
      <c r="K549" s="2" t="s">
        <v>17</v>
      </c>
      <c r="L549" s="3">
        <v>46150</v>
      </c>
      <c r="M549" s="2" t="str">
        <f>_xlfn.XLOOKUP(Deals[[#This Row],[CustomerID]],Customers!A:A,Customers!F:F)</f>
        <v>Mass</v>
      </c>
      <c r="N549" s="2" t="str">
        <f>_xlfn.XLOOKUP(Deals[[#This Row],[CustomerID]],Customers!A:A,Customers!E:E)</f>
        <v>Kuwaiti</v>
      </c>
      <c r="O549" s="2">
        <f>2026-_xlfn.XLOOKUP(Deals[[#This Row],[CustomerID]],Customers!A:A,Customers!D:D)</f>
        <v>46</v>
      </c>
      <c r="P549" s="2" t="str" cm="1">
        <f t="array" ref="P549">_xlfn.IFS(Deals[[#This Row],[Age]]&lt;30,"Under 30",Deals[[#This Row],[Age]]&lt;45,"30-44",TRUE,"45+")</f>
        <v>45+</v>
      </c>
      <c r="Q549" s="21">
        <f>IF(Deals[[#This Row],[Status]]="Pending","",Deals[[#This Row],[DecisionDate]]-Deals[[#This Row],[ApplicationDate]])</f>
        <v>5</v>
      </c>
      <c r="R549" s="21">
        <f>IF(Deals[[#This Row],[Status]]="Approved",1,0)</f>
        <v>1</v>
      </c>
      <c r="S549" s="21">
        <f>IF(Deals[[#This Row],[IsApproved]]=1,Deals[[#This Row],[Amount]],0)</f>
        <v>8800</v>
      </c>
      <c r="T549" s="21">
        <f>Deals[[#This Row],[ApprovedAmount]]*Deals[[#This Row],[ProfitRate]]</f>
        <v>365.20000000000005</v>
      </c>
    </row>
    <row r="550" spans="1:20">
      <c r="A550" s="2" t="s">
        <v>1044</v>
      </c>
      <c r="B550" s="3">
        <v>46145</v>
      </c>
      <c r="C550" s="2" t="s">
        <v>543</v>
      </c>
      <c r="D550" s="2" t="s">
        <v>71</v>
      </c>
      <c r="E550" s="2" t="s">
        <v>30</v>
      </c>
      <c r="F550" s="2" t="s">
        <v>3</v>
      </c>
      <c r="G550" s="4">
        <v>5800</v>
      </c>
      <c r="H550" s="5">
        <v>4.87E-2</v>
      </c>
      <c r="I550" s="2">
        <v>36</v>
      </c>
      <c r="J550" s="2" t="s">
        <v>101</v>
      </c>
      <c r="K550" s="2" t="s">
        <v>45</v>
      </c>
      <c r="L550" s="3">
        <v>46148</v>
      </c>
      <c r="M550" s="2" t="str">
        <f>_xlfn.XLOOKUP(Deals[[#This Row],[CustomerID]],Customers!A:A,Customers!F:F)</f>
        <v>Mass</v>
      </c>
      <c r="N550" s="2" t="str">
        <f>_xlfn.XLOOKUP(Deals[[#This Row],[CustomerID]],Customers!A:A,Customers!E:E)</f>
        <v>Kuwaiti</v>
      </c>
      <c r="O550" s="2">
        <f>2026-_xlfn.XLOOKUP(Deals[[#This Row],[CustomerID]],Customers!A:A,Customers!D:D)</f>
        <v>27</v>
      </c>
      <c r="P550" s="2" t="str" cm="1">
        <f t="array" ref="P550">_xlfn.IFS(Deals[[#This Row],[Age]]&lt;30,"Under 30",Deals[[#This Row],[Age]]&lt;45,"30-44",TRUE,"45+")</f>
        <v>Under 30</v>
      </c>
      <c r="Q550" s="21">
        <f>IF(Deals[[#This Row],[Status]]="Pending","",Deals[[#This Row],[DecisionDate]]-Deals[[#This Row],[ApplicationDate]])</f>
        <v>3</v>
      </c>
      <c r="R550" s="21">
        <f>IF(Deals[[#This Row],[Status]]="Approved",1,0)</f>
        <v>0</v>
      </c>
      <c r="S550" s="21">
        <f>IF(Deals[[#This Row],[IsApproved]]=1,Deals[[#This Row],[Amount]],0)</f>
        <v>0</v>
      </c>
      <c r="T550" s="21">
        <f>Deals[[#This Row],[ApprovedAmount]]*Deals[[#This Row],[ProfitRate]]</f>
        <v>0</v>
      </c>
    </row>
    <row r="551" spans="1:20">
      <c r="A551" s="2" t="s">
        <v>1045</v>
      </c>
      <c r="B551" s="3">
        <v>46145</v>
      </c>
      <c r="C551" s="2" t="s">
        <v>1046</v>
      </c>
      <c r="D551" s="2" t="s">
        <v>54</v>
      </c>
      <c r="E551" s="2" t="s">
        <v>21</v>
      </c>
      <c r="F551" s="2" t="s">
        <v>3</v>
      </c>
      <c r="G551" s="4">
        <v>242100</v>
      </c>
      <c r="H551" s="5">
        <v>3.3500000000000002E-2</v>
      </c>
      <c r="I551" s="2">
        <v>180</v>
      </c>
      <c r="J551" s="2" t="s">
        <v>56</v>
      </c>
      <c r="K551" s="2" t="s">
        <v>17</v>
      </c>
      <c r="L551" s="3">
        <v>46163</v>
      </c>
      <c r="M551" s="2" t="str">
        <f>_xlfn.XLOOKUP(Deals[[#This Row],[CustomerID]],Customers!A:A,Customers!F:F)</f>
        <v>Mass</v>
      </c>
      <c r="N551" s="2" t="str">
        <f>_xlfn.XLOOKUP(Deals[[#This Row],[CustomerID]],Customers!A:A,Customers!E:E)</f>
        <v>Non-Kuwaiti</v>
      </c>
      <c r="O551" s="2">
        <f>2026-_xlfn.XLOOKUP(Deals[[#This Row],[CustomerID]],Customers!A:A,Customers!D:D)</f>
        <v>29</v>
      </c>
      <c r="P551" s="2" t="str" cm="1">
        <f t="array" ref="P551">_xlfn.IFS(Deals[[#This Row],[Age]]&lt;30,"Under 30",Deals[[#This Row],[Age]]&lt;45,"30-44",TRUE,"45+")</f>
        <v>Under 30</v>
      </c>
      <c r="Q551" s="21">
        <f>IF(Deals[[#This Row],[Status]]="Pending","",Deals[[#This Row],[DecisionDate]]-Deals[[#This Row],[ApplicationDate]])</f>
        <v>18</v>
      </c>
      <c r="R551" s="21">
        <f>IF(Deals[[#This Row],[Status]]="Approved",1,0)</f>
        <v>1</v>
      </c>
      <c r="S551" s="21">
        <f>IF(Deals[[#This Row],[IsApproved]]=1,Deals[[#This Row],[Amount]],0)</f>
        <v>242100</v>
      </c>
      <c r="T551" s="21">
        <f>Deals[[#This Row],[ApprovedAmount]]*Deals[[#This Row],[ProfitRate]]</f>
        <v>8110.35</v>
      </c>
    </row>
    <row r="552" spans="1:20">
      <c r="A552" s="2" t="s">
        <v>1047</v>
      </c>
      <c r="B552" s="3">
        <v>46145</v>
      </c>
      <c r="C552" s="2" t="s">
        <v>1048</v>
      </c>
      <c r="D552" s="2" t="s">
        <v>29</v>
      </c>
      <c r="E552" s="2" t="s">
        <v>15</v>
      </c>
      <c r="F552" s="2" t="s">
        <v>3</v>
      </c>
      <c r="G552" s="4">
        <v>13000</v>
      </c>
      <c r="H552" s="5">
        <v>6.7799999999999999E-2</v>
      </c>
      <c r="I552" s="2">
        <v>48</v>
      </c>
      <c r="J552" s="2" t="s">
        <v>123</v>
      </c>
      <c r="K552" s="2" t="s">
        <v>17</v>
      </c>
      <c r="L552" s="3">
        <v>46148</v>
      </c>
      <c r="M552" s="2" t="str">
        <f>_xlfn.XLOOKUP(Deals[[#This Row],[CustomerID]],Customers!A:A,Customers!F:F)</f>
        <v>Mass</v>
      </c>
      <c r="N552" s="2" t="str">
        <f>_xlfn.XLOOKUP(Deals[[#This Row],[CustomerID]],Customers!A:A,Customers!E:E)</f>
        <v>Kuwaiti</v>
      </c>
      <c r="O552" s="2">
        <f>2026-_xlfn.XLOOKUP(Deals[[#This Row],[CustomerID]],Customers!A:A,Customers!D:D)</f>
        <v>51</v>
      </c>
      <c r="P552" s="2" t="str" cm="1">
        <f t="array" ref="P552">_xlfn.IFS(Deals[[#This Row],[Age]]&lt;30,"Under 30",Deals[[#This Row],[Age]]&lt;45,"30-44",TRUE,"45+")</f>
        <v>45+</v>
      </c>
      <c r="Q552" s="21">
        <f>IF(Deals[[#This Row],[Status]]="Pending","",Deals[[#This Row],[DecisionDate]]-Deals[[#This Row],[ApplicationDate]])</f>
        <v>3</v>
      </c>
      <c r="R552" s="21">
        <f>IF(Deals[[#This Row],[Status]]="Approved",1,0)</f>
        <v>1</v>
      </c>
      <c r="S552" s="21">
        <f>IF(Deals[[#This Row],[IsApproved]]=1,Deals[[#This Row],[Amount]],0)</f>
        <v>13000</v>
      </c>
      <c r="T552" s="21">
        <f>Deals[[#This Row],[ApprovedAmount]]*Deals[[#This Row],[ProfitRate]]</f>
        <v>881.4</v>
      </c>
    </row>
    <row r="553" spans="1:20">
      <c r="A553" s="2" t="s">
        <v>1049</v>
      </c>
      <c r="B553" s="3">
        <v>46145</v>
      </c>
      <c r="C553" s="2" t="s">
        <v>1020</v>
      </c>
      <c r="D553" s="2" t="s">
        <v>29</v>
      </c>
      <c r="E553" s="2" t="s">
        <v>30</v>
      </c>
      <c r="F553" s="2" t="s">
        <v>31</v>
      </c>
      <c r="G553" s="4">
        <v>6800</v>
      </c>
      <c r="H553" s="5">
        <v>0.04</v>
      </c>
      <c r="I553" s="2">
        <v>48</v>
      </c>
      <c r="J553" s="2" t="s">
        <v>32</v>
      </c>
      <c r="K553" s="2" t="s">
        <v>17</v>
      </c>
      <c r="L553" s="3">
        <v>46148</v>
      </c>
      <c r="M553" s="2" t="str">
        <f>_xlfn.XLOOKUP(Deals[[#This Row],[CustomerID]],Customers!A:A,Customers!F:F)</f>
        <v>Mass</v>
      </c>
      <c r="N553" s="2" t="str">
        <f>_xlfn.XLOOKUP(Deals[[#This Row],[CustomerID]],Customers!A:A,Customers!E:E)</f>
        <v>Kuwaiti</v>
      </c>
      <c r="O553" s="2">
        <f>2026-_xlfn.XLOOKUP(Deals[[#This Row],[CustomerID]],Customers!A:A,Customers!D:D)</f>
        <v>27</v>
      </c>
      <c r="P553" s="2" t="str" cm="1">
        <f t="array" ref="P553">_xlfn.IFS(Deals[[#This Row],[Age]]&lt;30,"Under 30",Deals[[#This Row],[Age]]&lt;45,"30-44",TRUE,"45+")</f>
        <v>Under 30</v>
      </c>
      <c r="Q553" s="21">
        <f>IF(Deals[[#This Row],[Status]]="Pending","",Deals[[#This Row],[DecisionDate]]-Deals[[#This Row],[ApplicationDate]])</f>
        <v>3</v>
      </c>
      <c r="R553" s="21">
        <f>IF(Deals[[#This Row],[Status]]="Approved",1,0)</f>
        <v>1</v>
      </c>
      <c r="S553" s="21">
        <f>IF(Deals[[#This Row],[IsApproved]]=1,Deals[[#This Row],[Amount]],0)</f>
        <v>6800</v>
      </c>
      <c r="T553" s="21">
        <f>Deals[[#This Row],[ApprovedAmount]]*Deals[[#This Row],[ProfitRate]]</f>
        <v>272</v>
      </c>
    </row>
    <row r="554" spans="1:20">
      <c r="A554" s="2" t="s">
        <v>1050</v>
      </c>
      <c r="B554" s="3">
        <v>46146</v>
      </c>
      <c r="C554" s="2" t="s">
        <v>666</v>
      </c>
      <c r="D554" s="2" t="s">
        <v>20</v>
      </c>
      <c r="E554" s="2" t="s">
        <v>21</v>
      </c>
      <c r="F554" s="2" t="s">
        <v>3</v>
      </c>
      <c r="G554" s="4">
        <v>149300</v>
      </c>
      <c r="H554" s="5">
        <v>3.6600000000000001E-2</v>
      </c>
      <c r="I554" s="2">
        <v>180</v>
      </c>
      <c r="J554" s="2" t="s">
        <v>44</v>
      </c>
      <c r="K554" s="2" t="s">
        <v>45</v>
      </c>
      <c r="L554" s="3">
        <v>46165</v>
      </c>
      <c r="M554" s="2" t="str">
        <f>_xlfn.XLOOKUP(Deals[[#This Row],[CustomerID]],Customers!A:A,Customers!F:F)</f>
        <v>Mass</v>
      </c>
      <c r="N554" s="2" t="str">
        <f>_xlfn.XLOOKUP(Deals[[#This Row],[CustomerID]],Customers!A:A,Customers!E:E)</f>
        <v>Kuwaiti</v>
      </c>
      <c r="O554" s="2">
        <f>2026-_xlfn.XLOOKUP(Deals[[#This Row],[CustomerID]],Customers!A:A,Customers!D:D)</f>
        <v>29</v>
      </c>
      <c r="P554" s="2" t="str" cm="1">
        <f t="array" ref="P554">_xlfn.IFS(Deals[[#This Row],[Age]]&lt;30,"Under 30",Deals[[#This Row],[Age]]&lt;45,"30-44",TRUE,"45+")</f>
        <v>Under 30</v>
      </c>
      <c r="Q554" s="21">
        <f>IF(Deals[[#This Row],[Status]]="Pending","",Deals[[#This Row],[DecisionDate]]-Deals[[#This Row],[ApplicationDate]])</f>
        <v>19</v>
      </c>
      <c r="R554" s="21">
        <f>IF(Deals[[#This Row],[Status]]="Approved",1,0)</f>
        <v>0</v>
      </c>
      <c r="S554" s="21">
        <f>IF(Deals[[#This Row],[IsApproved]]=1,Deals[[#This Row],[Amount]],0)</f>
        <v>0</v>
      </c>
      <c r="T554" s="21">
        <f>Deals[[#This Row],[ApprovedAmount]]*Deals[[#This Row],[ProfitRate]]</f>
        <v>0</v>
      </c>
    </row>
    <row r="555" spans="1:20">
      <c r="A555" s="2" t="s">
        <v>1051</v>
      </c>
      <c r="B555" s="3">
        <v>46146</v>
      </c>
      <c r="C555" s="2" t="s">
        <v>1052</v>
      </c>
      <c r="D555" s="2" t="s">
        <v>25</v>
      </c>
      <c r="E555" s="2" t="s">
        <v>30</v>
      </c>
      <c r="F555" s="2" t="s">
        <v>3</v>
      </c>
      <c r="G555" s="4">
        <v>5700</v>
      </c>
      <c r="H555" s="5">
        <v>4.4200000000000003E-2</v>
      </c>
      <c r="I555" s="2">
        <v>36</v>
      </c>
      <c r="J555" s="2" t="s">
        <v>181</v>
      </c>
      <c r="K555" s="2" t="s">
        <v>17</v>
      </c>
      <c r="L555" s="3">
        <v>46151</v>
      </c>
      <c r="M555" s="2" t="str">
        <f>_xlfn.XLOOKUP(Deals[[#This Row],[CustomerID]],Customers!A:A,Customers!F:F)</f>
        <v>Affluent</v>
      </c>
      <c r="N555" s="2" t="str">
        <f>_xlfn.XLOOKUP(Deals[[#This Row],[CustomerID]],Customers!A:A,Customers!E:E)</f>
        <v>Non-Kuwaiti</v>
      </c>
      <c r="O555" s="2">
        <f>2026-_xlfn.XLOOKUP(Deals[[#This Row],[CustomerID]],Customers!A:A,Customers!D:D)</f>
        <v>35</v>
      </c>
      <c r="P555" s="2" t="str" cm="1">
        <f t="array" ref="P555">_xlfn.IFS(Deals[[#This Row],[Age]]&lt;30,"Under 30",Deals[[#This Row],[Age]]&lt;45,"30-44",TRUE,"45+")</f>
        <v>30-44</v>
      </c>
      <c r="Q555" s="21">
        <f>IF(Deals[[#This Row],[Status]]="Pending","",Deals[[#This Row],[DecisionDate]]-Deals[[#This Row],[ApplicationDate]])</f>
        <v>5</v>
      </c>
      <c r="R555" s="21">
        <f>IF(Deals[[#This Row],[Status]]="Approved",1,0)</f>
        <v>1</v>
      </c>
      <c r="S555" s="21">
        <f>IF(Deals[[#This Row],[IsApproved]]=1,Deals[[#This Row],[Amount]],0)</f>
        <v>5700</v>
      </c>
      <c r="T555" s="21">
        <f>Deals[[#This Row],[ApprovedAmount]]*Deals[[#This Row],[ProfitRate]]</f>
        <v>251.94000000000003</v>
      </c>
    </row>
    <row r="556" spans="1:20">
      <c r="A556" s="2" t="s">
        <v>1053</v>
      </c>
      <c r="B556" s="3">
        <v>46146</v>
      </c>
      <c r="C556" s="2" t="s">
        <v>793</v>
      </c>
      <c r="D556" s="2" t="s">
        <v>14</v>
      </c>
      <c r="E556" s="2" t="s">
        <v>15</v>
      </c>
      <c r="F556" s="2" t="s">
        <v>31</v>
      </c>
      <c r="G556" s="4">
        <v>6000</v>
      </c>
      <c r="H556" s="5">
        <v>6.4100000000000004E-2</v>
      </c>
      <c r="I556" s="2">
        <v>12</v>
      </c>
      <c r="J556" s="2" t="s">
        <v>40</v>
      </c>
      <c r="K556" s="2" t="s">
        <v>17</v>
      </c>
      <c r="L556" s="3">
        <v>46146</v>
      </c>
      <c r="M556" s="2" t="str">
        <f>_xlfn.XLOOKUP(Deals[[#This Row],[CustomerID]],Customers!A:A,Customers!F:F)</f>
        <v>Mass</v>
      </c>
      <c r="N556" s="2" t="str">
        <f>_xlfn.XLOOKUP(Deals[[#This Row],[CustomerID]],Customers!A:A,Customers!E:E)</f>
        <v>Non-Kuwaiti</v>
      </c>
      <c r="O556" s="2">
        <f>2026-_xlfn.XLOOKUP(Deals[[#This Row],[CustomerID]],Customers!A:A,Customers!D:D)</f>
        <v>22</v>
      </c>
      <c r="P556" s="2" t="str" cm="1">
        <f t="array" ref="P556">_xlfn.IFS(Deals[[#This Row],[Age]]&lt;30,"Under 30",Deals[[#This Row],[Age]]&lt;45,"30-44",TRUE,"45+")</f>
        <v>Under 30</v>
      </c>
      <c r="Q556" s="21">
        <f>IF(Deals[[#This Row],[Status]]="Pending","",Deals[[#This Row],[DecisionDate]]-Deals[[#This Row],[ApplicationDate]])</f>
        <v>0</v>
      </c>
      <c r="R556" s="21">
        <f>IF(Deals[[#This Row],[Status]]="Approved",1,0)</f>
        <v>1</v>
      </c>
      <c r="S556" s="21">
        <f>IF(Deals[[#This Row],[IsApproved]]=1,Deals[[#This Row],[Amount]],0)</f>
        <v>6000</v>
      </c>
      <c r="T556" s="21">
        <f>Deals[[#This Row],[ApprovedAmount]]*Deals[[#This Row],[ProfitRate]]</f>
        <v>384.6</v>
      </c>
    </row>
    <row r="557" spans="1:20">
      <c r="A557" s="2" t="s">
        <v>1054</v>
      </c>
      <c r="B557" s="3">
        <v>46146</v>
      </c>
      <c r="C557" s="2" t="s">
        <v>1055</v>
      </c>
      <c r="D557" s="2" t="s">
        <v>71</v>
      </c>
      <c r="E557" s="2" t="s">
        <v>21</v>
      </c>
      <c r="F557" s="2" t="s">
        <v>3</v>
      </c>
      <c r="G557" s="4">
        <v>153000</v>
      </c>
      <c r="H557" s="5">
        <v>4.2200000000000001E-2</v>
      </c>
      <c r="I557" s="2">
        <v>120</v>
      </c>
      <c r="J557" s="2" t="s">
        <v>101</v>
      </c>
      <c r="K557" s="2" t="s">
        <v>17</v>
      </c>
      <c r="L557" s="3">
        <v>46167</v>
      </c>
      <c r="M557" s="2" t="str">
        <f>_xlfn.XLOOKUP(Deals[[#This Row],[CustomerID]],Customers!A:A,Customers!F:F)</f>
        <v>Mass</v>
      </c>
      <c r="N557" s="2" t="str">
        <f>_xlfn.XLOOKUP(Deals[[#This Row],[CustomerID]],Customers!A:A,Customers!E:E)</f>
        <v>Kuwaiti</v>
      </c>
      <c r="O557" s="2">
        <f>2026-_xlfn.XLOOKUP(Deals[[#This Row],[CustomerID]],Customers!A:A,Customers!D:D)</f>
        <v>36</v>
      </c>
      <c r="P557" s="2" t="str" cm="1">
        <f t="array" ref="P557">_xlfn.IFS(Deals[[#This Row],[Age]]&lt;30,"Under 30",Deals[[#This Row],[Age]]&lt;45,"30-44",TRUE,"45+")</f>
        <v>30-44</v>
      </c>
      <c r="Q557" s="21">
        <f>IF(Deals[[#This Row],[Status]]="Pending","",Deals[[#This Row],[DecisionDate]]-Deals[[#This Row],[ApplicationDate]])</f>
        <v>21</v>
      </c>
      <c r="R557" s="21">
        <f>IF(Deals[[#This Row],[Status]]="Approved",1,0)</f>
        <v>1</v>
      </c>
      <c r="S557" s="21">
        <f>IF(Deals[[#This Row],[IsApproved]]=1,Deals[[#This Row],[Amount]],0)</f>
        <v>153000</v>
      </c>
      <c r="T557" s="21">
        <f>Deals[[#This Row],[ApprovedAmount]]*Deals[[#This Row],[ProfitRate]]</f>
        <v>6456.6</v>
      </c>
    </row>
    <row r="558" spans="1:20">
      <c r="A558" s="2" t="s">
        <v>1056</v>
      </c>
      <c r="B558" s="3">
        <v>46146</v>
      </c>
      <c r="C558" s="2" t="s">
        <v>888</v>
      </c>
      <c r="D558" s="2" t="s">
        <v>54</v>
      </c>
      <c r="E558" s="2" t="s">
        <v>43</v>
      </c>
      <c r="F558" s="2" t="s">
        <v>3</v>
      </c>
      <c r="G558" s="4">
        <v>47900</v>
      </c>
      <c r="H558" s="5">
        <v>7.7399999999999997E-2</v>
      </c>
      <c r="I558" s="2">
        <v>24</v>
      </c>
      <c r="J558" s="2" t="s">
        <v>56</v>
      </c>
      <c r="K558" s="2" t="s">
        <v>17</v>
      </c>
      <c r="L558" s="3">
        <v>46160</v>
      </c>
      <c r="M558" s="2" t="str">
        <f>_xlfn.XLOOKUP(Deals[[#This Row],[CustomerID]],Customers!A:A,Customers!F:F)</f>
        <v>Affluent</v>
      </c>
      <c r="N558" s="2" t="str">
        <f>_xlfn.XLOOKUP(Deals[[#This Row],[CustomerID]],Customers!A:A,Customers!E:E)</f>
        <v>Kuwaiti</v>
      </c>
      <c r="O558" s="2">
        <f>2026-_xlfn.XLOOKUP(Deals[[#This Row],[CustomerID]],Customers!A:A,Customers!D:D)</f>
        <v>24</v>
      </c>
      <c r="P558" s="2" t="str" cm="1">
        <f t="array" ref="P558">_xlfn.IFS(Deals[[#This Row],[Age]]&lt;30,"Under 30",Deals[[#This Row],[Age]]&lt;45,"30-44",TRUE,"45+")</f>
        <v>Under 30</v>
      </c>
      <c r="Q558" s="21">
        <f>IF(Deals[[#This Row],[Status]]="Pending","",Deals[[#This Row],[DecisionDate]]-Deals[[#This Row],[ApplicationDate]])</f>
        <v>14</v>
      </c>
      <c r="R558" s="21">
        <f>IF(Deals[[#This Row],[Status]]="Approved",1,0)</f>
        <v>1</v>
      </c>
      <c r="S558" s="21">
        <f>IF(Deals[[#This Row],[IsApproved]]=1,Deals[[#This Row],[Amount]],0)</f>
        <v>47900</v>
      </c>
      <c r="T558" s="21">
        <f>Deals[[#This Row],[ApprovedAmount]]*Deals[[#This Row],[ProfitRate]]</f>
        <v>3707.46</v>
      </c>
    </row>
    <row r="559" spans="1:20">
      <c r="A559" s="2" t="s">
        <v>1057</v>
      </c>
      <c r="B559" s="3">
        <v>46146</v>
      </c>
      <c r="C559" s="2" t="s">
        <v>1058</v>
      </c>
      <c r="D559" s="2" t="s">
        <v>25</v>
      </c>
      <c r="E559" s="2" t="s">
        <v>30</v>
      </c>
      <c r="F559" s="2" t="s">
        <v>31</v>
      </c>
      <c r="G559" s="4">
        <v>6200</v>
      </c>
      <c r="H559" s="5">
        <v>4.0899999999999999E-2</v>
      </c>
      <c r="I559" s="2">
        <v>36</v>
      </c>
      <c r="J559" s="2" t="s">
        <v>66</v>
      </c>
      <c r="K559" s="2" t="s">
        <v>17</v>
      </c>
      <c r="L559" s="3">
        <v>46147</v>
      </c>
      <c r="M559" s="2" t="str">
        <f>_xlfn.XLOOKUP(Deals[[#This Row],[CustomerID]],Customers!A:A,Customers!F:F)</f>
        <v>Mass</v>
      </c>
      <c r="N559" s="2" t="str">
        <f>_xlfn.XLOOKUP(Deals[[#This Row],[CustomerID]],Customers!A:A,Customers!E:E)</f>
        <v>Kuwaiti</v>
      </c>
      <c r="O559" s="2">
        <f>2026-_xlfn.XLOOKUP(Deals[[#This Row],[CustomerID]],Customers!A:A,Customers!D:D)</f>
        <v>44</v>
      </c>
      <c r="P559" s="2" t="str" cm="1">
        <f t="array" ref="P559">_xlfn.IFS(Deals[[#This Row],[Age]]&lt;30,"Under 30",Deals[[#This Row],[Age]]&lt;45,"30-44",TRUE,"45+")</f>
        <v>30-44</v>
      </c>
      <c r="Q559" s="21">
        <f>IF(Deals[[#This Row],[Status]]="Pending","",Deals[[#This Row],[DecisionDate]]-Deals[[#This Row],[ApplicationDate]])</f>
        <v>1</v>
      </c>
      <c r="R559" s="21">
        <f>IF(Deals[[#This Row],[Status]]="Approved",1,0)</f>
        <v>1</v>
      </c>
      <c r="S559" s="21">
        <f>IF(Deals[[#This Row],[IsApproved]]=1,Deals[[#This Row],[Amount]],0)</f>
        <v>6200</v>
      </c>
      <c r="T559" s="21">
        <f>Deals[[#This Row],[ApprovedAmount]]*Deals[[#This Row],[ProfitRate]]</f>
        <v>253.57999999999998</v>
      </c>
    </row>
    <row r="560" spans="1:20">
      <c r="A560" s="2" t="s">
        <v>1059</v>
      </c>
      <c r="B560" s="3">
        <v>46146</v>
      </c>
      <c r="C560" s="2" t="s">
        <v>1060</v>
      </c>
      <c r="D560" s="2" t="s">
        <v>20</v>
      </c>
      <c r="E560" s="2" t="s">
        <v>30</v>
      </c>
      <c r="F560" s="2" t="s">
        <v>31</v>
      </c>
      <c r="G560" s="4">
        <v>14100</v>
      </c>
      <c r="H560" s="5">
        <v>4.3900000000000002E-2</v>
      </c>
      <c r="I560" s="2">
        <v>36</v>
      </c>
      <c r="J560" s="2" t="s">
        <v>44</v>
      </c>
      <c r="K560" s="2" t="s">
        <v>17</v>
      </c>
      <c r="L560" s="3">
        <v>46149</v>
      </c>
      <c r="M560" s="2" t="str">
        <f>_xlfn.XLOOKUP(Deals[[#This Row],[CustomerID]],Customers!A:A,Customers!F:F)</f>
        <v>Mass</v>
      </c>
      <c r="N560" s="2" t="str">
        <f>_xlfn.XLOOKUP(Deals[[#This Row],[CustomerID]],Customers!A:A,Customers!E:E)</f>
        <v>Non-Kuwaiti</v>
      </c>
      <c r="O560" s="2">
        <f>2026-_xlfn.XLOOKUP(Deals[[#This Row],[CustomerID]],Customers!A:A,Customers!D:D)</f>
        <v>43</v>
      </c>
      <c r="P560" s="2" t="str" cm="1">
        <f t="array" ref="P560">_xlfn.IFS(Deals[[#This Row],[Age]]&lt;30,"Under 30",Deals[[#This Row],[Age]]&lt;45,"30-44",TRUE,"45+")</f>
        <v>30-44</v>
      </c>
      <c r="Q560" s="21">
        <f>IF(Deals[[#This Row],[Status]]="Pending","",Deals[[#This Row],[DecisionDate]]-Deals[[#This Row],[ApplicationDate]])</f>
        <v>3</v>
      </c>
      <c r="R560" s="21">
        <f>IF(Deals[[#This Row],[Status]]="Approved",1,0)</f>
        <v>1</v>
      </c>
      <c r="S560" s="21">
        <f>IF(Deals[[#This Row],[IsApproved]]=1,Deals[[#This Row],[Amount]],0)</f>
        <v>14100</v>
      </c>
      <c r="T560" s="21">
        <f>Deals[[#This Row],[ApprovedAmount]]*Deals[[#This Row],[ProfitRate]]</f>
        <v>618.99</v>
      </c>
    </row>
    <row r="561" spans="1:20">
      <c r="A561" s="2" t="s">
        <v>1061</v>
      </c>
      <c r="B561" s="3">
        <v>46146</v>
      </c>
      <c r="C561" s="2" t="s">
        <v>1060</v>
      </c>
      <c r="D561" s="2" t="s">
        <v>20</v>
      </c>
      <c r="E561" s="2" t="s">
        <v>21</v>
      </c>
      <c r="F561" s="2" t="s">
        <v>3</v>
      </c>
      <c r="G561" s="4">
        <v>224100</v>
      </c>
      <c r="H561" s="5">
        <v>3.3300000000000003E-2</v>
      </c>
      <c r="I561" s="2">
        <v>180</v>
      </c>
      <c r="J561" s="2" t="s">
        <v>44</v>
      </c>
      <c r="K561" s="2" t="s">
        <v>45</v>
      </c>
      <c r="L561" s="3">
        <v>46156</v>
      </c>
      <c r="M561" s="2" t="str">
        <f>_xlfn.XLOOKUP(Deals[[#This Row],[CustomerID]],Customers!A:A,Customers!F:F)</f>
        <v>Mass</v>
      </c>
      <c r="N561" s="2" t="str">
        <f>_xlfn.XLOOKUP(Deals[[#This Row],[CustomerID]],Customers!A:A,Customers!E:E)</f>
        <v>Non-Kuwaiti</v>
      </c>
      <c r="O561" s="2">
        <f>2026-_xlfn.XLOOKUP(Deals[[#This Row],[CustomerID]],Customers!A:A,Customers!D:D)</f>
        <v>43</v>
      </c>
      <c r="P561" s="2" t="str" cm="1">
        <f t="array" ref="P561">_xlfn.IFS(Deals[[#This Row],[Age]]&lt;30,"Under 30",Deals[[#This Row],[Age]]&lt;45,"30-44",TRUE,"45+")</f>
        <v>30-44</v>
      </c>
      <c r="Q561" s="21">
        <f>IF(Deals[[#This Row],[Status]]="Pending","",Deals[[#This Row],[DecisionDate]]-Deals[[#This Row],[ApplicationDate]])</f>
        <v>10</v>
      </c>
      <c r="R561" s="21">
        <f>IF(Deals[[#This Row],[Status]]="Approved",1,0)</f>
        <v>0</v>
      </c>
      <c r="S561" s="21">
        <f>IF(Deals[[#This Row],[IsApproved]]=1,Deals[[#This Row],[Amount]],0)</f>
        <v>0</v>
      </c>
      <c r="T561" s="21">
        <f>Deals[[#This Row],[ApprovedAmount]]*Deals[[#This Row],[ProfitRate]]</f>
        <v>0</v>
      </c>
    </row>
    <row r="562" spans="1:20">
      <c r="A562" s="2" t="s">
        <v>1062</v>
      </c>
      <c r="B562" s="3">
        <v>46147</v>
      </c>
      <c r="C562" s="2" t="s">
        <v>1063</v>
      </c>
      <c r="D562" s="2" t="s">
        <v>29</v>
      </c>
      <c r="E562" s="2" t="s">
        <v>30</v>
      </c>
      <c r="F562" s="2" t="s">
        <v>31</v>
      </c>
      <c r="G562" s="4">
        <v>15500</v>
      </c>
      <c r="H562" s="5">
        <v>4.6600000000000003E-2</v>
      </c>
      <c r="I562" s="2">
        <v>36</v>
      </c>
      <c r="J562" s="2" t="s">
        <v>123</v>
      </c>
      <c r="K562" s="2" t="s">
        <v>17</v>
      </c>
      <c r="L562" s="3">
        <v>46148</v>
      </c>
      <c r="M562" s="2" t="str">
        <f>_xlfn.XLOOKUP(Deals[[#This Row],[CustomerID]],Customers!A:A,Customers!F:F)</f>
        <v>Affluent</v>
      </c>
      <c r="N562" s="2" t="str">
        <f>_xlfn.XLOOKUP(Deals[[#This Row],[CustomerID]],Customers!A:A,Customers!E:E)</f>
        <v>Kuwaiti</v>
      </c>
      <c r="O562" s="2">
        <f>2026-_xlfn.XLOOKUP(Deals[[#This Row],[CustomerID]],Customers!A:A,Customers!D:D)</f>
        <v>46</v>
      </c>
      <c r="P562" s="2" t="str" cm="1">
        <f t="array" ref="P562">_xlfn.IFS(Deals[[#This Row],[Age]]&lt;30,"Under 30",Deals[[#This Row],[Age]]&lt;45,"30-44",TRUE,"45+")</f>
        <v>45+</v>
      </c>
      <c r="Q562" s="21">
        <f>IF(Deals[[#This Row],[Status]]="Pending","",Deals[[#This Row],[DecisionDate]]-Deals[[#This Row],[ApplicationDate]])</f>
        <v>1</v>
      </c>
      <c r="R562" s="21">
        <f>IF(Deals[[#This Row],[Status]]="Approved",1,0)</f>
        <v>1</v>
      </c>
      <c r="S562" s="21">
        <f>IF(Deals[[#This Row],[IsApproved]]=1,Deals[[#This Row],[Amount]],0)</f>
        <v>15500</v>
      </c>
      <c r="T562" s="21">
        <f>Deals[[#This Row],[ApprovedAmount]]*Deals[[#This Row],[ProfitRate]]</f>
        <v>722.30000000000007</v>
      </c>
    </row>
    <row r="563" spans="1:20">
      <c r="A563" s="2" t="s">
        <v>1064</v>
      </c>
      <c r="B563" s="3">
        <v>46147</v>
      </c>
      <c r="C563" s="2" t="s">
        <v>1065</v>
      </c>
      <c r="D563" s="2" t="s">
        <v>25</v>
      </c>
      <c r="E563" s="2" t="s">
        <v>30</v>
      </c>
      <c r="F563" s="2" t="s">
        <v>55</v>
      </c>
      <c r="G563" s="4">
        <v>13300</v>
      </c>
      <c r="H563" s="5">
        <v>4.6800000000000001E-2</v>
      </c>
      <c r="I563" s="2">
        <v>36</v>
      </c>
      <c r="J563" s="2" t="s">
        <v>66</v>
      </c>
      <c r="K563" s="2" t="s">
        <v>17</v>
      </c>
      <c r="L563" s="3">
        <v>46150</v>
      </c>
      <c r="M563" s="2" t="str">
        <f>_xlfn.XLOOKUP(Deals[[#This Row],[CustomerID]],Customers!A:A,Customers!F:F)</f>
        <v>Mass</v>
      </c>
      <c r="N563" s="2" t="str">
        <f>_xlfn.XLOOKUP(Deals[[#This Row],[CustomerID]],Customers!A:A,Customers!E:E)</f>
        <v>Kuwaiti</v>
      </c>
      <c r="O563" s="2">
        <f>2026-_xlfn.XLOOKUP(Deals[[#This Row],[CustomerID]],Customers!A:A,Customers!D:D)</f>
        <v>56</v>
      </c>
      <c r="P563" s="2" t="str" cm="1">
        <f t="array" ref="P563">_xlfn.IFS(Deals[[#This Row],[Age]]&lt;30,"Under 30",Deals[[#This Row],[Age]]&lt;45,"30-44",TRUE,"45+")</f>
        <v>45+</v>
      </c>
      <c r="Q563" s="21">
        <f>IF(Deals[[#This Row],[Status]]="Pending","",Deals[[#This Row],[DecisionDate]]-Deals[[#This Row],[ApplicationDate]])</f>
        <v>3</v>
      </c>
      <c r="R563" s="21">
        <f>IF(Deals[[#This Row],[Status]]="Approved",1,0)</f>
        <v>1</v>
      </c>
      <c r="S563" s="21">
        <f>IF(Deals[[#This Row],[IsApproved]]=1,Deals[[#This Row],[Amount]],0)</f>
        <v>13300</v>
      </c>
      <c r="T563" s="21">
        <f>Deals[[#This Row],[ApprovedAmount]]*Deals[[#This Row],[ProfitRate]]</f>
        <v>622.44000000000005</v>
      </c>
    </row>
    <row r="564" spans="1:20">
      <c r="A564" s="2" t="s">
        <v>1067</v>
      </c>
      <c r="B564" s="3">
        <v>46148</v>
      </c>
      <c r="C564" s="2" t="s">
        <v>1068</v>
      </c>
      <c r="D564" s="2" t="s">
        <v>14</v>
      </c>
      <c r="E564" s="2" t="s">
        <v>21</v>
      </c>
      <c r="F564" s="2" t="s">
        <v>3</v>
      </c>
      <c r="G564" s="4">
        <v>290400</v>
      </c>
      <c r="H564" s="5">
        <v>3.3500000000000002E-2</v>
      </c>
      <c r="I564" s="2">
        <v>300</v>
      </c>
      <c r="J564" s="2" t="s">
        <v>16</v>
      </c>
      <c r="K564" s="2" t="s">
        <v>17</v>
      </c>
      <c r="L564" s="3">
        <v>46167</v>
      </c>
      <c r="M564" s="2" t="str">
        <f>_xlfn.XLOOKUP(Deals[[#This Row],[CustomerID]],Customers!A:A,Customers!F:F)</f>
        <v>Premium</v>
      </c>
      <c r="N564" s="2" t="str">
        <f>_xlfn.XLOOKUP(Deals[[#This Row],[CustomerID]],Customers!A:A,Customers!E:E)</f>
        <v>Kuwaiti</v>
      </c>
      <c r="O564" s="2">
        <f>2026-_xlfn.XLOOKUP(Deals[[#This Row],[CustomerID]],Customers!A:A,Customers!D:D)</f>
        <v>45</v>
      </c>
      <c r="P564" s="2" t="str" cm="1">
        <f t="array" ref="P564">_xlfn.IFS(Deals[[#This Row],[Age]]&lt;30,"Under 30",Deals[[#This Row],[Age]]&lt;45,"30-44",TRUE,"45+")</f>
        <v>45+</v>
      </c>
      <c r="Q564" s="21">
        <f>IF(Deals[[#This Row],[Status]]="Pending","",Deals[[#This Row],[DecisionDate]]-Deals[[#This Row],[ApplicationDate]])</f>
        <v>19</v>
      </c>
      <c r="R564" s="21">
        <f>IF(Deals[[#This Row],[Status]]="Approved",1,0)</f>
        <v>1</v>
      </c>
      <c r="S564" s="21">
        <f>IF(Deals[[#This Row],[IsApproved]]=1,Deals[[#This Row],[Amount]],0)</f>
        <v>290400</v>
      </c>
      <c r="T564" s="21">
        <f>Deals[[#This Row],[ApprovedAmount]]*Deals[[#This Row],[ProfitRate]]</f>
        <v>9728.4000000000015</v>
      </c>
    </row>
    <row r="565" spans="1:20">
      <c r="A565" s="2" t="s">
        <v>1069</v>
      </c>
      <c r="B565" s="3">
        <v>46148</v>
      </c>
      <c r="C565" s="2" t="s">
        <v>1070</v>
      </c>
      <c r="D565" s="2" t="s">
        <v>29</v>
      </c>
      <c r="E565" s="2" t="s">
        <v>15</v>
      </c>
      <c r="F565" s="2" t="s">
        <v>3</v>
      </c>
      <c r="G565" s="4">
        <v>11600</v>
      </c>
      <c r="H565" s="5">
        <v>5.0500000000000003E-2</v>
      </c>
      <c r="I565" s="2">
        <v>12</v>
      </c>
      <c r="J565" s="2" t="s">
        <v>32</v>
      </c>
      <c r="K565" s="2" t="s">
        <v>17</v>
      </c>
      <c r="L565" s="3">
        <v>46153</v>
      </c>
      <c r="M565" s="2" t="str">
        <f>_xlfn.XLOOKUP(Deals[[#This Row],[CustomerID]],Customers!A:A,Customers!F:F)</f>
        <v>Premium</v>
      </c>
      <c r="N565" s="2" t="str">
        <f>_xlfn.XLOOKUP(Deals[[#This Row],[CustomerID]],Customers!A:A,Customers!E:E)</f>
        <v>Non-Kuwaiti</v>
      </c>
      <c r="O565" s="2">
        <f>2026-_xlfn.XLOOKUP(Deals[[#This Row],[CustomerID]],Customers!A:A,Customers!D:D)</f>
        <v>54</v>
      </c>
      <c r="P565" s="2" t="str" cm="1">
        <f t="array" ref="P565">_xlfn.IFS(Deals[[#This Row],[Age]]&lt;30,"Under 30",Deals[[#This Row],[Age]]&lt;45,"30-44",TRUE,"45+")</f>
        <v>45+</v>
      </c>
      <c r="Q565" s="21">
        <f>IF(Deals[[#This Row],[Status]]="Pending","",Deals[[#This Row],[DecisionDate]]-Deals[[#This Row],[ApplicationDate]])</f>
        <v>5</v>
      </c>
      <c r="R565" s="21">
        <f>IF(Deals[[#This Row],[Status]]="Approved",1,0)</f>
        <v>1</v>
      </c>
      <c r="S565" s="21">
        <f>IF(Deals[[#This Row],[IsApproved]]=1,Deals[[#This Row],[Amount]],0)</f>
        <v>11600</v>
      </c>
      <c r="T565" s="21">
        <f>Deals[[#This Row],[ApprovedAmount]]*Deals[[#This Row],[ProfitRate]]</f>
        <v>585.80000000000007</v>
      </c>
    </row>
    <row r="566" spans="1:20">
      <c r="A566" s="2" t="s">
        <v>1071</v>
      </c>
      <c r="B566" s="3">
        <v>46148</v>
      </c>
      <c r="C566" s="2" t="s">
        <v>1072</v>
      </c>
      <c r="D566" s="2" t="s">
        <v>29</v>
      </c>
      <c r="E566" s="2" t="s">
        <v>21</v>
      </c>
      <c r="F566" s="2" t="s">
        <v>3</v>
      </c>
      <c r="G566" s="4">
        <v>81700</v>
      </c>
      <c r="H566" s="5">
        <v>3.9E-2</v>
      </c>
      <c r="I566" s="2">
        <v>120</v>
      </c>
      <c r="J566" s="2" t="s">
        <v>32</v>
      </c>
      <c r="K566" s="2" t="s">
        <v>17</v>
      </c>
      <c r="L566" s="3">
        <v>46165</v>
      </c>
      <c r="M566" s="2" t="str">
        <f>_xlfn.XLOOKUP(Deals[[#This Row],[CustomerID]],Customers!A:A,Customers!F:F)</f>
        <v>Mass</v>
      </c>
      <c r="N566" s="2" t="str">
        <f>_xlfn.XLOOKUP(Deals[[#This Row],[CustomerID]],Customers!A:A,Customers!E:E)</f>
        <v>Kuwaiti</v>
      </c>
      <c r="O566" s="2">
        <f>2026-_xlfn.XLOOKUP(Deals[[#This Row],[CustomerID]],Customers!A:A,Customers!D:D)</f>
        <v>64</v>
      </c>
      <c r="P566" s="2" t="str" cm="1">
        <f t="array" ref="P566">_xlfn.IFS(Deals[[#This Row],[Age]]&lt;30,"Under 30",Deals[[#This Row],[Age]]&lt;45,"30-44",TRUE,"45+")</f>
        <v>45+</v>
      </c>
      <c r="Q566" s="21">
        <f>IF(Deals[[#This Row],[Status]]="Pending","",Deals[[#This Row],[DecisionDate]]-Deals[[#This Row],[ApplicationDate]])</f>
        <v>17</v>
      </c>
      <c r="R566" s="21">
        <f>IF(Deals[[#This Row],[Status]]="Approved",1,0)</f>
        <v>1</v>
      </c>
      <c r="S566" s="21">
        <f>IF(Deals[[#This Row],[IsApproved]]=1,Deals[[#This Row],[Amount]],0)</f>
        <v>81700</v>
      </c>
      <c r="T566" s="21">
        <f>Deals[[#This Row],[ApprovedAmount]]*Deals[[#This Row],[ProfitRate]]</f>
        <v>3186.3</v>
      </c>
    </row>
    <row r="567" spans="1:20">
      <c r="A567" s="2" t="s">
        <v>1073</v>
      </c>
      <c r="B567" s="3">
        <v>46148</v>
      </c>
      <c r="C567" s="2" t="s">
        <v>131</v>
      </c>
      <c r="D567" s="2" t="s">
        <v>14</v>
      </c>
      <c r="E567" s="2" t="s">
        <v>15</v>
      </c>
      <c r="F567" s="2" t="s">
        <v>3</v>
      </c>
      <c r="G567" s="4">
        <v>25000</v>
      </c>
      <c r="H567" s="5">
        <v>6.2E-2</v>
      </c>
      <c r="I567" s="2">
        <v>24</v>
      </c>
      <c r="J567" s="2" t="s">
        <v>16</v>
      </c>
      <c r="K567" s="2" t="s">
        <v>17</v>
      </c>
      <c r="L567" s="3">
        <v>46152</v>
      </c>
      <c r="M567" s="2" t="str">
        <f>_xlfn.XLOOKUP(Deals[[#This Row],[CustomerID]],Customers!A:A,Customers!F:F)</f>
        <v>Affluent</v>
      </c>
      <c r="N567" s="2" t="str">
        <f>_xlfn.XLOOKUP(Deals[[#This Row],[CustomerID]],Customers!A:A,Customers!E:E)</f>
        <v>Kuwaiti</v>
      </c>
      <c r="O567" s="2">
        <f>2026-_xlfn.XLOOKUP(Deals[[#This Row],[CustomerID]],Customers!A:A,Customers!D:D)</f>
        <v>49</v>
      </c>
      <c r="P567" s="2" t="str" cm="1">
        <f t="array" ref="P567">_xlfn.IFS(Deals[[#This Row],[Age]]&lt;30,"Under 30",Deals[[#This Row],[Age]]&lt;45,"30-44",TRUE,"45+")</f>
        <v>45+</v>
      </c>
      <c r="Q567" s="21">
        <f>IF(Deals[[#This Row],[Status]]="Pending","",Deals[[#This Row],[DecisionDate]]-Deals[[#This Row],[ApplicationDate]])</f>
        <v>4</v>
      </c>
      <c r="R567" s="21">
        <f>IF(Deals[[#This Row],[Status]]="Approved",1,0)</f>
        <v>1</v>
      </c>
      <c r="S567" s="21">
        <f>IF(Deals[[#This Row],[IsApproved]]=1,Deals[[#This Row],[Amount]],0)</f>
        <v>25000</v>
      </c>
      <c r="T567" s="21">
        <f>Deals[[#This Row],[ApprovedAmount]]*Deals[[#This Row],[ProfitRate]]</f>
        <v>1550</v>
      </c>
    </row>
    <row r="568" spans="1:20">
      <c r="A568" s="2" t="s">
        <v>1074</v>
      </c>
      <c r="B568" s="3">
        <v>46148</v>
      </c>
      <c r="C568" s="2" t="s">
        <v>1075</v>
      </c>
      <c r="D568" s="2" t="s">
        <v>54</v>
      </c>
      <c r="E568" s="2" t="s">
        <v>30</v>
      </c>
      <c r="F568" s="2" t="s">
        <v>3</v>
      </c>
      <c r="G568" s="4">
        <v>7700</v>
      </c>
      <c r="H568" s="5">
        <v>4.3200000000000002E-2</v>
      </c>
      <c r="I568" s="2">
        <v>60</v>
      </c>
      <c r="J568" s="2" t="s">
        <v>56</v>
      </c>
      <c r="K568" s="2" t="s">
        <v>17</v>
      </c>
      <c r="L568" s="3">
        <v>46151</v>
      </c>
      <c r="M568" s="2" t="str">
        <f>_xlfn.XLOOKUP(Deals[[#This Row],[CustomerID]],Customers!A:A,Customers!F:F)</f>
        <v>Affluent</v>
      </c>
      <c r="N568" s="2" t="str">
        <f>_xlfn.XLOOKUP(Deals[[#This Row],[CustomerID]],Customers!A:A,Customers!E:E)</f>
        <v>Non-Kuwaiti</v>
      </c>
      <c r="O568" s="2">
        <f>2026-_xlfn.XLOOKUP(Deals[[#This Row],[CustomerID]],Customers!A:A,Customers!D:D)</f>
        <v>37</v>
      </c>
      <c r="P568" s="2" t="str" cm="1">
        <f t="array" ref="P568">_xlfn.IFS(Deals[[#This Row],[Age]]&lt;30,"Under 30",Deals[[#This Row],[Age]]&lt;45,"30-44",TRUE,"45+")</f>
        <v>30-44</v>
      </c>
      <c r="Q568" s="21">
        <f>IF(Deals[[#This Row],[Status]]="Pending","",Deals[[#This Row],[DecisionDate]]-Deals[[#This Row],[ApplicationDate]])</f>
        <v>3</v>
      </c>
      <c r="R568" s="21">
        <f>IF(Deals[[#This Row],[Status]]="Approved",1,0)</f>
        <v>1</v>
      </c>
      <c r="S568" s="21">
        <f>IF(Deals[[#This Row],[IsApproved]]=1,Deals[[#This Row],[Amount]],0)</f>
        <v>7700</v>
      </c>
      <c r="T568" s="21">
        <f>Deals[[#This Row],[ApprovedAmount]]*Deals[[#This Row],[ProfitRate]]</f>
        <v>332.64000000000004</v>
      </c>
    </row>
    <row r="569" spans="1:20">
      <c r="A569" s="2" t="s">
        <v>1076</v>
      </c>
      <c r="B569" s="3">
        <v>46148</v>
      </c>
      <c r="C569" s="2" t="s">
        <v>1077</v>
      </c>
      <c r="D569" s="2" t="s">
        <v>54</v>
      </c>
      <c r="E569" s="2" t="s">
        <v>30</v>
      </c>
      <c r="F569" s="2" t="s">
        <v>31</v>
      </c>
      <c r="G569" s="4">
        <v>4800</v>
      </c>
      <c r="H569" s="5">
        <v>3.78E-2</v>
      </c>
      <c r="I569" s="2">
        <v>60</v>
      </c>
      <c r="J569" s="2" t="s">
        <v>186</v>
      </c>
      <c r="K569" s="2" t="s">
        <v>17</v>
      </c>
      <c r="L569" s="3">
        <v>46149</v>
      </c>
      <c r="M569" s="2" t="str">
        <f>_xlfn.XLOOKUP(Deals[[#This Row],[CustomerID]],Customers!A:A,Customers!F:F)</f>
        <v>Mass</v>
      </c>
      <c r="N569" s="2" t="str">
        <f>_xlfn.XLOOKUP(Deals[[#This Row],[CustomerID]],Customers!A:A,Customers!E:E)</f>
        <v>Kuwaiti</v>
      </c>
      <c r="O569" s="2">
        <f>2026-_xlfn.XLOOKUP(Deals[[#This Row],[CustomerID]],Customers!A:A,Customers!D:D)</f>
        <v>63</v>
      </c>
      <c r="P569" s="2" t="str" cm="1">
        <f t="array" ref="P569">_xlfn.IFS(Deals[[#This Row],[Age]]&lt;30,"Under 30",Deals[[#This Row],[Age]]&lt;45,"30-44",TRUE,"45+")</f>
        <v>45+</v>
      </c>
      <c r="Q569" s="21">
        <f>IF(Deals[[#This Row],[Status]]="Pending","",Deals[[#This Row],[DecisionDate]]-Deals[[#This Row],[ApplicationDate]])</f>
        <v>1</v>
      </c>
      <c r="R569" s="21">
        <f>IF(Deals[[#This Row],[Status]]="Approved",1,0)</f>
        <v>1</v>
      </c>
      <c r="S569" s="21">
        <f>IF(Deals[[#This Row],[IsApproved]]=1,Deals[[#This Row],[Amount]],0)</f>
        <v>4800</v>
      </c>
      <c r="T569" s="21">
        <f>Deals[[#This Row],[ApprovedAmount]]*Deals[[#This Row],[ProfitRate]]</f>
        <v>181.44</v>
      </c>
    </row>
    <row r="570" spans="1:20">
      <c r="A570" s="2" t="s">
        <v>1078</v>
      </c>
      <c r="B570" s="3">
        <v>46148</v>
      </c>
      <c r="C570" s="2" t="s">
        <v>1079</v>
      </c>
      <c r="D570" s="2" t="s">
        <v>54</v>
      </c>
      <c r="E570" s="2" t="s">
        <v>30</v>
      </c>
      <c r="F570" s="2" t="s">
        <v>31</v>
      </c>
      <c r="G570" s="4">
        <v>6700</v>
      </c>
      <c r="H570" s="5">
        <v>4.9200000000000001E-2</v>
      </c>
      <c r="I570" s="2">
        <v>36</v>
      </c>
      <c r="J570" s="2" t="s">
        <v>148</v>
      </c>
      <c r="K570" s="2" t="s">
        <v>17</v>
      </c>
      <c r="L570" s="3">
        <v>46152</v>
      </c>
      <c r="M570" s="2" t="str">
        <f>_xlfn.XLOOKUP(Deals[[#This Row],[CustomerID]],Customers!A:A,Customers!F:F)</f>
        <v>Mass</v>
      </c>
      <c r="N570" s="2" t="str">
        <f>_xlfn.XLOOKUP(Deals[[#This Row],[CustomerID]],Customers!A:A,Customers!E:E)</f>
        <v>Kuwaiti</v>
      </c>
      <c r="O570" s="2">
        <f>2026-_xlfn.XLOOKUP(Deals[[#This Row],[CustomerID]],Customers!A:A,Customers!D:D)</f>
        <v>63</v>
      </c>
      <c r="P570" s="2" t="str" cm="1">
        <f t="array" ref="P570">_xlfn.IFS(Deals[[#This Row],[Age]]&lt;30,"Under 30",Deals[[#This Row],[Age]]&lt;45,"30-44",TRUE,"45+")</f>
        <v>45+</v>
      </c>
      <c r="Q570" s="21">
        <f>IF(Deals[[#This Row],[Status]]="Pending","",Deals[[#This Row],[DecisionDate]]-Deals[[#This Row],[ApplicationDate]])</f>
        <v>4</v>
      </c>
      <c r="R570" s="21">
        <f>IF(Deals[[#This Row],[Status]]="Approved",1,0)</f>
        <v>1</v>
      </c>
      <c r="S570" s="21">
        <f>IF(Deals[[#This Row],[IsApproved]]=1,Deals[[#This Row],[Amount]],0)</f>
        <v>6700</v>
      </c>
      <c r="T570" s="21">
        <f>Deals[[#This Row],[ApprovedAmount]]*Deals[[#This Row],[ProfitRate]]</f>
        <v>329.64</v>
      </c>
    </row>
    <row r="571" spans="1:20">
      <c r="A571" s="2" t="s">
        <v>1080</v>
      </c>
      <c r="B571" s="3">
        <v>46149</v>
      </c>
      <c r="C571" s="2" t="s">
        <v>1081</v>
      </c>
      <c r="D571" s="2" t="s">
        <v>14</v>
      </c>
      <c r="E571" s="2" t="s">
        <v>43</v>
      </c>
      <c r="F571" s="2" t="s">
        <v>3</v>
      </c>
      <c r="G571" s="4">
        <v>85100</v>
      </c>
      <c r="H571" s="5">
        <v>5.7599999999999998E-2</v>
      </c>
      <c r="I571" s="2">
        <v>84</v>
      </c>
      <c r="J571" s="2" t="s">
        <v>48</v>
      </c>
      <c r="K571" s="2" t="s">
        <v>45</v>
      </c>
      <c r="L571" s="3">
        <v>46170</v>
      </c>
      <c r="M571" s="2" t="str">
        <f>_xlfn.XLOOKUP(Deals[[#This Row],[CustomerID]],Customers!A:A,Customers!F:F)</f>
        <v>Affluent</v>
      </c>
      <c r="N571" s="2" t="str">
        <f>_xlfn.XLOOKUP(Deals[[#This Row],[CustomerID]],Customers!A:A,Customers!E:E)</f>
        <v>Kuwaiti</v>
      </c>
      <c r="O571" s="2">
        <f>2026-_xlfn.XLOOKUP(Deals[[#This Row],[CustomerID]],Customers!A:A,Customers!D:D)</f>
        <v>45</v>
      </c>
      <c r="P571" s="2" t="str" cm="1">
        <f t="array" ref="P571">_xlfn.IFS(Deals[[#This Row],[Age]]&lt;30,"Under 30",Deals[[#This Row],[Age]]&lt;45,"30-44",TRUE,"45+")</f>
        <v>45+</v>
      </c>
      <c r="Q571" s="21">
        <f>IF(Deals[[#This Row],[Status]]="Pending","",Deals[[#This Row],[DecisionDate]]-Deals[[#This Row],[ApplicationDate]])</f>
        <v>21</v>
      </c>
      <c r="R571" s="21">
        <f>IF(Deals[[#This Row],[Status]]="Approved",1,0)</f>
        <v>0</v>
      </c>
      <c r="S571" s="21">
        <f>IF(Deals[[#This Row],[IsApproved]]=1,Deals[[#This Row],[Amount]],0)</f>
        <v>0</v>
      </c>
      <c r="T571" s="21">
        <f>Deals[[#This Row],[ApprovedAmount]]*Deals[[#This Row],[ProfitRate]]</f>
        <v>0</v>
      </c>
    </row>
    <row r="572" spans="1:20">
      <c r="A572" s="2" t="s">
        <v>1082</v>
      </c>
      <c r="B572" s="3">
        <v>46149</v>
      </c>
      <c r="C572" s="2" t="s">
        <v>1083</v>
      </c>
      <c r="D572" s="2" t="s">
        <v>20</v>
      </c>
      <c r="E572" s="2" t="s">
        <v>30</v>
      </c>
      <c r="F572" s="2" t="s">
        <v>3</v>
      </c>
      <c r="G572" s="4">
        <v>8200</v>
      </c>
      <c r="H572" s="5">
        <v>4.1799999999999997E-2</v>
      </c>
      <c r="I572" s="2">
        <v>60</v>
      </c>
      <c r="J572" s="2" t="s">
        <v>44</v>
      </c>
      <c r="K572" s="2" t="s">
        <v>45</v>
      </c>
      <c r="L572" s="3">
        <v>46153</v>
      </c>
      <c r="M572" s="2" t="str">
        <f>_xlfn.XLOOKUP(Deals[[#This Row],[CustomerID]],Customers!A:A,Customers!F:F)</f>
        <v>Mass</v>
      </c>
      <c r="N572" s="2" t="str">
        <f>_xlfn.XLOOKUP(Deals[[#This Row],[CustomerID]],Customers!A:A,Customers!E:E)</f>
        <v>Non-Kuwaiti</v>
      </c>
      <c r="O572" s="2">
        <f>2026-_xlfn.XLOOKUP(Deals[[#This Row],[CustomerID]],Customers!A:A,Customers!D:D)</f>
        <v>39</v>
      </c>
      <c r="P572" s="2" t="str" cm="1">
        <f t="array" ref="P572">_xlfn.IFS(Deals[[#This Row],[Age]]&lt;30,"Under 30",Deals[[#This Row],[Age]]&lt;45,"30-44",TRUE,"45+")</f>
        <v>30-44</v>
      </c>
      <c r="Q572" s="21">
        <f>IF(Deals[[#This Row],[Status]]="Pending","",Deals[[#This Row],[DecisionDate]]-Deals[[#This Row],[ApplicationDate]])</f>
        <v>4</v>
      </c>
      <c r="R572" s="21">
        <f>IF(Deals[[#This Row],[Status]]="Approved",1,0)</f>
        <v>0</v>
      </c>
      <c r="S572" s="21">
        <f>IF(Deals[[#This Row],[IsApproved]]=1,Deals[[#This Row],[Amount]],0)</f>
        <v>0</v>
      </c>
      <c r="T572" s="21">
        <f>Deals[[#This Row],[ApprovedAmount]]*Deals[[#This Row],[ProfitRate]]</f>
        <v>0</v>
      </c>
    </row>
    <row r="573" spans="1:20">
      <c r="A573" s="2" t="s">
        <v>1084</v>
      </c>
      <c r="B573" s="3">
        <v>46149</v>
      </c>
      <c r="C573" s="2" t="s">
        <v>1085</v>
      </c>
      <c r="D573" s="2" t="s">
        <v>71</v>
      </c>
      <c r="E573" s="2" t="s">
        <v>43</v>
      </c>
      <c r="F573" s="2" t="s">
        <v>3</v>
      </c>
      <c r="G573" s="4">
        <v>168900</v>
      </c>
      <c r="H573" s="5">
        <v>7.7899999999999997E-2</v>
      </c>
      <c r="I573" s="2">
        <v>60</v>
      </c>
      <c r="J573" s="2" t="s">
        <v>94</v>
      </c>
      <c r="K573" s="2" t="s">
        <v>17</v>
      </c>
      <c r="L573" s="3">
        <v>46164</v>
      </c>
      <c r="M573" s="2" t="str">
        <f>_xlfn.XLOOKUP(Deals[[#This Row],[CustomerID]],Customers!A:A,Customers!F:F)</f>
        <v>Affluent</v>
      </c>
      <c r="N573" s="2" t="str">
        <f>_xlfn.XLOOKUP(Deals[[#This Row],[CustomerID]],Customers!A:A,Customers!E:E)</f>
        <v>Kuwaiti</v>
      </c>
      <c r="O573" s="2">
        <f>2026-_xlfn.XLOOKUP(Deals[[#This Row],[CustomerID]],Customers!A:A,Customers!D:D)</f>
        <v>46</v>
      </c>
      <c r="P573" s="2" t="str" cm="1">
        <f t="array" ref="P573">_xlfn.IFS(Deals[[#This Row],[Age]]&lt;30,"Under 30",Deals[[#This Row],[Age]]&lt;45,"30-44",TRUE,"45+")</f>
        <v>45+</v>
      </c>
      <c r="Q573" s="21">
        <f>IF(Deals[[#This Row],[Status]]="Pending","",Deals[[#This Row],[DecisionDate]]-Deals[[#This Row],[ApplicationDate]])</f>
        <v>15</v>
      </c>
      <c r="R573" s="21">
        <f>IF(Deals[[#This Row],[Status]]="Approved",1,0)</f>
        <v>1</v>
      </c>
      <c r="S573" s="21">
        <f>IF(Deals[[#This Row],[IsApproved]]=1,Deals[[#This Row],[Amount]],0)</f>
        <v>168900</v>
      </c>
      <c r="T573" s="21">
        <f>Deals[[#This Row],[ApprovedAmount]]*Deals[[#This Row],[ProfitRate]]</f>
        <v>13157.31</v>
      </c>
    </row>
    <row r="574" spans="1:20">
      <c r="A574" s="2" t="s">
        <v>1086</v>
      </c>
      <c r="B574" s="3">
        <v>46149</v>
      </c>
      <c r="C574" s="2" t="s">
        <v>1087</v>
      </c>
      <c r="D574" s="2" t="s">
        <v>71</v>
      </c>
      <c r="E574" s="2" t="s">
        <v>15</v>
      </c>
      <c r="F574" s="2" t="s">
        <v>55</v>
      </c>
      <c r="G574" s="4">
        <v>20500</v>
      </c>
      <c r="H574" s="5">
        <v>6.7299999999999999E-2</v>
      </c>
      <c r="I574" s="2">
        <v>24</v>
      </c>
      <c r="J574" s="2" t="s">
        <v>94</v>
      </c>
      <c r="K574" s="2" t="s">
        <v>17</v>
      </c>
      <c r="L574" s="3">
        <v>46152</v>
      </c>
      <c r="M574" s="2" t="str">
        <f>_xlfn.XLOOKUP(Deals[[#This Row],[CustomerID]],Customers!A:A,Customers!F:F)</f>
        <v>Mass</v>
      </c>
      <c r="N574" s="2" t="str">
        <f>_xlfn.XLOOKUP(Deals[[#This Row],[CustomerID]],Customers!A:A,Customers!E:E)</f>
        <v>Kuwaiti</v>
      </c>
      <c r="O574" s="2">
        <f>2026-_xlfn.XLOOKUP(Deals[[#This Row],[CustomerID]],Customers!A:A,Customers!D:D)</f>
        <v>50</v>
      </c>
      <c r="P574" s="2" t="str" cm="1">
        <f t="array" ref="P574">_xlfn.IFS(Deals[[#This Row],[Age]]&lt;30,"Under 30",Deals[[#This Row],[Age]]&lt;45,"30-44",TRUE,"45+")</f>
        <v>45+</v>
      </c>
      <c r="Q574" s="21">
        <f>IF(Deals[[#This Row],[Status]]="Pending","",Deals[[#This Row],[DecisionDate]]-Deals[[#This Row],[ApplicationDate]])</f>
        <v>3</v>
      </c>
      <c r="R574" s="21">
        <f>IF(Deals[[#This Row],[Status]]="Approved",1,0)</f>
        <v>1</v>
      </c>
      <c r="S574" s="21">
        <f>IF(Deals[[#This Row],[IsApproved]]=1,Deals[[#This Row],[Amount]],0)</f>
        <v>20500</v>
      </c>
      <c r="T574" s="21">
        <f>Deals[[#This Row],[ApprovedAmount]]*Deals[[#This Row],[ProfitRate]]</f>
        <v>1379.6499999999999</v>
      </c>
    </row>
    <row r="575" spans="1:20">
      <c r="A575" s="2" t="s">
        <v>1088</v>
      </c>
      <c r="B575" s="3">
        <v>46149</v>
      </c>
      <c r="C575" s="2" t="s">
        <v>453</v>
      </c>
      <c r="D575" s="2" t="s">
        <v>71</v>
      </c>
      <c r="E575" s="2" t="s">
        <v>21</v>
      </c>
      <c r="F575" s="2" t="s">
        <v>3</v>
      </c>
      <c r="G575" s="4">
        <v>196000</v>
      </c>
      <c r="H575" s="5">
        <v>3.6900000000000002E-2</v>
      </c>
      <c r="I575" s="2">
        <v>180</v>
      </c>
      <c r="J575" s="2" t="s">
        <v>101</v>
      </c>
      <c r="K575" s="2" t="s">
        <v>17</v>
      </c>
      <c r="L575" s="3">
        <v>46170</v>
      </c>
      <c r="M575" s="2" t="str">
        <f>_xlfn.XLOOKUP(Deals[[#This Row],[CustomerID]],Customers!A:A,Customers!F:F)</f>
        <v>Mass</v>
      </c>
      <c r="N575" s="2" t="str">
        <f>_xlfn.XLOOKUP(Deals[[#This Row],[CustomerID]],Customers!A:A,Customers!E:E)</f>
        <v>Kuwaiti</v>
      </c>
      <c r="O575" s="2">
        <f>2026-_xlfn.XLOOKUP(Deals[[#This Row],[CustomerID]],Customers!A:A,Customers!D:D)</f>
        <v>56</v>
      </c>
      <c r="P575" s="2" t="str" cm="1">
        <f t="array" ref="P575">_xlfn.IFS(Deals[[#This Row],[Age]]&lt;30,"Under 30",Deals[[#This Row],[Age]]&lt;45,"30-44",TRUE,"45+")</f>
        <v>45+</v>
      </c>
      <c r="Q575" s="21">
        <f>IF(Deals[[#This Row],[Status]]="Pending","",Deals[[#This Row],[DecisionDate]]-Deals[[#This Row],[ApplicationDate]])</f>
        <v>21</v>
      </c>
      <c r="R575" s="21">
        <f>IF(Deals[[#This Row],[Status]]="Approved",1,0)</f>
        <v>1</v>
      </c>
      <c r="S575" s="21">
        <f>IF(Deals[[#This Row],[IsApproved]]=1,Deals[[#This Row],[Amount]],0)</f>
        <v>196000</v>
      </c>
      <c r="T575" s="21">
        <f>Deals[[#This Row],[ApprovedAmount]]*Deals[[#This Row],[ProfitRate]]</f>
        <v>7232.4000000000005</v>
      </c>
    </row>
    <row r="576" spans="1:20">
      <c r="A576" s="2" t="s">
        <v>1089</v>
      </c>
      <c r="B576" s="3">
        <v>46149</v>
      </c>
      <c r="C576" s="2" t="s">
        <v>1090</v>
      </c>
      <c r="D576" s="2" t="s">
        <v>29</v>
      </c>
      <c r="E576" s="2" t="s">
        <v>15</v>
      </c>
      <c r="F576" s="2" t="s">
        <v>3</v>
      </c>
      <c r="G576" s="4">
        <v>22400</v>
      </c>
      <c r="H576" s="5">
        <v>5.8200000000000002E-2</v>
      </c>
      <c r="I576" s="2">
        <v>48</v>
      </c>
      <c r="J576" s="2" t="s">
        <v>61</v>
      </c>
      <c r="K576" s="2" t="s">
        <v>17</v>
      </c>
      <c r="L576" s="3">
        <v>46153</v>
      </c>
      <c r="M576" s="2" t="str">
        <f>_xlfn.XLOOKUP(Deals[[#This Row],[CustomerID]],Customers!A:A,Customers!F:F)</f>
        <v>Mass</v>
      </c>
      <c r="N576" s="2" t="str">
        <f>_xlfn.XLOOKUP(Deals[[#This Row],[CustomerID]],Customers!A:A,Customers!E:E)</f>
        <v>Kuwaiti</v>
      </c>
      <c r="O576" s="2">
        <f>2026-_xlfn.XLOOKUP(Deals[[#This Row],[CustomerID]],Customers!A:A,Customers!D:D)</f>
        <v>32</v>
      </c>
      <c r="P576" s="2" t="str" cm="1">
        <f t="array" ref="P576">_xlfn.IFS(Deals[[#This Row],[Age]]&lt;30,"Under 30",Deals[[#This Row],[Age]]&lt;45,"30-44",TRUE,"45+")</f>
        <v>30-44</v>
      </c>
      <c r="Q576" s="21">
        <f>IF(Deals[[#This Row],[Status]]="Pending","",Deals[[#This Row],[DecisionDate]]-Deals[[#This Row],[ApplicationDate]])</f>
        <v>4</v>
      </c>
      <c r="R576" s="21">
        <f>IF(Deals[[#This Row],[Status]]="Approved",1,0)</f>
        <v>1</v>
      </c>
      <c r="S576" s="21">
        <f>IF(Deals[[#This Row],[IsApproved]]=1,Deals[[#This Row],[Amount]],0)</f>
        <v>22400</v>
      </c>
      <c r="T576" s="21">
        <f>Deals[[#This Row],[ApprovedAmount]]*Deals[[#This Row],[ProfitRate]]</f>
        <v>1303.68</v>
      </c>
    </row>
    <row r="577" spans="1:20">
      <c r="A577" s="2" t="s">
        <v>1092</v>
      </c>
      <c r="B577" s="3">
        <v>46149</v>
      </c>
      <c r="C577" s="2" t="s">
        <v>392</v>
      </c>
      <c r="D577" s="2" t="s">
        <v>29</v>
      </c>
      <c r="E577" s="2" t="s">
        <v>30</v>
      </c>
      <c r="F577" s="2" t="s">
        <v>3</v>
      </c>
      <c r="G577" s="4">
        <v>15000</v>
      </c>
      <c r="H577" s="5">
        <v>4.9399999999999999E-2</v>
      </c>
      <c r="I577" s="2">
        <v>36</v>
      </c>
      <c r="J577" s="2" t="s">
        <v>61</v>
      </c>
      <c r="K577" s="2" t="s">
        <v>17</v>
      </c>
      <c r="L577" s="3">
        <v>46151</v>
      </c>
      <c r="M577" s="2" t="str">
        <f>_xlfn.XLOOKUP(Deals[[#This Row],[CustomerID]],Customers!A:A,Customers!F:F)</f>
        <v>Mass</v>
      </c>
      <c r="N577" s="2" t="str">
        <f>_xlfn.XLOOKUP(Deals[[#This Row],[CustomerID]],Customers!A:A,Customers!E:E)</f>
        <v>Non-Kuwaiti</v>
      </c>
      <c r="O577" s="2">
        <f>2026-_xlfn.XLOOKUP(Deals[[#This Row],[CustomerID]],Customers!A:A,Customers!D:D)</f>
        <v>55</v>
      </c>
      <c r="P577" s="2" t="str" cm="1">
        <f t="array" ref="P577">_xlfn.IFS(Deals[[#This Row],[Age]]&lt;30,"Under 30",Deals[[#This Row],[Age]]&lt;45,"30-44",TRUE,"45+")</f>
        <v>45+</v>
      </c>
      <c r="Q577" s="21">
        <f>IF(Deals[[#This Row],[Status]]="Pending","",Deals[[#This Row],[DecisionDate]]-Deals[[#This Row],[ApplicationDate]])</f>
        <v>2</v>
      </c>
      <c r="R577" s="21">
        <f>IF(Deals[[#This Row],[Status]]="Approved",1,0)</f>
        <v>1</v>
      </c>
      <c r="S577" s="21">
        <f>IF(Deals[[#This Row],[IsApproved]]=1,Deals[[#This Row],[Amount]],0)</f>
        <v>15000</v>
      </c>
      <c r="T577" s="21">
        <f>Deals[[#This Row],[ApprovedAmount]]*Deals[[#This Row],[ProfitRate]]</f>
        <v>741</v>
      </c>
    </row>
    <row r="578" spans="1:20">
      <c r="A578" s="2" t="s">
        <v>1093</v>
      </c>
      <c r="B578" s="3">
        <v>46149</v>
      </c>
      <c r="C578" s="2" t="s">
        <v>1094</v>
      </c>
      <c r="D578" s="2" t="s">
        <v>29</v>
      </c>
      <c r="E578" s="2" t="s">
        <v>30</v>
      </c>
      <c r="F578" s="2" t="s">
        <v>3</v>
      </c>
      <c r="G578" s="4">
        <v>14000</v>
      </c>
      <c r="H578" s="5">
        <v>4.6699999999999998E-2</v>
      </c>
      <c r="I578" s="2">
        <v>48</v>
      </c>
      <c r="J578" s="2" t="s">
        <v>61</v>
      </c>
      <c r="K578" s="2" t="s">
        <v>17</v>
      </c>
      <c r="L578" s="3">
        <v>46151</v>
      </c>
      <c r="M578" s="2" t="str">
        <f>_xlfn.XLOOKUP(Deals[[#This Row],[CustomerID]],Customers!A:A,Customers!F:F)</f>
        <v>Affluent</v>
      </c>
      <c r="N578" s="2" t="str">
        <f>_xlfn.XLOOKUP(Deals[[#This Row],[CustomerID]],Customers!A:A,Customers!E:E)</f>
        <v>Kuwaiti</v>
      </c>
      <c r="O578" s="2">
        <f>2026-_xlfn.XLOOKUP(Deals[[#This Row],[CustomerID]],Customers!A:A,Customers!D:D)</f>
        <v>59</v>
      </c>
      <c r="P578" s="2" t="str" cm="1">
        <f t="array" ref="P578">_xlfn.IFS(Deals[[#This Row],[Age]]&lt;30,"Under 30",Deals[[#This Row],[Age]]&lt;45,"30-44",TRUE,"45+")</f>
        <v>45+</v>
      </c>
      <c r="Q578" s="21">
        <f>IF(Deals[[#This Row],[Status]]="Pending","",Deals[[#This Row],[DecisionDate]]-Deals[[#This Row],[ApplicationDate]])</f>
        <v>2</v>
      </c>
      <c r="R578" s="21">
        <f>IF(Deals[[#This Row],[Status]]="Approved",1,0)</f>
        <v>1</v>
      </c>
      <c r="S578" s="21">
        <f>IF(Deals[[#This Row],[IsApproved]]=1,Deals[[#This Row],[Amount]],0)</f>
        <v>14000</v>
      </c>
      <c r="T578" s="21">
        <f>Deals[[#This Row],[ApprovedAmount]]*Deals[[#This Row],[ProfitRate]]</f>
        <v>653.79999999999995</v>
      </c>
    </row>
    <row r="579" spans="1:20">
      <c r="A579" s="2" t="s">
        <v>1095</v>
      </c>
      <c r="B579" s="3">
        <v>46149</v>
      </c>
      <c r="C579" s="2" t="s">
        <v>1096</v>
      </c>
      <c r="D579" s="2" t="s">
        <v>54</v>
      </c>
      <c r="E579" s="2" t="s">
        <v>21</v>
      </c>
      <c r="F579" s="2" t="s">
        <v>3</v>
      </c>
      <c r="G579" s="4">
        <v>237700</v>
      </c>
      <c r="H579" s="5">
        <v>4.2099999999999999E-2</v>
      </c>
      <c r="I579" s="2">
        <v>300</v>
      </c>
      <c r="J579" s="2" t="s">
        <v>186</v>
      </c>
      <c r="K579" s="2" t="s">
        <v>17</v>
      </c>
      <c r="L579" s="3">
        <v>46171</v>
      </c>
      <c r="M579" s="2" t="str">
        <f>_xlfn.XLOOKUP(Deals[[#This Row],[CustomerID]],Customers!A:A,Customers!F:F)</f>
        <v>Affluent</v>
      </c>
      <c r="N579" s="2" t="str">
        <f>_xlfn.XLOOKUP(Deals[[#This Row],[CustomerID]],Customers!A:A,Customers!E:E)</f>
        <v>Non-Kuwaiti</v>
      </c>
      <c r="O579" s="2">
        <f>2026-_xlfn.XLOOKUP(Deals[[#This Row],[CustomerID]],Customers!A:A,Customers!D:D)</f>
        <v>44</v>
      </c>
      <c r="P579" s="2" t="str" cm="1">
        <f t="array" ref="P579">_xlfn.IFS(Deals[[#This Row],[Age]]&lt;30,"Under 30",Deals[[#This Row],[Age]]&lt;45,"30-44",TRUE,"45+")</f>
        <v>30-44</v>
      </c>
      <c r="Q579" s="21">
        <f>IF(Deals[[#This Row],[Status]]="Pending","",Deals[[#This Row],[DecisionDate]]-Deals[[#This Row],[ApplicationDate]])</f>
        <v>22</v>
      </c>
      <c r="R579" s="21">
        <f>IF(Deals[[#This Row],[Status]]="Approved",1,0)</f>
        <v>1</v>
      </c>
      <c r="S579" s="21">
        <f>IF(Deals[[#This Row],[IsApproved]]=1,Deals[[#This Row],[Amount]],0)</f>
        <v>237700</v>
      </c>
      <c r="T579" s="21">
        <f>Deals[[#This Row],[ApprovedAmount]]*Deals[[#This Row],[ProfitRate]]</f>
        <v>10007.17</v>
      </c>
    </row>
    <row r="580" spans="1:20">
      <c r="A580" s="2" t="s">
        <v>1097</v>
      </c>
      <c r="B580" s="3">
        <v>46149</v>
      </c>
      <c r="C580" s="2" t="s">
        <v>1098</v>
      </c>
      <c r="D580" s="2" t="s">
        <v>54</v>
      </c>
      <c r="E580" s="2" t="s">
        <v>21</v>
      </c>
      <c r="F580" s="2" t="s">
        <v>55</v>
      </c>
      <c r="G580" s="4">
        <v>80400</v>
      </c>
      <c r="H580" s="5">
        <v>3.7499999999999999E-2</v>
      </c>
      <c r="I580" s="2">
        <v>120</v>
      </c>
      <c r="J580" s="2" t="s">
        <v>56</v>
      </c>
      <c r="K580" s="2" t="s">
        <v>45</v>
      </c>
      <c r="L580" s="3">
        <v>46163</v>
      </c>
      <c r="M580" s="2" t="str">
        <f>_xlfn.XLOOKUP(Deals[[#This Row],[CustomerID]],Customers!A:A,Customers!F:F)</f>
        <v>Mass</v>
      </c>
      <c r="N580" s="2" t="str">
        <f>_xlfn.XLOOKUP(Deals[[#This Row],[CustomerID]],Customers!A:A,Customers!E:E)</f>
        <v>Kuwaiti</v>
      </c>
      <c r="O580" s="2">
        <f>2026-_xlfn.XLOOKUP(Deals[[#This Row],[CustomerID]],Customers!A:A,Customers!D:D)</f>
        <v>24</v>
      </c>
      <c r="P580" s="2" t="str" cm="1">
        <f t="array" ref="P580">_xlfn.IFS(Deals[[#This Row],[Age]]&lt;30,"Under 30",Deals[[#This Row],[Age]]&lt;45,"30-44",TRUE,"45+")</f>
        <v>Under 30</v>
      </c>
      <c r="Q580" s="21">
        <f>IF(Deals[[#This Row],[Status]]="Pending","",Deals[[#This Row],[DecisionDate]]-Deals[[#This Row],[ApplicationDate]])</f>
        <v>14</v>
      </c>
      <c r="R580" s="21">
        <f>IF(Deals[[#This Row],[Status]]="Approved",1,0)</f>
        <v>0</v>
      </c>
      <c r="S580" s="21">
        <f>IF(Deals[[#This Row],[IsApproved]]=1,Deals[[#This Row],[Amount]],0)</f>
        <v>0</v>
      </c>
      <c r="T580" s="21">
        <f>Deals[[#This Row],[ApprovedAmount]]*Deals[[#This Row],[ProfitRate]]</f>
        <v>0</v>
      </c>
    </row>
    <row r="581" spans="1:20">
      <c r="A581" s="2" t="s">
        <v>1099</v>
      </c>
      <c r="B581" s="3">
        <v>46150</v>
      </c>
      <c r="C581" s="2" t="s">
        <v>1100</v>
      </c>
      <c r="D581" s="2" t="s">
        <v>14</v>
      </c>
      <c r="E581" s="2" t="s">
        <v>43</v>
      </c>
      <c r="F581" s="2" t="s">
        <v>31</v>
      </c>
      <c r="G581" s="4">
        <v>72100</v>
      </c>
      <c r="H581" s="5">
        <v>5.62E-2</v>
      </c>
      <c r="I581" s="2">
        <v>60</v>
      </c>
      <c r="J581" s="2" t="s">
        <v>48</v>
      </c>
      <c r="K581" s="2" t="s">
        <v>17</v>
      </c>
      <c r="L581" s="3">
        <v>46163</v>
      </c>
      <c r="M581" s="2" t="str">
        <f>_xlfn.XLOOKUP(Deals[[#This Row],[CustomerID]],Customers!A:A,Customers!F:F)</f>
        <v>Affluent</v>
      </c>
      <c r="N581" s="2" t="str">
        <f>_xlfn.XLOOKUP(Deals[[#This Row],[CustomerID]],Customers!A:A,Customers!E:E)</f>
        <v>Non-Kuwaiti</v>
      </c>
      <c r="O581" s="2">
        <f>2026-_xlfn.XLOOKUP(Deals[[#This Row],[CustomerID]],Customers!A:A,Customers!D:D)</f>
        <v>70</v>
      </c>
      <c r="P581" s="2" t="str" cm="1">
        <f t="array" ref="P581">_xlfn.IFS(Deals[[#This Row],[Age]]&lt;30,"Under 30",Deals[[#This Row],[Age]]&lt;45,"30-44",TRUE,"45+")</f>
        <v>45+</v>
      </c>
      <c r="Q581" s="21">
        <f>IF(Deals[[#This Row],[Status]]="Pending","",Deals[[#This Row],[DecisionDate]]-Deals[[#This Row],[ApplicationDate]])</f>
        <v>13</v>
      </c>
      <c r="R581" s="21">
        <f>IF(Deals[[#This Row],[Status]]="Approved",1,0)</f>
        <v>1</v>
      </c>
      <c r="S581" s="21">
        <f>IF(Deals[[#This Row],[IsApproved]]=1,Deals[[#This Row],[Amount]],0)</f>
        <v>72100</v>
      </c>
      <c r="T581" s="21">
        <f>Deals[[#This Row],[ApprovedAmount]]*Deals[[#This Row],[ProfitRate]]</f>
        <v>4052.02</v>
      </c>
    </row>
    <row r="582" spans="1:20">
      <c r="A582" s="2" t="s">
        <v>1101</v>
      </c>
      <c r="B582" s="3">
        <v>46150</v>
      </c>
      <c r="C582" s="2" t="s">
        <v>80</v>
      </c>
      <c r="D582" s="2" t="s">
        <v>14</v>
      </c>
      <c r="E582" s="2" t="s">
        <v>15</v>
      </c>
      <c r="F582" s="2" t="s">
        <v>55</v>
      </c>
      <c r="G582" s="4">
        <v>5900</v>
      </c>
      <c r="H582" s="5">
        <v>5.1900000000000002E-2</v>
      </c>
      <c r="I582" s="2">
        <v>24</v>
      </c>
      <c r="J582" s="2" t="s">
        <v>16</v>
      </c>
      <c r="K582" s="2" t="s">
        <v>17</v>
      </c>
      <c r="L582" s="3">
        <v>46157</v>
      </c>
      <c r="M582" s="2" t="str">
        <f>_xlfn.XLOOKUP(Deals[[#This Row],[CustomerID]],Customers!A:A,Customers!F:F)</f>
        <v>Mass</v>
      </c>
      <c r="N582" s="2" t="str">
        <f>_xlfn.XLOOKUP(Deals[[#This Row],[CustomerID]],Customers!A:A,Customers!E:E)</f>
        <v>Non-Kuwaiti</v>
      </c>
      <c r="O582" s="2">
        <f>2026-_xlfn.XLOOKUP(Deals[[#This Row],[CustomerID]],Customers!A:A,Customers!D:D)</f>
        <v>47</v>
      </c>
      <c r="P582" s="2" t="str" cm="1">
        <f t="array" ref="P582">_xlfn.IFS(Deals[[#This Row],[Age]]&lt;30,"Under 30",Deals[[#This Row],[Age]]&lt;45,"30-44",TRUE,"45+")</f>
        <v>45+</v>
      </c>
      <c r="Q582" s="21">
        <f>IF(Deals[[#This Row],[Status]]="Pending","",Deals[[#This Row],[DecisionDate]]-Deals[[#This Row],[ApplicationDate]])</f>
        <v>7</v>
      </c>
      <c r="R582" s="21">
        <f>IF(Deals[[#This Row],[Status]]="Approved",1,0)</f>
        <v>1</v>
      </c>
      <c r="S582" s="21">
        <f>IF(Deals[[#This Row],[IsApproved]]=1,Deals[[#This Row],[Amount]],0)</f>
        <v>5900</v>
      </c>
      <c r="T582" s="21">
        <f>Deals[[#This Row],[ApprovedAmount]]*Deals[[#This Row],[ProfitRate]]</f>
        <v>306.21000000000004</v>
      </c>
    </row>
    <row r="583" spans="1:20">
      <c r="A583" s="2" t="s">
        <v>1102</v>
      </c>
      <c r="B583" s="3">
        <v>46150</v>
      </c>
      <c r="C583" s="2" t="s">
        <v>1103</v>
      </c>
      <c r="D583" s="2" t="s">
        <v>14</v>
      </c>
      <c r="E583" s="2" t="s">
        <v>15</v>
      </c>
      <c r="F583" s="2" t="s">
        <v>3</v>
      </c>
      <c r="G583" s="4">
        <v>6000</v>
      </c>
      <c r="H583" s="5">
        <v>5.6099999999999997E-2</v>
      </c>
      <c r="I583" s="2">
        <v>48</v>
      </c>
      <c r="J583" s="2" t="s">
        <v>16</v>
      </c>
      <c r="K583" s="2" t="s">
        <v>17</v>
      </c>
      <c r="L583" s="3">
        <v>46154</v>
      </c>
      <c r="M583" s="2" t="str">
        <f>_xlfn.XLOOKUP(Deals[[#This Row],[CustomerID]],Customers!A:A,Customers!F:F)</f>
        <v>Mass</v>
      </c>
      <c r="N583" s="2" t="str">
        <f>_xlfn.XLOOKUP(Deals[[#This Row],[CustomerID]],Customers!A:A,Customers!E:E)</f>
        <v>Kuwaiti</v>
      </c>
      <c r="O583" s="2">
        <f>2026-_xlfn.XLOOKUP(Deals[[#This Row],[CustomerID]],Customers!A:A,Customers!D:D)</f>
        <v>25</v>
      </c>
      <c r="P583" s="2" t="str" cm="1">
        <f t="array" ref="P583">_xlfn.IFS(Deals[[#This Row],[Age]]&lt;30,"Under 30",Deals[[#This Row],[Age]]&lt;45,"30-44",TRUE,"45+")</f>
        <v>Under 30</v>
      </c>
      <c r="Q583" s="21">
        <f>IF(Deals[[#This Row],[Status]]="Pending","",Deals[[#This Row],[DecisionDate]]-Deals[[#This Row],[ApplicationDate]])</f>
        <v>4</v>
      </c>
      <c r="R583" s="21">
        <f>IF(Deals[[#This Row],[Status]]="Approved",1,0)</f>
        <v>1</v>
      </c>
      <c r="S583" s="21">
        <f>IF(Deals[[#This Row],[IsApproved]]=1,Deals[[#This Row],[Amount]],0)</f>
        <v>6000</v>
      </c>
      <c r="T583" s="21">
        <f>Deals[[#This Row],[ApprovedAmount]]*Deals[[#This Row],[ProfitRate]]</f>
        <v>336.59999999999997</v>
      </c>
    </row>
    <row r="584" spans="1:20">
      <c r="A584" s="2" t="s">
        <v>1104</v>
      </c>
      <c r="B584" s="3">
        <v>46150</v>
      </c>
      <c r="C584" s="2" t="s">
        <v>713</v>
      </c>
      <c r="D584" s="2" t="s">
        <v>71</v>
      </c>
      <c r="E584" s="2" t="s">
        <v>30</v>
      </c>
      <c r="F584" s="2" t="s">
        <v>3</v>
      </c>
      <c r="G584" s="4">
        <v>10600</v>
      </c>
      <c r="H584" s="5">
        <v>4.9000000000000002E-2</v>
      </c>
      <c r="I584" s="2">
        <v>36</v>
      </c>
      <c r="J584" s="2" t="s">
        <v>101</v>
      </c>
      <c r="K584" s="2" t="s">
        <v>17</v>
      </c>
      <c r="L584" s="3">
        <v>46154</v>
      </c>
      <c r="M584" s="2" t="str">
        <f>_xlfn.XLOOKUP(Deals[[#This Row],[CustomerID]],Customers!A:A,Customers!F:F)</f>
        <v>Mass</v>
      </c>
      <c r="N584" s="2" t="str">
        <f>_xlfn.XLOOKUP(Deals[[#This Row],[CustomerID]],Customers!A:A,Customers!E:E)</f>
        <v>Kuwaiti</v>
      </c>
      <c r="O584" s="2">
        <f>2026-_xlfn.XLOOKUP(Deals[[#This Row],[CustomerID]],Customers!A:A,Customers!D:D)</f>
        <v>27</v>
      </c>
      <c r="P584" s="2" t="str" cm="1">
        <f t="array" ref="P584">_xlfn.IFS(Deals[[#This Row],[Age]]&lt;30,"Under 30",Deals[[#This Row],[Age]]&lt;45,"30-44",TRUE,"45+")</f>
        <v>Under 30</v>
      </c>
      <c r="Q584" s="21">
        <f>IF(Deals[[#This Row],[Status]]="Pending","",Deals[[#This Row],[DecisionDate]]-Deals[[#This Row],[ApplicationDate]])</f>
        <v>4</v>
      </c>
      <c r="R584" s="21">
        <f>IF(Deals[[#This Row],[Status]]="Approved",1,0)</f>
        <v>1</v>
      </c>
      <c r="S584" s="21">
        <f>IF(Deals[[#This Row],[IsApproved]]=1,Deals[[#This Row],[Amount]],0)</f>
        <v>10600</v>
      </c>
      <c r="T584" s="21">
        <f>Deals[[#This Row],[ApprovedAmount]]*Deals[[#This Row],[ProfitRate]]</f>
        <v>519.4</v>
      </c>
    </row>
    <row r="585" spans="1:20">
      <c r="A585" s="2" t="s">
        <v>1105</v>
      </c>
      <c r="B585" s="3">
        <v>46150</v>
      </c>
      <c r="C585" s="2" t="s">
        <v>1106</v>
      </c>
      <c r="D585" s="2" t="s">
        <v>20</v>
      </c>
      <c r="E585" s="2" t="s">
        <v>30</v>
      </c>
      <c r="F585" s="2" t="s">
        <v>3</v>
      </c>
      <c r="G585" s="4">
        <v>10200</v>
      </c>
      <c r="H585" s="5">
        <v>4.8300000000000003E-2</v>
      </c>
      <c r="I585" s="2">
        <v>48</v>
      </c>
      <c r="J585" s="2" t="s">
        <v>22</v>
      </c>
      <c r="K585" s="2" t="s">
        <v>17</v>
      </c>
      <c r="L585" s="3">
        <v>46154</v>
      </c>
      <c r="M585" s="2" t="str">
        <f>_xlfn.XLOOKUP(Deals[[#This Row],[CustomerID]],Customers!A:A,Customers!F:F)</f>
        <v>Affluent</v>
      </c>
      <c r="N585" s="2" t="str">
        <f>_xlfn.XLOOKUP(Deals[[#This Row],[CustomerID]],Customers!A:A,Customers!E:E)</f>
        <v>Kuwaiti</v>
      </c>
      <c r="O585" s="2">
        <f>2026-_xlfn.XLOOKUP(Deals[[#This Row],[CustomerID]],Customers!A:A,Customers!D:D)</f>
        <v>28</v>
      </c>
      <c r="P585" s="2" t="str" cm="1">
        <f t="array" ref="P585">_xlfn.IFS(Deals[[#This Row],[Age]]&lt;30,"Under 30",Deals[[#This Row],[Age]]&lt;45,"30-44",TRUE,"45+")</f>
        <v>Under 30</v>
      </c>
      <c r="Q585" s="21">
        <f>IF(Deals[[#This Row],[Status]]="Pending","",Deals[[#This Row],[DecisionDate]]-Deals[[#This Row],[ApplicationDate]])</f>
        <v>4</v>
      </c>
      <c r="R585" s="21">
        <f>IF(Deals[[#This Row],[Status]]="Approved",1,0)</f>
        <v>1</v>
      </c>
      <c r="S585" s="21">
        <f>IF(Deals[[#This Row],[IsApproved]]=1,Deals[[#This Row],[Amount]],0)</f>
        <v>10200</v>
      </c>
      <c r="T585" s="21">
        <f>Deals[[#This Row],[ApprovedAmount]]*Deals[[#This Row],[ProfitRate]]</f>
        <v>492.66</v>
      </c>
    </row>
    <row r="586" spans="1:20">
      <c r="A586" s="2" t="s">
        <v>1107</v>
      </c>
      <c r="B586" s="3">
        <v>46150</v>
      </c>
      <c r="C586" s="2" t="s">
        <v>842</v>
      </c>
      <c r="D586" s="2" t="s">
        <v>29</v>
      </c>
      <c r="E586" s="2" t="s">
        <v>43</v>
      </c>
      <c r="F586" s="2" t="s">
        <v>3</v>
      </c>
      <c r="G586" s="4">
        <v>28800</v>
      </c>
      <c r="H586" s="5">
        <v>7.9299999999999995E-2</v>
      </c>
      <c r="I586" s="2">
        <v>60</v>
      </c>
      <c r="J586" s="2" t="s">
        <v>61</v>
      </c>
      <c r="K586" s="2" t="s">
        <v>45</v>
      </c>
      <c r="L586" s="3">
        <v>46162</v>
      </c>
      <c r="M586" s="2" t="str">
        <f>_xlfn.XLOOKUP(Deals[[#This Row],[CustomerID]],Customers!A:A,Customers!F:F)</f>
        <v>Affluent</v>
      </c>
      <c r="N586" s="2" t="str">
        <f>_xlfn.XLOOKUP(Deals[[#This Row],[CustomerID]],Customers!A:A,Customers!E:E)</f>
        <v>Non-Kuwaiti</v>
      </c>
      <c r="O586" s="2">
        <f>2026-_xlfn.XLOOKUP(Deals[[#This Row],[CustomerID]],Customers!A:A,Customers!D:D)</f>
        <v>22</v>
      </c>
      <c r="P586" s="2" t="str" cm="1">
        <f t="array" ref="P586">_xlfn.IFS(Deals[[#This Row],[Age]]&lt;30,"Under 30",Deals[[#This Row],[Age]]&lt;45,"30-44",TRUE,"45+")</f>
        <v>Under 30</v>
      </c>
      <c r="Q586" s="21">
        <f>IF(Deals[[#This Row],[Status]]="Pending","",Deals[[#This Row],[DecisionDate]]-Deals[[#This Row],[ApplicationDate]])</f>
        <v>12</v>
      </c>
      <c r="R586" s="21">
        <f>IF(Deals[[#This Row],[Status]]="Approved",1,0)</f>
        <v>0</v>
      </c>
      <c r="S586" s="21">
        <f>IF(Deals[[#This Row],[IsApproved]]=1,Deals[[#This Row],[Amount]],0)</f>
        <v>0</v>
      </c>
      <c r="T586" s="21">
        <f>Deals[[#This Row],[ApprovedAmount]]*Deals[[#This Row],[ProfitRate]]</f>
        <v>0</v>
      </c>
    </row>
    <row r="587" spans="1:20">
      <c r="A587" s="2" t="s">
        <v>1108</v>
      </c>
      <c r="B587" s="3">
        <v>46152</v>
      </c>
      <c r="C587" s="2" t="s">
        <v>1109</v>
      </c>
      <c r="D587" s="2" t="s">
        <v>25</v>
      </c>
      <c r="E587" s="2" t="s">
        <v>30</v>
      </c>
      <c r="F587" s="2" t="s">
        <v>3</v>
      </c>
      <c r="G587" s="4">
        <v>4600</v>
      </c>
      <c r="H587" s="5">
        <v>4.0599999999999997E-2</v>
      </c>
      <c r="I587" s="2">
        <v>60</v>
      </c>
      <c r="J587" s="2" t="s">
        <v>66</v>
      </c>
      <c r="K587" s="2" t="s">
        <v>17</v>
      </c>
      <c r="L587" s="3">
        <v>46154</v>
      </c>
      <c r="M587" s="2" t="str">
        <f>_xlfn.XLOOKUP(Deals[[#This Row],[CustomerID]],Customers!A:A,Customers!F:F)</f>
        <v>Affluent</v>
      </c>
      <c r="N587" s="2" t="str">
        <f>_xlfn.XLOOKUP(Deals[[#This Row],[CustomerID]],Customers!A:A,Customers!E:E)</f>
        <v>Kuwaiti</v>
      </c>
      <c r="O587" s="2">
        <f>2026-_xlfn.XLOOKUP(Deals[[#This Row],[CustomerID]],Customers!A:A,Customers!D:D)</f>
        <v>39</v>
      </c>
      <c r="P587" s="2" t="str" cm="1">
        <f t="array" ref="P587">_xlfn.IFS(Deals[[#This Row],[Age]]&lt;30,"Under 30",Deals[[#This Row],[Age]]&lt;45,"30-44",TRUE,"45+")</f>
        <v>30-44</v>
      </c>
      <c r="Q587" s="21">
        <f>IF(Deals[[#This Row],[Status]]="Pending","",Deals[[#This Row],[DecisionDate]]-Deals[[#This Row],[ApplicationDate]])</f>
        <v>2</v>
      </c>
      <c r="R587" s="21">
        <f>IF(Deals[[#This Row],[Status]]="Approved",1,0)</f>
        <v>1</v>
      </c>
      <c r="S587" s="21">
        <f>IF(Deals[[#This Row],[IsApproved]]=1,Deals[[#This Row],[Amount]],0)</f>
        <v>4600</v>
      </c>
      <c r="T587" s="21">
        <f>Deals[[#This Row],[ApprovedAmount]]*Deals[[#This Row],[ProfitRate]]</f>
        <v>186.76</v>
      </c>
    </row>
    <row r="588" spans="1:20">
      <c r="A588" s="2" t="s">
        <v>1110</v>
      </c>
      <c r="B588" s="3">
        <v>46152</v>
      </c>
      <c r="C588" s="2" t="s">
        <v>1111</v>
      </c>
      <c r="D588" s="2" t="s">
        <v>14</v>
      </c>
      <c r="E588" s="2" t="s">
        <v>30</v>
      </c>
      <c r="F588" s="2" t="s">
        <v>3</v>
      </c>
      <c r="G588" s="4">
        <v>5800</v>
      </c>
      <c r="H588" s="5">
        <v>3.8800000000000001E-2</v>
      </c>
      <c r="I588" s="2">
        <v>60</v>
      </c>
      <c r="J588" s="2" t="s">
        <v>40</v>
      </c>
      <c r="K588" s="2" t="s">
        <v>17</v>
      </c>
      <c r="L588" s="3">
        <v>46154</v>
      </c>
      <c r="M588" s="2" t="str">
        <f>_xlfn.XLOOKUP(Deals[[#This Row],[CustomerID]],Customers!A:A,Customers!F:F)</f>
        <v>Mass</v>
      </c>
      <c r="N588" s="2" t="str">
        <f>_xlfn.XLOOKUP(Deals[[#This Row],[CustomerID]],Customers!A:A,Customers!E:E)</f>
        <v>Kuwaiti</v>
      </c>
      <c r="O588" s="2">
        <f>2026-_xlfn.XLOOKUP(Deals[[#This Row],[CustomerID]],Customers!A:A,Customers!D:D)</f>
        <v>39</v>
      </c>
      <c r="P588" s="2" t="str" cm="1">
        <f t="array" ref="P588">_xlfn.IFS(Deals[[#This Row],[Age]]&lt;30,"Under 30",Deals[[#This Row],[Age]]&lt;45,"30-44",TRUE,"45+")</f>
        <v>30-44</v>
      </c>
      <c r="Q588" s="21">
        <f>IF(Deals[[#This Row],[Status]]="Pending","",Deals[[#This Row],[DecisionDate]]-Deals[[#This Row],[ApplicationDate]])</f>
        <v>2</v>
      </c>
      <c r="R588" s="21">
        <f>IF(Deals[[#This Row],[Status]]="Approved",1,0)</f>
        <v>1</v>
      </c>
      <c r="S588" s="21">
        <f>IF(Deals[[#This Row],[IsApproved]]=1,Deals[[#This Row],[Amount]],0)</f>
        <v>5800</v>
      </c>
      <c r="T588" s="21">
        <f>Deals[[#This Row],[ApprovedAmount]]*Deals[[#This Row],[ProfitRate]]</f>
        <v>225.04000000000002</v>
      </c>
    </row>
    <row r="589" spans="1:20">
      <c r="A589" s="2" t="s">
        <v>1112</v>
      </c>
      <c r="B589" s="3">
        <v>46152</v>
      </c>
      <c r="C589" s="2" t="s">
        <v>1113</v>
      </c>
      <c r="D589" s="2" t="s">
        <v>20</v>
      </c>
      <c r="E589" s="2" t="s">
        <v>43</v>
      </c>
      <c r="F589" s="2" t="s">
        <v>55</v>
      </c>
      <c r="G589" s="4">
        <v>135800</v>
      </c>
      <c r="H589" s="5">
        <v>6.2199999999999998E-2</v>
      </c>
      <c r="I589" s="2">
        <v>36</v>
      </c>
      <c r="J589" s="2" t="s">
        <v>44</v>
      </c>
      <c r="K589" s="2" t="s">
        <v>17</v>
      </c>
      <c r="L589" s="3">
        <v>46162</v>
      </c>
      <c r="M589" s="2" t="str">
        <f>_xlfn.XLOOKUP(Deals[[#This Row],[CustomerID]],Customers!A:A,Customers!F:F)</f>
        <v>Mass</v>
      </c>
      <c r="N589" s="2" t="str">
        <f>_xlfn.XLOOKUP(Deals[[#This Row],[CustomerID]],Customers!A:A,Customers!E:E)</f>
        <v>Kuwaiti</v>
      </c>
      <c r="O589" s="2">
        <f>2026-_xlfn.XLOOKUP(Deals[[#This Row],[CustomerID]],Customers!A:A,Customers!D:D)</f>
        <v>25</v>
      </c>
      <c r="P589" s="2" t="str" cm="1">
        <f t="array" ref="P589">_xlfn.IFS(Deals[[#This Row],[Age]]&lt;30,"Under 30",Deals[[#This Row],[Age]]&lt;45,"30-44",TRUE,"45+")</f>
        <v>Under 30</v>
      </c>
      <c r="Q589" s="21">
        <f>IF(Deals[[#This Row],[Status]]="Pending","",Deals[[#This Row],[DecisionDate]]-Deals[[#This Row],[ApplicationDate]])</f>
        <v>10</v>
      </c>
      <c r="R589" s="21">
        <f>IF(Deals[[#This Row],[Status]]="Approved",1,0)</f>
        <v>1</v>
      </c>
      <c r="S589" s="21">
        <f>IF(Deals[[#This Row],[IsApproved]]=1,Deals[[#This Row],[Amount]],0)</f>
        <v>135800</v>
      </c>
      <c r="T589" s="21">
        <f>Deals[[#This Row],[ApprovedAmount]]*Deals[[#This Row],[ProfitRate]]</f>
        <v>8446.76</v>
      </c>
    </row>
    <row r="590" spans="1:20">
      <c r="A590" s="2" t="s">
        <v>1114</v>
      </c>
      <c r="B590" s="3">
        <v>46153</v>
      </c>
      <c r="C590" s="2" t="s">
        <v>495</v>
      </c>
      <c r="D590" s="2" t="s">
        <v>25</v>
      </c>
      <c r="E590" s="2" t="s">
        <v>21</v>
      </c>
      <c r="F590" s="2" t="s">
        <v>31</v>
      </c>
      <c r="G590" s="4">
        <v>88000</v>
      </c>
      <c r="H590" s="5">
        <v>3.3500000000000002E-2</v>
      </c>
      <c r="I590" s="2">
        <v>120</v>
      </c>
      <c r="J590" s="2" t="s">
        <v>26</v>
      </c>
      <c r="K590" s="2" t="s">
        <v>45</v>
      </c>
      <c r="L590" s="3">
        <v>46164</v>
      </c>
      <c r="M590" s="2" t="str">
        <f>_xlfn.XLOOKUP(Deals[[#This Row],[CustomerID]],Customers!A:A,Customers!F:F)</f>
        <v>Affluent</v>
      </c>
      <c r="N590" s="2" t="str">
        <f>_xlfn.XLOOKUP(Deals[[#This Row],[CustomerID]],Customers!A:A,Customers!E:E)</f>
        <v>Kuwaiti</v>
      </c>
      <c r="O590" s="2">
        <f>2026-_xlfn.XLOOKUP(Deals[[#This Row],[CustomerID]],Customers!A:A,Customers!D:D)</f>
        <v>31</v>
      </c>
      <c r="P590" s="2" t="str" cm="1">
        <f t="array" ref="P590">_xlfn.IFS(Deals[[#This Row],[Age]]&lt;30,"Under 30",Deals[[#This Row],[Age]]&lt;45,"30-44",TRUE,"45+")</f>
        <v>30-44</v>
      </c>
      <c r="Q590" s="21">
        <f>IF(Deals[[#This Row],[Status]]="Pending","",Deals[[#This Row],[DecisionDate]]-Deals[[#This Row],[ApplicationDate]])</f>
        <v>11</v>
      </c>
      <c r="R590" s="21">
        <f>IF(Deals[[#This Row],[Status]]="Approved",1,0)</f>
        <v>0</v>
      </c>
      <c r="S590" s="21">
        <f>IF(Deals[[#This Row],[IsApproved]]=1,Deals[[#This Row],[Amount]],0)</f>
        <v>0</v>
      </c>
      <c r="T590" s="21">
        <f>Deals[[#This Row],[ApprovedAmount]]*Deals[[#This Row],[ProfitRate]]</f>
        <v>0</v>
      </c>
    </row>
    <row r="591" spans="1:20">
      <c r="A591" s="2" t="s">
        <v>1115</v>
      </c>
      <c r="B591" s="3">
        <v>46153</v>
      </c>
      <c r="C591" s="2" t="s">
        <v>295</v>
      </c>
      <c r="D591" s="2" t="s">
        <v>54</v>
      </c>
      <c r="E591" s="2" t="s">
        <v>30</v>
      </c>
      <c r="F591" s="2" t="s">
        <v>3</v>
      </c>
      <c r="G591" s="4">
        <v>10800</v>
      </c>
      <c r="H591" s="5">
        <v>3.5900000000000001E-2</v>
      </c>
      <c r="I591" s="2">
        <v>36</v>
      </c>
      <c r="J591" s="2" t="s">
        <v>56</v>
      </c>
      <c r="K591" s="2" t="s">
        <v>45</v>
      </c>
      <c r="L591" s="3">
        <v>46155</v>
      </c>
      <c r="M591" s="2" t="str">
        <f>_xlfn.XLOOKUP(Deals[[#This Row],[CustomerID]],Customers!A:A,Customers!F:F)</f>
        <v>Affluent</v>
      </c>
      <c r="N591" s="2" t="str">
        <f>_xlfn.XLOOKUP(Deals[[#This Row],[CustomerID]],Customers!A:A,Customers!E:E)</f>
        <v>Kuwaiti</v>
      </c>
      <c r="O591" s="2">
        <f>2026-_xlfn.XLOOKUP(Deals[[#This Row],[CustomerID]],Customers!A:A,Customers!D:D)</f>
        <v>56</v>
      </c>
      <c r="P591" s="2" t="str" cm="1">
        <f t="array" ref="P591">_xlfn.IFS(Deals[[#This Row],[Age]]&lt;30,"Under 30",Deals[[#This Row],[Age]]&lt;45,"30-44",TRUE,"45+")</f>
        <v>45+</v>
      </c>
      <c r="Q591" s="21">
        <f>IF(Deals[[#This Row],[Status]]="Pending","",Deals[[#This Row],[DecisionDate]]-Deals[[#This Row],[ApplicationDate]])</f>
        <v>2</v>
      </c>
      <c r="R591" s="21">
        <f>IF(Deals[[#This Row],[Status]]="Approved",1,0)</f>
        <v>0</v>
      </c>
      <c r="S591" s="21">
        <f>IF(Deals[[#This Row],[IsApproved]]=1,Deals[[#This Row],[Amount]],0)</f>
        <v>0</v>
      </c>
      <c r="T591" s="21">
        <f>Deals[[#This Row],[ApprovedAmount]]*Deals[[#This Row],[ProfitRate]]</f>
        <v>0</v>
      </c>
    </row>
    <row r="592" spans="1:20">
      <c r="A592" s="2" t="s">
        <v>1116</v>
      </c>
      <c r="B592" s="3">
        <v>46153</v>
      </c>
      <c r="C592" s="2" t="s">
        <v>1117</v>
      </c>
      <c r="D592" s="2" t="s">
        <v>54</v>
      </c>
      <c r="E592" s="2" t="s">
        <v>21</v>
      </c>
      <c r="F592" s="2" t="s">
        <v>3</v>
      </c>
      <c r="G592" s="4">
        <v>169100</v>
      </c>
      <c r="H592" s="5">
        <v>3.0499999999999999E-2</v>
      </c>
      <c r="I592" s="2">
        <v>120</v>
      </c>
      <c r="J592" s="2" t="s">
        <v>56</v>
      </c>
      <c r="K592" s="2" t="s">
        <v>17</v>
      </c>
      <c r="L592" s="3">
        <v>46174</v>
      </c>
      <c r="M592" s="2" t="str">
        <f>_xlfn.XLOOKUP(Deals[[#This Row],[CustomerID]],Customers!A:A,Customers!F:F)</f>
        <v>Premium</v>
      </c>
      <c r="N592" s="2" t="str">
        <f>_xlfn.XLOOKUP(Deals[[#This Row],[CustomerID]],Customers!A:A,Customers!E:E)</f>
        <v>Non-Kuwaiti</v>
      </c>
      <c r="O592" s="2">
        <f>2026-_xlfn.XLOOKUP(Deals[[#This Row],[CustomerID]],Customers!A:A,Customers!D:D)</f>
        <v>67</v>
      </c>
      <c r="P592" s="2" t="str" cm="1">
        <f t="array" ref="P592">_xlfn.IFS(Deals[[#This Row],[Age]]&lt;30,"Under 30",Deals[[#This Row],[Age]]&lt;45,"30-44",TRUE,"45+")</f>
        <v>45+</v>
      </c>
      <c r="Q592" s="21">
        <f>IF(Deals[[#This Row],[Status]]="Pending","",Deals[[#This Row],[DecisionDate]]-Deals[[#This Row],[ApplicationDate]])</f>
        <v>21</v>
      </c>
      <c r="R592" s="21">
        <f>IF(Deals[[#This Row],[Status]]="Approved",1,0)</f>
        <v>1</v>
      </c>
      <c r="S592" s="21">
        <f>IF(Deals[[#This Row],[IsApproved]]=1,Deals[[#This Row],[Amount]],0)</f>
        <v>169100</v>
      </c>
      <c r="T592" s="21">
        <f>Deals[[#This Row],[ApprovedAmount]]*Deals[[#This Row],[ProfitRate]]</f>
        <v>5157.55</v>
      </c>
    </row>
    <row r="593" spans="1:20">
      <c r="A593" s="2" t="s">
        <v>1118</v>
      </c>
      <c r="B593" s="3">
        <v>46154</v>
      </c>
      <c r="C593" s="2" t="s">
        <v>13</v>
      </c>
      <c r="D593" s="2" t="s">
        <v>25</v>
      </c>
      <c r="E593" s="2" t="s">
        <v>43</v>
      </c>
      <c r="F593" s="2" t="s">
        <v>3</v>
      </c>
      <c r="G593" s="4">
        <v>107100</v>
      </c>
      <c r="H593" s="5">
        <v>5.79E-2</v>
      </c>
      <c r="I593" s="2">
        <v>36</v>
      </c>
      <c r="J593" s="2" t="s">
        <v>26</v>
      </c>
      <c r="K593" s="2" t="s">
        <v>17</v>
      </c>
      <c r="L593" s="3">
        <v>46165</v>
      </c>
      <c r="M593" s="2" t="str">
        <f>_xlfn.XLOOKUP(Deals[[#This Row],[CustomerID]],Customers!A:A,Customers!F:F)</f>
        <v>Affluent</v>
      </c>
      <c r="N593" s="2" t="str">
        <f>_xlfn.XLOOKUP(Deals[[#This Row],[CustomerID]],Customers!A:A,Customers!E:E)</f>
        <v>Kuwaiti</v>
      </c>
      <c r="O593" s="2">
        <f>2026-_xlfn.XLOOKUP(Deals[[#This Row],[CustomerID]],Customers!A:A,Customers!D:D)</f>
        <v>53</v>
      </c>
      <c r="P593" s="2" t="str" cm="1">
        <f t="array" ref="P593">_xlfn.IFS(Deals[[#This Row],[Age]]&lt;30,"Under 30",Deals[[#This Row],[Age]]&lt;45,"30-44",TRUE,"45+")</f>
        <v>45+</v>
      </c>
      <c r="Q593" s="21">
        <f>IF(Deals[[#This Row],[Status]]="Pending","",Deals[[#This Row],[DecisionDate]]-Deals[[#This Row],[ApplicationDate]])</f>
        <v>11</v>
      </c>
      <c r="R593" s="21">
        <f>IF(Deals[[#This Row],[Status]]="Approved",1,0)</f>
        <v>1</v>
      </c>
      <c r="S593" s="21">
        <f>IF(Deals[[#This Row],[IsApproved]]=1,Deals[[#This Row],[Amount]],0)</f>
        <v>107100</v>
      </c>
      <c r="T593" s="21">
        <f>Deals[[#This Row],[ApprovedAmount]]*Deals[[#This Row],[ProfitRate]]</f>
        <v>6201.09</v>
      </c>
    </row>
    <row r="594" spans="1:20">
      <c r="A594" s="2" t="s">
        <v>1119</v>
      </c>
      <c r="B594" s="3">
        <v>46154</v>
      </c>
      <c r="C594" s="2" t="s">
        <v>658</v>
      </c>
      <c r="D594" s="2" t="s">
        <v>29</v>
      </c>
      <c r="E594" s="2" t="s">
        <v>15</v>
      </c>
      <c r="F594" s="2" t="s">
        <v>3</v>
      </c>
      <c r="G594" s="4">
        <v>25000</v>
      </c>
      <c r="H594" s="5">
        <v>5.5500000000000001E-2</v>
      </c>
      <c r="I594" s="2">
        <v>60</v>
      </c>
      <c r="J594" s="2" t="s">
        <v>123</v>
      </c>
      <c r="K594" s="2" t="s">
        <v>45</v>
      </c>
      <c r="L594" s="3">
        <v>46156</v>
      </c>
      <c r="M594" s="2" t="str">
        <f>_xlfn.XLOOKUP(Deals[[#This Row],[CustomerID]],Customers!A:A,Customers!F:F)</f>
        <v>Affluent</v>
      </c>
      <c r="N594" s="2" t="str">
        <f>_xlfn.XLOOKUP(Deals[[#This Row],[CustomerID]],Customers!A:A,Customers!E:E)</f>
        <v>Non-Kuwaiti</v>
      </c>
      <c r="O594" s="2">
        <f>2026-_xlfn.XLOOKUP(Deals[[#This Row],[CustomerID]],Customers!A:A,Customers!D:D)</f>
        <v>48</v>
      </c>
      <c r="P594" s="2" t="str" cm="1">
        <f t="array" ref="P594">_xlfn.IFS(Deals[[#This Row],[Age]]&lt;30,"Under 30",Deals[[#This Row],[Age]]&lt;45,"30-44",TRUE,"45+")</f>
        <v>45+</v>
      </c>
      <c r="Q594" s="21">
        <f>IF(Deals[[#This Row],[Status]]="Pending","",Deals[[#This Row],[DecisionDate]]-Deals[[#This Row],[ApplicationDate]])</f>
        <v>2</v>
      </c>
      <c r="R594" s="21">
        <f>IF(Deals[[#This Row],[Status]]="Approved",1,0)</f>
        <v>0</v>
      </c>
      <c r="S594" s="21">
        <f>IF(Deals[[#This Row],[IsApproved]]=1,Deals[[#This Row],[Amount]],0)</f>
        <v>0</v>
      </c>
      <c r="T594" s="21">
        <f>Deals[[#This Row],[ApprovedAmount]]*Deals[[#This Row],[ProfitRate]]</f>
        <v>0</v>
      </c>
    </row>
    <row r="595" spans="1:20">
      <c r="A595" s="2" t="s">
        <v>1120</v>
      </c>
      <c r="B595" s="3">
        <v>46154</v>
      </c>
      <c r="C595" s="2" t="s">
        <v>1121</v>
      </c>
      <c r="D595" s="2" t="s">
        <v>25</v>
      </c>
      <c r="E595" s="2" t="s">
        <v>15</v>
      </c>
      <c r="F595" s="2" t="s">
        <v>55</v>
      </c>
      <c r="G595" s="4">
        <v>20200</v>
      </c>
      <c r="H595" s="5">
        <v>5.8200000000000002E-2</v>
      </c>
      <c r="I595" s="2">
        <v>24</v>
      </c>
      <c r="J595" s="2" t="s">
        <v>66</v>
      </c>
      <c r="K595" s="2" t="s">
        <v>17</v>
      </c>
      <c r="L595" s="3">
        <v>46158</v>
      </c>
      <c r="M595" s="2" t="str">
        <f>_xlfn.XLOOKUP(Deals[[#This Row],[CustomerID]],Customers!A:A,Customers!F:F)</f>
        <v>Mass</v>
      </c>
      <c r="N595" s="2" t="str">
        <f>_xlfn.XLOOKUP(Deals[[#This Row],[CustomerID]],Customers!A:A,Customers!E:E)</f>
        <v>Kuwaiti</v>
      </c>
      <c r="O595" s="2">
        <f>2026-_xlfn.XLOOKUP(Deals[[#This Row],[CustomerID]],Customers!A:A,Customers!D:D)</f>
        <v>48</v>
      </c>
      <c r="P595" s="2" t="str" cm="1">
        <f t="array" ref="P595">_xlfn.IFS(Deals[[#This Row],[Age]]&lt;30,"Under 30",Deals[[#This Row],[Age]]&lt;45,"30-44",TRUE,"45+")</f>
        <v>45+</v>
      </c>
      <c r="Q595" s="21">
        <f>IF(Deals[[#This Row],[Status]]="Pending","",Deals[[#This Row],[DecisionDate]]-Deals[[#This Row],[ApplicationDate]])</f>
        <v>4</v>
      </c>
      <c r="R595" s="21">
        <f>IF(Deals[[#This Row],[Status]]="Approved",1,0)</f>
        <v>1</v>
      </c>
      <c r="S595" s="21">
        <f>IF(Deals[[#This Row],[IsApproved]]=1,Deals[[#This Row],[Amount]],0)</f>
        <v>20200</v>
      </c>
      <c r="T595" s="21">
        <f>Deals[[#This Row],[ApprovedAmount]]*Deals[[#This Row],[ProfitRate]]</f>
        <v>1175.6400000000001</v>
      </c>
    </row>
    <row r="596" spans="1:20">
      <c r="A596" s="2" t="s">
        <v>1122</v>
      </c>
      <c r="B596" s="3">
        <v>46155</v>
      </c>
      <c r="C596" s="2" t="s">
        <v>116</v>
      </c>
      <c r="D596" s="2" t="s">
        <v>71</v>
      </c>
      <c r="E596" s="2" t="s">
        <v>15</v>
      </c>
      <c r="F596" s="2" t="s">
        <v>31</v>
      </c>
      <c r="G596" s="4">
        <v>10200</v>
      </c>
      <c r="H596" s="5">
        <v>6.4799999999999996E-2</v>
      </c>
      <c r="I596" s="2">
        <v>60</v>
      </c>
      <c r="J596" s="2" t="s">
        <v>94</v>
      </c>
      <c r="K596" s="2" t="s">
        <v>17</v>
      </c>
      <c r="L596" s="3">
        <v>46162</v>
      </c>
      <c r="M596" s="2" t="str">
        <f>_xlfn.XLOOKUP(Deals[[#This Row],[CustomerID]],Customers!A:A,Customers!F:F)</f>
        <v>Affluent</v>
      </c>
      <c r="N596" s="2" t="str">
        <f>_xlfn.XLOOKUP(Deals[[#This Row],[CustomerID]],Customers!A:A,Customers!E:E)</f>
        <v>Kuwaiti</v>
      </c>
      <c r="O596" s="2">
        <f>2026-_xlfn.XLOOKUP(Deals[[#This Row],[CustomerID]],Customers!A:A,Customers!D:D)</f>
        <v>38</v>
      </c>
      <c r="P596" s="2" t="str" cm="1">
        <f t="array" ref="P596">_xlfn.IFS(Deals[[#This Row],[Age]]&lt;30,"Under 30",Deals[[#This Row],[Age]]&lt;45,"30-44",TRUE,"45+")</f>
        <v>30-44</v>
      </c>
      <c r="Q596" s="21">
        <f>IF(Deals[[#This Row],[Status]]="Pending","",Deals[[#This Row],[DecisionDate]]-Deals[[#This Row],[ApplicationDate]])</f>
        <v>7</v>
      </c>
      <c r="R596" s="21">
        <f>IF(Deals[[#This Row],[Status]]="Approved",1,0)</f>
        <v>1</v>
      </c>
      <c r="S596" s="21">
        <f>IF(Deals[[#This Row],[IsApproved]]=1,Deals[[#This Row],[Amount]],0)</f>
        <v>10200</v>
      </c>
      <c r="T596" s="21">
        <f>Deals[[#This Row],[ApprovedAmount]]*Deals[[#This Row],[ProfitRate]]</f>
        <v>660.95999999999992</v>
      </c>
    </row>
    <row r="597" spans="1:20">
      <c r="A597" s="2" t="s">
        <v>1123</v>
      </c>
      <c r="B597" s="3">
        <v>46155</v>
      </c>
      <c r="C597" s="2" t="s">
        <v>1124</v>
      </c>
      <c r="D597" s="2" t="s">
        <v>14</v>
      </c>
      <c r="E597" s="2" t="s">
        <v>15</v>
      </c>
      <c r="F597" s="2" t="s">
        <v>3</v>
      </c>
      <c r="G597" s="4">
        <v>16400</v>
      </c>
      <c r="H597" s="5">
        <v>5.5599999999999997E-2</v>
      </c>
      <c r="I597" s="2">
        <v>36</v>
      </c>
      <c r="J597" s="2" t="s">
        <v>40</v>
      </c>
      <c r="K597" s="2" t="s">
        <v>17</v>
      </c>
      <c r="L597" s="3">
        <v>46159</v>
      </c>
      <c r="M597" s="2" t="str">
        <f>_xlfn.XLOOKUP(Deals[[#This Row],[CustomerID]],Customers!A:A,Customers!F:F)</f>
        <v>Mass</v>
      </c>
      <c r="N597" s="2" t="str">
        <f>_xlfn.XLOOKUP(Deals[[#This Row],[CustomerID]],Customers!A:A,Customers!E:E)</f>
        <v>Kuwaiti</v>
      </c>
      <c r="O597" s="2">
        <f>2026-_xlfn.XLOOKUP(Deals[[#This Row],[CustomerID]],Customers!A:A,Customers!D:D)</f>
        <v>48</v>
      </c>
      <c r="P597" s="2" t="str" cm="1">
        <f t="array" ref="P597">_xlfn.IFS(Deals[[#This Row],[Age]]&lt;30,"Under 30",Deals[[#This Row],[Age]]&lt;45,"30-44",TRUE,"45+")</f>
        <v>45+</v>
      </c>
      <c r="Q597" s="21">
        <f>IF(Deals[[#This Row],[Status]]="Pending","",Deals[[#This Row],[DecisionDate]]-Deals[[#This Row],[ApplicationDate]])</f>
        <v>4</v>
      </c>
      <c r="R597" s="21">
        <f>IF(Deals[[#This Row],[Status]]="Approved",1,0)</f>
        <v>1</v>
      </c>
      <c r="S597" s="21">
        <f>IF(Deals[[#This Row],[IsApproved]]=1,Deals[[#This Row],[Amount]],0)</f>
        <v>16400</v>
      </c>
      <c r="T597" s="21">
        <f>Deals[[#This Row],[ApprovedAmount]]*Deals[[#This Row],[ProfitRate]]</f>
        <v>911.83999999999992</v>
      </c>
    </row>
    <row r="598" spans="1:20">
      <c r="A598" s="2" t="s">
        <v>1125</v>
      </c>
      <c r="B598" s="3">
        <v>46156</v>
      </c>
      <c r="C598" s="2" t="s">
        <v>742</v>
      </c>
      <c r="D598" s="2" t="s">
        <v>25</v>
      </c>
      <c r="E598" s="2" t="s">
        <v>43</v>
      </c>
      <c r="F598" s="2" t="s">
        <v>3</v>
      </c>
      <c r="G598" s="4">
        <v>78600</v>
      </c>
      <c r="H598" s="5">
        <v>7.7299999999999994E-2</v>
      </c>
      <c r="I598" s="2">
        <v>60</v>
      </c>
      <c r="J598" s="2" t="s">
        <v>181</v>
      </c>
      <c r="K598" s="2" t="s">
        <v>45</v>
      </c>
      <c r="L598" s="3">
        <v>46174</v>
      </c>
      <c r="M598" s="2" t="str">
        <f>_xlfn.XLOOKUP(Deals[[#This Row],[CustomerID]],Customers!A:A,Customers!F:F)</f>
        <v>Mass</v>
      </c>
      <c r="N598" s="2" t="str">
        <f>_xlfn.XLOOKUP(Deals[[#This Row],[CustomerID]],Customers!A:A,Customers!E:E)</f>
        <v>Kuwaiti</v>
      </c>
      <c r="O598" s="2">
        <f>2026-_xlfn.XLOOKUP(Deals[[#This Row],[CustomerID]],Customers!A:A,Customers!D:D)</f>
        <v>57</v>
      </c>
      <c r="P598" s="2" t="str" cm="1">
        <f t="array" ref="P598">_xlfn.IFS(Deals[[#This Row],[Age]]&lt;30,"Under 30",Deals[[#This Row],[Age]]&lt;45,"30-44",TRUE,"45+")</f>
        <v>45+</v>
      </c>
      <c r="Q598" s="21">
        <f>IF(Deals[[#This Row],[Status]]="Pending","",Deals[[#This Row],[DecisionDate]]-Deals[[#This Row],[ApplicationDate]])</f>
        <v>18</v>
      </c>
      <c r="R598" s="21">
        <f>IF(Deals[[#This Row],[Status]]="Approved",1,0)</f>
        <v>0</v>
      </c>
      <c r="S598" s="21">
        <f>IF(Deals[[#This Row],[IsApproved]]=1,Deals[[#This Row],[Amount]],0)</f>
        <v>0</v>
      </c>
      <c r="T598" s="21">
        <f>Deals[[#This Row],[ApprovedAmount]]*Deals[[#This Row],[ProfitRate]]</f>
        <v>0</v>
      </c>
    </row>
    <row r="599" spans="1:20">
      <c r="A599" s="2" t="s">
        <v>1126</v>
      </c>
      <c r="B599" s="3">
        <v>46156</v>
      </c>
      <c r="C599" s="2" t="s">
        <v>278</v>
      </c>
      <c r="D599" s="2" t="s">
        <v>14</v>
      </c>
      <c r="E599" s="2" t="s">
        <v>15</v>
      </c>
      <c r="F599" s="2" t="s">
        <v>3</v>
      </c>
      <c r="G599" s="4">
        <v>6100</v>
      </c>
      <c r="H599" s="5">
        <v>5.4199999999999998E-2</v>
      </c>
      <c r="I599" s="2">
        <v>60</v>
      </c>
      <c r="J599" s="2" t="s">
        <v>16</v>
      </c>
      <c r="K599" s="2" t="s">
        <v>17</v>
      </c>
      <c r="L599" s="3">
        <v>46157</v>
      </c>
      <c r="M599" s="2" t="str">
        <f>_xlfn.XLOOKUP(Deals[[#This Row],[CustomerID]],Customers!A:A,Customers!F:F)</f>
        <v>Affluent</v>
      </c>
      <c r="N599" s="2" t="str">
        <f>_xlfn.XLOOKUP(Deals[[#This Row],[CustomerID]],Customers!A:A,Customers!E:E)</f>
        <v>Kuwaiti</v>
      </c>
      <c r="O599" s="2">
        <f>2026-_xlfn.XLOOKUP(Deals[[#This Row],[CustomerID]],Customers!A:A,Customers!D:D)</f>
        <v>26</v>
      </c>
      <c r="P599" s="2" t="str" cm="1">
        <f t="array" ref="P599">_xlfn.IFS(Deals[[#This Row],[Age]]&lt;30,"Under 30",Deals[[#This Row],[Age]]&lt;45,"30-44",TRUE,"45+")</f>
        <v>Under 30</v>
      </c>
      <c r="Q599" s="21">
        <f>IF(Deals[[#This Row],[Status]]="Pending","",Deals[[#This Row],[DecisionDate]]-Deals[[#This Row],[ApplicationDate]])</f>
        <v>1</v>
      </c>
      <c r="R599" s="21">
        <f>IF(Deals[[#This Row],[Status]]="Approved",1,0)</f>
        <v>1</v>
      </c>
      <c r="S599" s="21">
        <f>IF(Deals[[#This Row],[IsApproved]]=1,Deals[[#This Row],[Amount]],0)</f>
        <v>6100</v>
      </c>
      <c r="T599" s="21">
        <f>Deals[[#This Row],[ApprovedAmount]]*Deals[[#This Row],[ProfitRate]]</f>
        <v>330.62</v>
      </c>
    </row>
    <row r="600" spans="1:20">
      <c r="A600" s="2" t="s">
        <v>1127</v>
      </c>
      <c r="B600" s="3">
        <v>46156</v>
      </c>
      <c r="C600" s="2" t="s">
        <v>636</v>
      </c>
      <c r="D600" s="2" t="s">
        <v>20</v>
      </c>
      <c r="E600" s="2" t="s">
        <v>43</v>
      </c>
      <c r="F600" s="2" t="s">
        <v>3</v>
      </c>
      <c r="G600" s="4">
        <v>53200</v>
      </c>
      <c r="H600" s="5">
        <v>7.3099999999999998E-2</v>
      </c>
      <c r="I600" s="2">
        <v>24</v>
      </c>
      <c r="J600" s="2" t="s">
        <v>44</v>
      </c>
      <c r="K600" s="2" t="s">
        <v>45</v>
      </c>
      <c r="L600" s="3">
        <v>46173</v>
      </c>
      <c r="M600" s="2" t="str">
        <f>_xlfn.XLOOKUP(Deals[[#This Row],[CustomerID]],Customers!A:A,Customers!F:F)</f>
        <v>Mass</v>
      </c>
      <c r="N600" s="2" t="str">
        <f>_xlfn.XLOOKUP(Deals[[#This Row],[CustomerID]],Customers!A:A,Customers!E:E)</f>
        <v>Kuwaiti</v>
      </c>
      <c r="O600" s="2">
        <f>2026-_xlfn.XLOOKUP(Deals[[#This Row],[CustomerID]],Customers!A:A,Customers!D:D)</f>
        <v>42</v>
      </c>
      <c r="P600" s="2" t="str" cm="1">
        <f t="array" ref="P600">_xlfn.IFS(Deals[[#This Row],[Age]]&lt;30,"Under 30",Deals[[#This Row],[Age]]&lt;45,"30-44",TRUE,"45+")</f>
        <v>30-44</v>
      </c>
      <c r="Q600" s="21">
        <f>IF(Deals[[#This Row],[Status]]="Pending","",Deals[[#This Row],[DecisionDate]]-Deals[[#This Row],[ApplicationDate]])</f>
        <v>17</v>
      </c>
      <c r="R600" s="21">
        <f>IF(Deals[[#This Row],[Status]]="Approved",1,0)</f>
        <v>0</v>
      </c>
      <c r="S600" s="21">
        <f>IF(Deals[[#This Row],[IsApproved]]=1,Deals[[#This Row],[Amount]],0)</f>
        <v>0</v>
      </c>
      <c r="T600" s="21">
        <f>Deals[[#This Row],[ApprovedAmount]]*Deals[[#This Row],[ProfitRate]]</f>
        <v>0</v>
      </c>
    </row>
    <row r="601" spans="1:20">
      <c r="A601" s="2" t="s">
        <v>1128</v>
      </c>
      <c r="B601" s="3">
        <v>46157</v>
      </c>
      <c r="C601" s="2" t="s">
        <v>1129</v>
      </c>
      <c r="D601" s="2" t="s">
        <v>29</v>
      </c>
      <c r="E601" s="2" t="s">
        <v>30</v>
      </c>
      <c r="F601" s="2" t="s">
        <v>31</v>
      </c>
      <c r="G601" s="4">
        <v>15300</v>
      </c>
      <c r="H601" s="5">
        <v>4.9599999999999998E-2</v>
      </c>
      <c r="I601" s="2">
        <v>48</v>
      </c>
      <c r="J601" s="2" t="s">
        <v>32</v>
      </c>
      <c r="K601" s="2" t="s">
        <v>17</v>
      </c>
      <c r="L601" s="3">
        <v>46161</v>
      </c>
      <c r="M601" s="2" t="str">
        <f>_xlfn.XLOOKUP(Deals[[#This Row],[CustomerID]],Customers!A:A,Customers!F:F)</f>
        <v>Affluent</v>
      </c>
      <c r="N601" s="2" t="str">
        <f>_xlfn.XLOOKUP(Deals[[#This Row],[CustomerID]],Customers!A:A,Customers!E:E)</f>
        <v>Kuwaiti</v>
      </c>
      <c r="O601" s="2">
        <f>2026-_xlfn.XLOOKUP(Deals[[#This Row],[CustomerID]],Customers!A:A,Customers!D:D)</f>
        <v>48</v>
      </c>
      <c r="P601" s="2" t="str" cm="1">
        <f t="array" ref="P601">_xlfn.IFS(Deals[[#This Row],[Age]]&lt;30,"Under 30",Deals[[#This Row],[Age]]&lt;45,"30-44",TRUE,"45+")</f>
        <v>45+</v>
      </c>
      <c r="Q601" s="21">
        <f>IF(Deals[[#This Row],[Status]]="Pending","",Deals[[#This Row],[DecisionDate]]-Deals[[#This Row],[ApplicationDate]])</f>
        <v>4</v>
      </c>
      <c r="R601" s="21">
        <f>IF(Deals[[#This Row],[Status]]="Approved",1,0)</f>
        <v>1</v>
      </c>
      <c r="S601" s="21">
        <f>IF(Deals[[#This Row],[IsApproved]]=1,Deals[[#This Row],[Amount]],0)</f>
        <v>15300</v>
      </c>
      <c r="T601" s="21">
        <f>Deals[[#This Row],[ApprovedAmount]]*Deals[[#This Row],[ProfitRate]]</f>
        <v>758.88</v>
      </c>
    </row>
    <row r="602" spans="1:20">
      <c r="A602" s="2" t="s">
        <v>1130</v>
      </c>
      <c r="B602" s="3">
        <v>46157</v>
      </c>
      <c r="C602" s="2" t="s">
        <v>1131</v>
      </c>
      <c r="D602" s="2" t="s">
        <v>25</v>
      </c>
      <c r="E602" s="2" t="s">
        <v>43</v>
      </c>
      <c r="F602" s="2" t="s">
        <v>31</v>
      </c>
      <c r="G602" s="4">
        <v>119500</v>
      </c>
      <c r="H602" s="5">
        <v>7.0999999999999994E-2</v>
      </c>
      <c r="I602" s="2">
        <v>84</v>
      </c>
      <c r="J602" s="2" t="s">
        <v>66</v>
      </c>
      <c r="K602" s="2" t="s">
        <v>45</v>
      </c>
      <c r="L602" s="3">
        <v>46165</v>
      </c>
      <c r="M602" s="2" t="str">
        <f>_xlfn.XLOOKUP(Deals[[#This Row],[CustomerID]],Customers!A:A,Customers!F:F)</f>
        <v>Mass</v>
      </c>
      <c r="N602" s="2" t="str">
        <f>_xlfn.XLOOKUP(Deals[[#This Row],[CustomerID]],Customers!A:A,Customers!E:E)</f>
        <v>Kuwaiti</v>
      </c>
      <c r="O602" s="2">
        <f>2026-_xlfn.XLOOKUP(Deals[[#This Row],[CustomerID]],Customers!A:A,Customers!D:D)</f>
        <v>35</v>
      </c>
      <c r="P602" s="2" t="str" cm="1">
        <f t="array" ref="P602">_xlfn.IFS(Deals[[#This Row],[Age]]&lt;30,"Under 30",Deals[[#This Row],[Age]]&lt;45,"30-44",TRUE,"45+")</f>
        <v>30-44</v>
      </c>
      <c r="Q602" s="21">
        <f>IF(Deals[[#This Row],[Status]]="Pending","",Deals[[#This Row],[DecisionDate]]-Deals[[#This Row],[ApplicationDate]])</f>
        <v>8</v>
      </c>
      <c r="R602" s="21">
        <f>IF(Deals[[#This Row],[Status]]="Approved",1,0)</f>
        <v>0</v>
      </c>
      <c r="S602" s="21">
        <f>IF(Deals[[#This Row],[IsApproved]]=1,Deals[[#This Row],[Amount]],0)</f>
        <v>0</v>
      </c>
      <c r="T602" s="21">
        <f>Deals[[#This Row],[ApprovedAmount]]*Deals[[#This Row],[ProfitRate]]</f>
        <v>0</v>
      </c>
    </row>
    <row r="603" spans="1:20">
      <c r="A603" s="2" t="s">
        <v>1132</v>
      </c>
      <c r="B603" s="3">
        <v>46157</v>
      </c>
      <c r="C603" s="2" t="s">
        <v>1117</v>
      </c>
      <c r="D603" s="2" t="s">
        <v>14</v>
      </c>
      <c r="E603" s="2" t="s">
        <v>15</v>
      </c>
      <c r="F603" s="2" t="s">
        <v>55</v>
      </c>
      <c r="G603" s="4">
        <v>3200</v>
      </c>
      <c r="H603" s="5">
        <v>5.3699999999999998E-2</v>
      </c>
      <c r="I603" s="2">
        <v>12</v>
      </c>
      <c r="J603" s="2" t="s">
        <v>16</v>
      </c>
      <c r="K603" s="2" t="s">
        <v>45</v>
      </c>
      <c r="L603" s="3">
        <v>46161</v>
      </c>
      <c r="M603" s="2" t="str">
        <f>_xlfn.XLOOKUP(Deals[[#This Row],[CustomerID]],Customers!A:A,Customers!F:F)</f>
        <v>Premium</v>
      </c>
      <c r="N603" s="2" t="str">
        <f>_xlfn.XLOOKUP(Deals[[#This Row],[CustomerID]],Customers!A:A,Customers!E:E)</f>
        <v>Non-Kuwaiti</v>
      </c>
      <c r="O603" s="2">
        <f>2026-_xlfn.XLOOKUP(Deals[[#This Row],[CustomerID]],Customers!A:A,Customers!D:D)</f>
        <v>67</v>
      </c>
      <c r="P603" s="2" t="str" cm="1">
        <f t="array" ref="P603">_xlfn.IFS(Deals[[#This Row],[Age]]&lt;30,"Under 30",Deals[[#This Row],[Age]]&lt;45,"30-44",TRUE,"45+")</f>
        <v>45+</v>
      </c>
      <c r="Q603" s="21">
        <f>IF(Deals[[#This Row],[Status]]="Pending","",Deals[[#This Row],[DecisionDate]]-Deals[[#This Row],[ApplicationDate]])</f>
        <v>4</v>
      </c>
      <c r="R603" s="21">
        <f>IF(Deals[[#This Row],[Status]]="Approved",1,0)</f>
        <v>0</v>
      </c>
      <c r="S603" s="21">
        <f>IF(Deals[[#This Row],[IsApproved]]=1,Deals[[#This Row],[Amount]],0)</f>
        <v>0</v>
      </c>
      <c r="T603" s="21">
        <f>Deals[[#This Row],[ApprovedAmount]]*Deals[[#This Row],[ProfitRate]]</f>
        <v>0</v>
      </c>
    </row>
    <row r="604" spans="1:20">
      <c r="A604" s="2" t="s">
        <v>1133</v>
      </c>
      <c r="B604" s="3">
        <v>46157</v>
      </c>
      <c r="C604" s="2" t="s">
        <v>1134</v>
      </c>
      <c r="D604" s="2" t="s">
        <v>71</v>
      </c>
      <c r="E604" s="2" t="s">
        <v>30</v>
      </c>
      <c r="F604" s="2" t="s">
        <v>31</v>
      </c>
      <c r="G604" s="4">
        <v>10900</v>
      </c>
      <c r="H604" s="5">
        <v>4.3700000000000003E-2</v>
      </c>
      <c r="I604" s="2">
        <v>36</v>
      </c>
      <c r="J604" s="2" t="s">
        <v>72</v>
      </c>
      <c r="K604" s="2" t="s">
        <v>17</v>
      </c>
      <c r="L604" s="3">
        <v>46157</v>
      </c>
      <c r="M604" s="2" t="str">
        <f>_xlfn.XLOOKUP(Deals[[#This Row],[CustomerID]],Customers!A:A,Customers!F:F)</f>
        <v>Affluent</v>
      </c>
      <c r="N604" s="2" t="str">
        <f>_xlfn.XLOOKUP(Deals[[#This Row],[CustomerID]],Customers!A:A,Customers!E:E)</f>
        <v>Non-Kuwaiti</v>
      </c>
      <c r="O604" s="2">
        <f>2026-_xlfn.XLOOKUP(Deals[[#This Row],[CustomerID]],Customers!A:A,Customers!D:D)</f>
        <v>43</v>
      </c>
      <c r="P604" s="2" t="str" cm="1">
        <f t="array" ref="P604">_xlfn.IFS(Deals[[#This Row],[Age]]&lt;30,"Under 30",Deals[[#This Row],[Age]]&lt;45,"30-44",TRUE,"45+")</f>
        <v>30-44</v>
      </c>
      <c r="Q604" s="21">
        <f>IF(Deals[[#This Row],[Status]]="Pending","",Deals[[#This Row],[DecisionDate]]-Deals[[#This Row],[ApplicationDate]])</f>
        <v>0</v>
      </c>
      <c r="R604" s="21">
        <f>IF(Deals[[#This Row],[Status]]="Approved",1,0)</f>
        <v>1</v>
      </c>
      <c r="S604" s="21">
        <f>IF(Deals[[#This Row],[IsApproved]]=1,Deals[[#This Row],[Amount]],0)</f>
        <v>10900</v>
      </c>
      <c r="T604" s="21">
        <f>Deals[[#This Row],[ApprovedAmount]]*Deals[[#This Row],[ProfitRate]]</f>
        <v>476.33000000000004</v>
      </c>
    </row>
    <row r="605" spans="1:20">
      <c r="A605" s="2" t="s">
        <v>1135</v>
      </c>
      <c r="B605" s="3">
        <v>46157</v>
      </c>
      <c r="C605" s="2" t="s">
        <v>1136</v>
      </c>
      <c r="D605" s="2" t="s">
        <v>14</v>
      </c>
      <c r="E605" s="2" t="s">
        <v>43</v>
      </c>
      <c r="F605" s="2" t="s">
        <v>55</v>
      </c>
      <c r="G605" s="4">
        <v>112000</v>
      </c>
      <c r="H605" s="5">
        <v>6.5100000000000005E-2</v>
      </c>
      <c r="I605" s="2">
        <v>24</v>
      </c>
      <c r="J605" s="2" t="s">
        <v>40</v>
      </c>
      <c r="K605" s="2" t="s">
        <v>45</v>
      </c>
      <c r="L605" s="3">
        <v>46177</v>
      </c>
      <c r="M605" s="2" t="str">
        <f>_xlfn.XLOOKUP(Deals[[#This Row],[CustomerID]],Customers!A:A,Customers!F:F)</f>
        <v>Premium</v>
      </c>
      <c r="N605" s="2" t="str">
        <f>_xlfn.XLOOKUP(Deals[[#This Row],[CustomerID]],Customers!A:A,Customers!E:E)</f>
        <v>Kuwaiti</v>
      </c>
      <c r="O605" s="2">
        <f>2026-_xlfn.XLOOKUP(Deals[[#This Row],[CustomerID]],Customers!A:A,Customers!D:D)</f>
        <v>24</v>
      </c>
      <c r="P605" s="2" t="str" cm="1">
        <f t="array" ref="P605">_xlfn.IFS(Deals[[#This Row],[Age]]&lt;30,"Under 30",Deals[[#This Row],[Age]]&lt;45,"30-44",TRUE,"45+")</f>
        <v>Under 30</v>
      </c>
      <c r="Q605" s="21">
        <f>IF(Deals[[#This Row],[Status]]="Pending","",Deals[[#This Row],[DecisionDate]]-Deals[[#This Row],[ApplicationDate]])</f>
        <v>20</v>
      </c>
      <c r="R605" s="21">
        <f>IF(Deals[[#This Row],[Status]]="Approved",1,0)</f>
        <v>0</v>
      </c>
      <c r="S605" s="21">
        <f>IF(Deals[[#This Row],[IsApproved]]=1,Deals[[#This Row],[Amount]],0)</f>
        <v>0</v>
      </c>
      <c r="T605" s="21">
        <f>Deals[[#This Row],[ApprovedAmount]]*Deals[[#This Row],[ProfitRate]]</f>
        <v>0</v>
      </c>
    </row>
    <row r="606" spans="1:20">
      <c r="A606" s="2" t="s">
        <v>1137</v>
      </c>
      <c r="B606" s="3">
        <v>46157</v>
      </c>
      <c r="C606" s="2" t="s">
        <v>858</v>
      </c>
      <c r="D606" s="2" t="s">
        <v>14</v>
      </c>
      <c r="E606" s="2" t="s">
        <v>43</v>
      </c>
      <c r="F606" s="2" t="s">
        <v>55</v>
      </c>
      <c r="G606" s="4">
        <v>104300</v>
      </c>
      <c r="H606" s="5">
        <v>7.9500000000000001E-2</v>
      </c>
      <c r="I606" s="2">
        <v>84</v>
      </c>
      <c r="J606" s="2" t="s">
        <v>16</v>
      </c>
      <c r="K606" s="2" t="s">
        <v>17</v>
      </c>
      <c r="L606" s="3">
        <v>46169</v>
      </c>
      <c r="M606" s="2" t="str">
        <f>_xlfn.XLOOKUP(Deals[[#This Row],[CustomerID]],Customers!A:A,Customers!F:F)</f>
        <v>Affluent</v>
      </c>
      <c r="N606" s="2" t="str">
        <f>_xlfn.XLOOKUP(Deals[[#This Row],[CustomerID]],Customers!A:A,Customers!E:E)</f>
        <v>Kuwaiti</v>
      </c>
      <c r="O606" s="2">
        <f>2026-_xlfn.XLOOKUP(Deals[[#This Row],[CustomerID]],Customers!A:A,Customers!D:D)</f>
        <v>68</v>
      </c>
      <c r="P606" s="2" t="str" cm="1">
        <f t="array" ref="P606">_xlfn.IFS(Deals[[#This Row],[Age]]&lt;30,"Under 30",Deals[[#This Row],[Age]]&lt;45,"30-44",TRUE,"45+")</f>
        <v>45+</v>
      </c>
      <c r="Q606" s="21">
        <f>IF(Deals[[#This Row],[Status]]="Pending","",Deals[[#This Row],[DecisionDate]]-Deals[[#This Row],[ApplicationDate]])</f>
        <v>12</v>
      </c>
      <c r="R606" s="21">
        <f>IF(Deals[[#This Row],[Status]]="Approved",1,0)</f>
        <v>1</v>
      </c>
      <c r="S606" s="21">
        <f>IF(Deals[[#This Row],[IsApproved]]=1,Deals[[#This Row],[Amount]],0)</f>
        <v>104300</v>
      </c>
      <c r="T606" s="21">
        <f>Deals[[#This Row],[ApprovedAmount]]*Deals[[#This Row],[ProfitRate]]</f>
        <v>8291.85</v>
      </c>
    </row>
    <row r="607" spans="1:20">
      <c r="A607" s="2" t="s">
        <v>1138</v>
      </c>
      <c r="B607" s="3">
        <v>46157</v>
      </c>
      <c r="C607" s="2" t="s">
        <v>190</v>
      </c>
      <c r="D607" s="2" t="s">
        <v>71</v>
      </c>
      <c r="E607" s="2" t="s">
        <v>15</v>
      </c>
      <c r="F607" s="2" t="s">
        <v>31</v>
      </c>
      <c r="G607" s="4">
        <v>2500</v>
      </c>
      <c r="H607" s="5">
        <v>5.2200000000000003E-2</v>
      </c>
      <c r="I607" s="2">
        <v>36</v>
      </c>
      <c r="J607" s="2" t="s">
        <v>101</v>
      </c>
      <c r="K607" s="2" t="s">
        <v>17</v>
      </c>
      <c r="L607" s="3">
        <v>46161</v>
      </c>
      <c r="M607" s="2" t="str">
        <f>_xlfn.XLOOKUP(Deals[[#This Row],[CustomerID]],Customers!A:A,Customers!F:F)</f>
        <v>Affluent</v>
      </c>
      <c r="N607" s="2" t="str">
        <f>_xlfn.XLOOKUP(Deals[[#This Row],[CustomerID]],Customers!A:A,Customers!E:E)</f>
        <v>Kuwaiti</v>
      </c>
      <c r="O607" s="2">
        <f>2026-_xlfn.XLOOKUP(Deals[[#This Row],[CustomerID]],Customers!A:A,Customers!D:D)</f>
        <v>42</v>
      </c>
      <c r="P607" s="2" t="str" cm="1">
        <f t="array" ref="P607">_xlfn.IFS(Deals[[#This Row],[Age]]&lt;30,"Under 30",Deals[[#This Row],[Age]]&lt;45,"30-44",TRUE,"45+")</f>
        <v>30-44</v>
      </c>
      <c r="Q607" s="21">
        <f>IF(Deals[[#This Row],[Status]]="Pending","",Deals[[#This Row],[DecisionDate]]-Deals[[#This Row],[ApplicationDate]])</f>
        <v>4</v>
      </c>
      <c r="R607" s="21">
        <f>IF(Deals[[#This Row],[Status]]="Approved",1,0)</f>
        <v>1</v>
      </c>
      <c r="S607" s="21">
        <f>IF(Deals[[#This Row],[IsApproved]]=1,Deals[[#This Row],[Amount]],0)</f>
        <v>2500</v>
      </c>
      <c r="T607" s="21">
        <f>Deals[[#This Row],[ApprovedAmount]]*Deals[[#This Row],[ProfitRate]]</f>
        <v>130.5</v>
      </c>
    </row>
    <row r="608" spans="1:20">
      <c r="A608" s="2" t="s">
        <v>1140</v>
      </c>
      <c r="B608" s="3">
        <v>46157</v>
      </c>
      <c r="C608" s="2" t="s">
        <v>86</v>
      </c>
      <c r="D608" s="2" t="s">
        <v>54</v>
      </c>
      <c r="E608" s="2" t="s">
        <v>15</v>
      </c>
      <c r="F608" s="2" t="s">
        <v>3</v>
      </c>
      <c r="G608" s="4">
        <v>16600</v>
      </c>
      <c r="H608" s="5">
        <v>6.0900000000000003E-2</v>
      </c>
      <c r="I608" s="2">
        <v>60</v>
      </c>
      <c r="J608" s="2" t="s">
        <v>186</v>
      </c>
      <c r="K608" s="2" t="s">
        <v>17</v>
      </c>
      <c r="L608" s="3">
        <v>46160</v>
      </c>
      <c r="M608" s="2" t="str">
        <f>_xlfn.XLOOKUP(Deals[[#This Row],[CustomerID]],Customers!A:A,Customers!F:F)</f>
        <v>Mass</v>
      </c>
      <c r="N608" s="2" t="str">
        <f>_xlfn.XLOOKUP(Deals[[#This Row],[CustomerID]],Customers!A:A,Customers!E:E)</f>
        <v>Kuwaiti</v>
      </c>
      <c r="O608" s="2">
        <f>2026-_xlfn.XLOOKUP(Deals[[#This Row],[CustomerID]],Customers!A:A,Customers!D:D)</f>
        <v>43</v>
      </c>
      <c r="P608" s="2" t="str" cm="1">
        <f t="array" ref="P608">_xlfn.IFS(Deals[[#This Row],[Age]]&lt;30,"Under 30",Deals[[#This Row],[Age]]&lt;45,"30-44",TRUE,"45+")</f>
        <v>30-44</v>
      </c>
      <c r="Q608" s="21">
        <f>IF(Deals[[#This Row],[Status]]="Pending","",Deals[[#This Row],[DecisionDate]]-Deals[[#This Row],[ApplicationDate]])</f>
        <v>3</v>
      </c>
      <c r="R608" s="21">
        <f>IF(Deals[[#This Row],[Status]]="Approved",1,0)</f>
        <v>1</v>
      </c>
      <c r="S608" s="21">
        <f>IF(Deals[[#This Row],[IsApproved]]=1,Deals[[#This Row],[Amount]],0)</f>
        <v>16600</v>
      </c>
      <c r="T608" s="21">
        <f>Deals[[#This Row],[ApprovedAmount]]*Deals[[#This Row],[ProfitRate]]</f>
        <v>1010.94</v>
      </c>
    </row>
    <row r="609" spans="1:20">
      <c r="A609" s="2" t="s">
        <v>1141</v>
      </c>
      <c r="B609" s="3">
        <v>46157</v>
      </c>
      <c r="C609" s="2" t="s">
        <v>588</v>
      </c>
      <c r="D609" s="2" t="s">
        <v>71</v>
      </c>
      <c r="E609" s="2" t="s">
        <v>15</v>
      </c>
      <c r="F609" s="2" t="s">
        <v>55</v>
      </c>
      <c r="G609" s="4">
        <v>25000</v>
      </c>
      <c r="H609" s="5">
        <v>5.8000000000000003E-2</v>
      </c>
      <c r="I609" s="2">
        <v>24</v>
      </c>
      <c r="J609" s="2" t="s">
        <v>94</v>
      </c>
      <c r="K609" s="2" t="s">
        <v>17</v>
      </c>
      <c r="L609" s="3">
        <v>46164</v>
      </c>
      <c r="M609" s="2" t="str">
        <f>_xlfn.XLOOKUP(Deals[[#This Row],[CustomerID]],Customers!A:A,Customers!F:F)</f>
        <v>Premium</v>
      </c>
      <c r="N609" s="2" t="str">
        <f>_xlfn.XLOOKUP(Deals[[#This Row],[CustomerID]],Customers!A:A,Customers!E:E)</f>
        <v>Kuwaiti</v>
      </c>
      <c r="O609" s="2">
        <f>2026-_xlfn.XLOOKUP(Deals[[#This Row],[CustomerID]],Customers!A:A,Customers!D:D)</f>
        <v>45</v>
      </c>
      <c r="P609" s="2" t="str" cm="1">
        <f t="array" ref="P609">_xlfn.IFS(Deals[[#This Row],[Age]]&lt;30,"Under 30",Deals[[#This Row],[Age]]&lt;45,"30-44",TRUE,"45+")</f>
        <v>45+</v>
      </c>
      <c r="Q609" s="21">
        <f>IF(Deals[[#This Row],[Status]]="Pending","",Deals[[#This Row],[DecisionDate]]-Deals[[#This Row],[ApplicationDate]])</f>
        <v>7</v>
      </c>
      <c r="R609" s="21">
        <f>IF(Deals[[#This Row],[Status]]="Approved",1,0)</f>
        <v>1</v>
      </c>
      <c r="S609" s="21">
        <f>IF(Deals[[#This Row],[IsApproved]]=1,Deals[[#This Row],[Amount]],0)</f>
        <v>25000</v>
      </c>
      <c r="T609" s="21">
        <f>Deals[[#This Row],[ApprovedAmount]]*Deals[[#This Row],[ProfitRate]]</f>
        <v>1450</v>
      </c>
    </row>
    <row r="610" spans="1:20">
      <c r="A610" s="2" t="s">
        <v>1142</v>
      </c>
      <c r="B610" s="3">
        <v>46158</v>
      </c>
      <c r="C610" s="2" t="s">
        <v>1143</v>
      </c>
      <c r="D610" s="2" t="s">
        <v>54</v>
      </c>
      <c r="E610" s="2" t="s">
        <v>30</v>
      </c>
      <c r="F610" s="2" t="s">
        <v>3</v>
      </c>
      <c r="G610" s="4">
        <v>8500</v>
      </c>
      <c r="H610" s="5">
        <v>4.0300000000000002E-2</v>
      </c>
      <c r="I610" s="2">
        <v>36</v>
      </c>
      <c r="J610" s="2" t="s">
        <v>56</v>
      </c>
      <c r="K610" s="2" t="s">
        <v>17</v>
      </c>
      <c r="L610" s="3">
        <v>46160</v>
      </c>
      <c r="M610" s="2" t="str">
        <f>_xlfn.XLOOKUP(Deals[[#This Row],[CustomerID]],Customers!A:A,Customers!F:F)</f>
        <v>Mass</v>
      </c>
      <c r="N610" s="2" t="str">
        <f>_xlfn.XLOOKUP(Deals[[#This Row],[CustomerID]],Customers!A:A,Customers!E:E)</f>
        <v>Kuwaiti</v>
      </c>
      <c r="O610" s="2">
        <f>2026-_xlfn.XLOOKUP(Deals[[#This Row],[CustomerID]],Customers!A:A,Customers!D:D)</f>
        <v>62</v>
      </c>
      <c r="P610" s="2" t="str" cm="1">
        <f t="array" ref="P610">_xlfn.IFS(Deals[[#This Row],[Age]]&lt;30,"Under 30",Deals[[#This Row],[Age]]&lt;45,"30-44",TRUE,"45+")</f>
        <v>45+</v>
      </c>
      <c r="Q610" s="21">
        <f>IF(Deals[[#This Row],[Status]]="Pending","",Deals[[#This Row],[DecisionDate]]-Deals[[#This Row],[ApplicationDate]])</f>
        <v>2</v>
      </c>
      <c r="R610" s="21">
        <f>IF(Deals[[#This Row],[Status]]="Approved",1,0)</f>
        <v>1</v>
      </c>
      <c r="S610" s="21">
        <f>IF(Deals[[#This Row],[IsApproved]]=1,Deals[[#This Row],[Amount]],0)</f>
        <v>8500</v>
      </c>
      <c r="T610" s="21">
        <f>Deals[[#This Row],[ApprovedAmount]]*Deals[[#This Row],[ProfitRate]]</f>
        <v>342.55</v>
      </c>
    </row>
    <row r="611" spans="1:20">
      <c r="A611" s="2" t="s">
        <v>1144</v>
      </c>
      <c r="B611" s="3">
        <v>46158</v>
      </c>
      <c r="C611" s="2" t="s">
        <v>1145</v>
      </c>
      <c r="D611" s="2" t="s">
        <v>25</v>
      </c>
      <c r="E611" s="2" t="s">
        <v>15</v>
      </c>
      <c r="F611" s="2" t="s">
        <v>3</v>
      </c>
      <c r="G611" s="4">
        <v>3500</v>
      </c>
      <c r="H611" s="5">
        <v>5.2999999999999999E-2</v>
      </c>
      <c r="I611" s="2">
        <v>36</v>
      </c>
      <c r="J611" s="2" t="s">
        <v>26</v>
      </c>
      <c r="K611" s="2" t="s">
        <v>17</v>
      </c>
      <c r="L611" s="3">
        <v>46162</v>
      </c>
      <c r="M611" s="2" t="str">
        <f>_xlfn.XLOOKUP(Deals[[#This Row],[CustomerID]],Customers!A:A,Customers!F:F)</f>
        <v>Premium</v>
      </c>
      <c r="N611" s="2" t="str">
        <f>_xlfn.XLOOKUP(Deals[[#This Row],[CustomerID]],Customers!A:A,Customers!E:E)</f>
        <v>Non-Kuwaiti</v>
      </c>
      <c r="O611" s="2">
        <f>2026-_xlfn.XLOOKUP(Deals[[#This Row],[CustomerID]],Customers!A:A,Customers!D:D)</f>
        <v>58</v>
      </c>
      <c r="P611" s="2" t="str" cm="1">
        <f t="array" ref="P611">_xlfn.IFS(Deals[[#This Row],[Age]]&lt;30,"Under 30",Deals[[#This Row],[Age]]&lt;45,"30-44",TRUE,"45+")</f>
        <v>45+</v>
      </c>
      <c r="Q611" s="21">
        <f>IF(Deals[[#This Row],[Status]]="Pending","",Deals[[#This Row],[DecisionDate]]-Deals[[#This Row],[ApplicationDate]])</f>
        <v>4</v>
      </c>
      <c r="R611" s="21">
        <f>IF(Deals[[#This Row],[Status]]="Approved",1,0)</f>
        <v>1</v>
      </c>
      <c r="S611" s="21">
        <f>IF(Deals[[#This Row],[IsApproved]]=1,Deals[[#This Row],[Amount]],0)</f>
        <v>3500</v>
      </c>
      <c r="T611" s="21">
        <f>Deals[[#This Row],[ApprovedAmount]]*Deals[[#This Row],[ProfitRate]]</f>
        <v>185.5</v>
      </c>
    </row>
    <row r="612" spans="1:20">
      <c r="A612" s="2" t="s">
        <v>1146</v>
      </c>
      <c r="B612" s="3">
        <v>46158</v>
      </c>
      <c r="C612" s="2" t="s">
        <v>1147</v>
      </c>
      <c r="D612" s="2" t="s">
        <v>14</v>
      </c>
      <c r="E612" s="2" t="s">
        <v>21</v>
      </c>
      <c r="F612" s="2" t="s">
        <v>55</v>
      </c>
      <c r="G612" s="4">
        <v>132300</v>
      </c>
      <c r="H612" s="5">
        <v>3.8100000000000002E-2</v>
      </c>
      <c r="I612" s="2">
        <v>300</v>
      </c>
      <c r="J612" s="2" t="s">
        <v>16</v>
      </c>
      <c r="K612" s="2" t="s">
        <v>45</v>
      </c>
      <c r="L612" s="3">
        <v>46173</v>
      </c>
      <c r="M612" s="2" t="str">
        <f>_xlfn.XLOOKUP(Deals[[#This Row],[CustomerID]],Customers!A:A,Customers!F:F)</f>
        <v>Affluent</v>
      </c>
      <c r="N612" s="2" t="str">
        <f>_xlfn.XLOOKUP(Deals[[#This Row],[CustomerID]],Customers!A:A,Customers!E:E)</f>
        <v>Non-Kuwaiti</v>
      </c>
      <c r="O612" s="2">
        <f>2026-_xlfn.XLOOKUP(Deals[[#This Row],[CustomerID]],Customers!A:A,Customers!D:D)</f>
        <v>23</v>
      </c>
      <c r="P612" s="2" t="str" cm="1">
        <f t="array" ref="P612">_xlfn.IFS(Deals[[#This Row],[Age]]&lt;30,"Under 30",Deals[[#This Row],[Age]]&lt;45,"30-44",TRUE,"45+")</f>
        <v>Under 30</v>
      </c>
      <c r="Q612" s="21">
        <f>IF(Deals[[#This Row],[Status]]="Pending","",Deals[[#This Row],[DecisionDate]]-Deals[[#This Row],[ApplicationDate]])</f>
        <v>15</v>
      </c>
      <c r="R612" s="21">
        <f>IF(Deals[[#This Row],[Status]]="Approved",1,0)</f>
        <v>0</v>
      </c>
      <c r="S612" s="21">
        <f>IF(Deals[[#This Row],[IsApproved]]=1,Deals[[#This Row],[Amount]],0)</f>
        <v>0</v>
      </c>
      <c r="T612" s="21">
        <f>Deals[[#This Row],[ApprovedAmount]]*Deals[[#This Row],[ProfitRate]]</f>
        <v>0</v>
      </c>
    </row>
    <row r="613" spans="1:20">
      <c r="A613" s="2" t="s">
        <v>1148</v>
      </c>
      <c r="B613" s="3">
        <v>46158</v>
      </c>
      <c r="C613" s="2" t="s">
        <v>282</v>
      </c>
      <c r="D613" s="2" t="s">
        <v>71</v>
      </c>
      <c r="E613" s="2" t="s">
        <v>15</v>
      </c>
      <c r="F613" s="2" t="s">
        <v>31</v>
      </c>
      <c r="G613" s="4">
        <v>10900</v>
      </c>
      <c r="H613" s="5">
        <v>6.7000000000000004E-2</v>
      </c>
      <c r="I613" s="2">
        <v>12</v>
      </c>
      <c r="J613" s="2" t="s">
        <v>94</v>
      </c>
      <c r="K613" s="2" t="s">
        <v>45</v>
      </c>
      <c r="L613" s="3">
        <v>46162</v>
      </c>
      <c r="M613" s="2" t="str">
        <f>_xlfn.XLOOKUP(Deals[[#This Row],[CustomerID]],Customers!A:A,Customers!F:F)</f>
        <v>Mass</v>
      </c>
      <c r="N613" s="2" t="str">
        <f>_xlfn.XLOOKUP(Deals[[#This Row],[CustomerID]],Customers!A:A,Customers!E:E)</f>
        <v>Non-Kuwaiti</v>
      </c>
      <c r="O613" s="2">
        <f>2026-_xlfn.XLOOKUP(Deals[[#This Row],[CustomerID]],Customers!A:A,Customers!D:D)</f>
        <v>25</v>
      </c>
      <c r="P613" s="2" t="str" cm="1">
        <f t="array" ref="P613">_xlfn.IFS(Deals[[#This Row],[Age]]&lt;30,"Under 30",Deals[[#This Row],[Age]]&lt;45,"30-44",TRUE,"45+")</f>
        <v>Under 30</v>
      </c>
      <c r="Q613" s="21">
        <f>IF(Deals[[#This Row],[Status]]="Pending","",Deals[[#This Row],[DecisionDate]]-Deals[[#This Row],[ApplicationDate]])</f>
        <v>4</v>
      </c>
      <c r="R613" s="21">
        <f>IF(Deals[[#This Row],[Status]]="Approved",1,0)</f>
        <v>0</v>
      </c>
      <c r="S613" s="21">
        <f>IF(Deals[[#This Row],[IsApproved]]=1,Deals[[#This Row],[Amount]],0)</f>
        <v>0</v>
      </c>
      <c r="T613" s="21">
        <f>Deals[[#This Row],[ApprovedAmount]]*Deals[[#This Row],[ProfitRate]]</f>
        <v>0</v>
      </c>
    </row>
    <row r="614" spans="1:20">
      <c r="A614" s="2" t="s">
        <v>1149</v>
      </c>
      <c r="B614" s="3">
        <v>46159</v>
      </c>
      <c r="C614" s="2" t="s">
        <v>290</v>
      </c>
      <c r="D614" s="2" t="s">
        <v>25</v>
      </c>
      <c r="E614" s="2" t="s">
        <v>15</v>
      </c>
      <c r="F614" s="2" t="s">
        <v>3</v>
      </c>
      <c r="G614" s="4">
        <v>20000</v>
      </c>
      <c r="H614" s="5">
        <v>5.8400000000000001E-2</v>
      </c>
      <c r="I614" s="2">
        <v>24</v>
      </c>
      <c r="J614" s="2" t="s">
        <v>26</v>
      </c>
      <c r="K614" s="2" t="s">
        <v>45</v>
      </c>
      <c r="L614" s="3">
        <v>46161</v>
      </c>
      <c r="M614" s="2" t="str">
        <f>_xlfn.XLOOKUP(Deals[[#This Row],[CustomerID]],Customers!A:A,Customers!F:F)</f>
        <v>Affluent</v>
      </c>
      <c r="N614" s="2" t="str">
        <f>_xlfn.XLOOKUP(Deals[[#This Row],[CustomerID]],Customers!A:A,Customers!E:E)</f>
        <v>Non-Kuwaiti</v>
      </c>
      <c r="O614" s="2">
        <f>2026-_xlfn.XLOOKUP(Deals[[#This Row],[CustomerID]],Customers!A:A,Customers!D:D)</f>
        <v>29</v>
      </c>
      <c r="P614" s="2" t="str" cm="1">
        <f t="array" ref="P614">_xlfn.IFS(Deals[[#This Row],[Age]]&lt;30,"Under 30",Deals[[#This Row],[Age]]&lt;45,"30-44",TRUE,"45+")</f>
        <v>Under 30</v>
      </c>
      <c r="Q614" s="21">
        <f>IF(Deals[[#This Row],[Status]]="Pending","",Deals[[#This Row],[DecisionDate]]-Deals[[#This Row],[ApplicationDate]])</f>
        <v>2</v>
      </c>
      <c r="R614" s="21">
        <f>IF(Deals[[#This Row],[Status]]="Approved",1,0)</f>
        <v>0</v>
      </c>
      <c r="S614" s="21">
        <f>IF(Deals[[#This Row],[IsApproved]]=1,Deals[[#This Row],[Amount]],0)</f>
        <v>0</v>
      </c>
      <c r="T614" s="21">
        <f>Deals[[#This Row],[ApprovedAmount]]*Deals[[#This Row],[ProfitRate]]</f>
        <v>0</v>
      </c>
    </row>
    <row r="615" spans="1:20">
      <c r="A615" s="2" t="s">
        <v>1151</v>
      </c>
      <c r="B615" s="3">
        <v>46159</v>
      </c>
      <c r="C615" s="2" t="s">
        <v>1152</v>
      </c>
      <c r="D615" s="2" t="s">
        <v>54</v>
      </c>
      <c r="E615" s="2" t="s">
        <v>30</v>
      </c>
      <c r="F615" s="2" t="s">
        <v>31</v>
      </c>
      <c r="G615" s="4">
        <v>6500</v>
      </c>
      <c r="H615" s="5">
        <v>4.5600000000000002E-2</v>
      </c>
      <c r="I615" s="2">
        <v>60</v>
      </c>
      <c r="J615" s="2" t="s">
        <v>186</v>
      </c>
      <c r="K615" s="2" t="s">
        <v>17</v>
      </c>
      <c r="L615" s="3">
        <v>46163</v>
      </c>
      <c r="M615" s="2" t="str">
        <f>_xlfn.XLOOKUP(Deals[[#This Row],[CustomerID]],Customers!A:A,Customers!F:F)</f>
        <v>Mass</v>
      </c>
      <c r="N615" s="2" t="str">
        <f>_xlfn.XLOOKUP(Deals[[#This Row],[CustomerID]],Customers!A:A,Customers!E:E)</f>
        <v>Kuwaiti</v>
      </c>
      <c r="O615" s="2">
        <f>2026-_xlfn.XLOOKUP(Deals[[#This Row],[CustomerID]],Customers!A:A,Customers!D:D)</f>
        <v>25</v>
      </c>
      <c r="P615" s="2" t="str" cm="1">
        <f t="array" ref="P615">_xlfn.IFS(Deals[[#This Row],[Age]]&lt;30,"Under 30",Deals[[#This Row],[Age]]&lt;45,"30-44",TRUE,"45+")</f>
        <v>Under 30</v>
      </c>
      <c r="Q615" s="21">
        <f>IF(Deals[[#This Row],[Status]]="Pending","",Deals[[#This Row],[DecisionDate]]-Deals[[#This Row],[ApplicationDate]])</f>
        <v>4</v>
      </c>
      <c r="R615" s="21">
        <f>IF(Deals[[#This Row],[Status]]="Approved",1,0)</f>
        <v>1</v>
      </c>
      <c r="S615" s="21">
        <f>IF(Deals[[#This Row],[IsApproved]]=1,Deals[[#This Row],[Amount]],0)</f>
        <v>6500</v>
      </c>
      <c r="T615" s="21">
        <f>Deals[[#This Row],[ApprovedAmount]]*Deals[[#This Row],[ProfitRate]]</f>
        <v>296.40000000000003</v>
      </c>
    </row>
    <row r="616" spans="1:20">
      <c r="A616" s="2" t="s">
        <v>1153</v>
      </c>
      <c r="B616" s="3">
        <v>46159</v>
      </c>
      <c r="C616" s="2" t="s">
        <v>1154</v>
      </c>
      <c r="D616" s="2" t="s">
        <v>20</v>
      </c>
      <c r="E616" s="2" t="s">
        <v>30</v>
      </c>
      <c r="F616" s="2" t="s">
        <v>55</v>
      </c>
      <c r="G616" s="4">
        <v>14500</v>
      </c>
      <c r="H616" s="5">
        <v>4.0800000000000003E-2</v>
      </c>
      <c r="I616" s="2">
        <v>48</v>
      </c>
      <c r="J616" s="2" t="s">
        <v>22</v>
      </c>
      <c r="K616" s="2" t="s">
        <v>17</v>
      </c>
      <c r="L616" s="3">
        <v>46163</v>
      </c>
      <c r="M616" s="2" t="str">
        <f>_xlfn.XLOOKUP(Deals[[#This Row],[CustomerID]],Customers!A:A,Customers!F:F)</f>
        <v>Premium</v>
      </c>
      <c r="N616" s="2" t="str">
        <f>_xlfn.XLOOKUP(Deals[[#This Row],[CustomerID]],Customers!A:A,Customers!E:E)</f>
        <v>Kuwaiti</v>
      </c>
      <c r="O616" s="2">
        <f>2026-_xlfn.XLOOKUP(Deals[[#This Row],[CustomerID]],Customers!A:A,Customers!D:D)</f>
        <v>59</v>
      </c>
      <c r="P616" s="2" t="str" cm="1">
        <f t="array" ref="P616">_xlfn.IFS(Deals[[#This Row],[Age]]&lt;30,"Under 30",Deals[[#This Row],[Age]]&lt;45,"30-44",TRUE,"45+")</f>
        <v>45+</v>
      </c>
      <c r="Q616" s="21">
        <f>IF(Deals[[#This Row],[Status]]="Pending","",Deals[[#This Row],[DecisionDate]]-Deals[[#This Row],[ApplicationDate]])</f>
        <v>4</v>
      </c>
      <c r="R616" s="21">
        <f>IF(Deals[[#This Row],[Status]]="Approved",1,0)</f>
        <v>1</v>
      </c>
      <c r="S616" s="21">
        <f>IF(Deals[[#This Row],[IsApproved]]=1,Deals[[#This Row],[Amount]],0)</f>
        <v>14500</v>
      </c>
      <c r="T616" s="21">
        <f>Deals[[#This Row],[ApprovedAmount]]*Deals[[#This Row],[ProfitRate]]</f>
        <v>591.6</v>
      </c>
    </row>
    <row r="617" spans="1:20">
      <c r="A617" s="2" t="s">
        <v>1155</v>
      </c>
      <c r="B617" s="3">
        <v>46159</v>
      </c>
      <c r="C617" s="2" t="s">
        <v>1156</v>
      </c>
      <c r="D617" s="2" t="s">
        <v>25</v>
      </c>
      <c r="E617" s="2" t="s">
        <v>43</v>
      </c>
      <c r="F617" s="2" t="s">
        <v>31</v>
      </c>
      <c r="G617" s="4">
        <v>92300</v>
      </c>
      <c r="H617" s="5">
        <v>7.9500000000000001E-2</v>
      </c>
      <c r="I617" s="2">
        <v>84</v>
      </c>
      <c r="J617" s="2" t="s">
        <v>26</v>
      </c>
      <c r="K617" s="2" t="s">
        <v>45</v>
      </c>
      <c r="L617" s="3">
        <v>46180</v>
      </c>
      <c r="M617" s="2" t="str">
        <f>_xlfn.XLOOKUP(Deals[[#This Row],[CustomerID]],Customers!A:A,Customers!F:F)</f>
        <v>Mass</v>
      </c>
      <c r="N617" s="2" t="str">
        <f>_xlfn.XLOOKUP(Deals[[#This Row],[CustomerID]],Customers!A:A,Customers!E:E)</f>
        <v>Kuwaiti</v>
      </c>
      <c r="O617" s="2">
        <f>2026-_xlfn.XLOOKUP(Deals[[#This Row],[CustomerID]],Customers!A:A,Customers!D:D)</f>
        <v>66</v>
      </c>
      <c r="P617" s="2" t="str" cm="1">
        <f t="array" ref="P617">_xlfn.IFS(Deals[[#This Row],[Age]]&lt;30,"Under 30",Deals[[#This Row],[Age]]&lt;45,"30-44",TRUE,"45+")</f>
        <v>45+</v>
      </c>
      <c r="Q617" s="21">
        <f>IF(Deals[[#This Row],[Status]]="Pending","",Deals[[#This Row],[DecisionDate]]-Deals[[#This Row],[ApplicationDate]])</f>
        <v>21</v>
      </c>
      <c r="R617" s="21">
        <f>IF(Deals[[#This Row],[Status]]="Approved",1,0)</f>
        <v>0</v>
      </c>
      <c r="S617" s="21">
        <f>IF(Deals[[#This Row],[IsApproved]]=1,Deals[[#This Row],[Amount]],0)</f>
        <v>0</v>
      </c>
      <c r="T617" s="21">
        <f>Deals[[#This Row],[ApprovedAmount]]*Deals[[#This Row],[ProfitRate]]</f>
        <v>0</v>
      </c>
    </row>
    <row r="618" spans="1:20">
      <c r="A618" s="2" t="s">
        <v>1157</v>
      </c>
      <c r="B618" s="3">
        <v>46159</v>
      </c>
      <c r="C618" s="2" t="s">
        <v>1015</v>
      </c>
      <c r="D618" s="2" t="s">
        <v>25</v>
      </c>
      <c r="E618" s="2" t="s">
        <v>30</v>
      </c>
      <c r="F618" s="2" t="s">
        <v>31</v>
      </c>
      <c r="G618" s="4">
        <v>12500</v>
      </c>
      <c r="H618" s="5">
        <v>4.9700000000000001E-2</v>
      </c>
      <c r="I618" s="2">
        <v>36</v>
      </c>
      <c r="J618" s="2" t="s">
        <v>66</v>
      </c>
      <c r="K618" s="2" t="s">
        <v>17</v>
      </c>
      <c r="L618" s="3">
        <v>46161</v>
      </c>
      <c r="M618" s="2" t="str">
        <f>_xlfn.XLOOKUP(Deals[[#This Row],[CustomerID]],Customers!A:A,Customers!F:F)</f>
        <v>Mass</v>
      </c>
      <c r="N618" s="2" t="str">
        <f>_xlfn.XLOOKUP(Deals[[#This Row],[CustomerID]],Customers!A:A,Customers!E:E)</f>
        <v>Kuwaiti</v>
      </c>
      <c r="O618" s="2">
        <f>2026-_xlfn.XLOOKUP(Deals[[#This Row],[CustomerID]],Customers!A:A,Customers!D:D)</f>
        <v>31</v>
      </c>
      <c r="P618" s="2" t="str" cm="1">
        <f t="array" ref="P618">_xlfn.IFS(Deals[[#This Row],[Age]]&lt;30,"Under 30",Deals[[#This Row],[Age]]&lt;45,"30-44",TRUE,"45+")</f>
        <v>30-44</v>
      </c>
      <c r="Q618" s="21">
        <f>IF(Deals[[#This Row],[Status]]="Pending","",Deals[[#This Row],[DecisionDate]]-Deals[[#This Row],[ApplicationDate]])</f>
        <v>2</v>
      </c>
      <c r="R618" s="21">
        <f>IF(Deals[[#This Row],[Status]]="Approved",1,0)</f>
        <v>1</v>
      </c>
      <c r="S618" s="21">
        <f>IF(Deals[[#This Row],[IsApproved]]=1,Deals[[#This Row],[Amount]],0)</f>
        <v>12500</v>
      </c>
      <c r="T618" s="21">
        <f>Deals[[#This Row],[ApprovedAmount]]*Deals[[#This Row],[ProfitRate]]</f>
        <v>621.25</v>
      </c>
    </row>
    <row r="619" spans="1:20">
      <c r="A619" s="2" t="s">
        <v>1158</v>
      </c>
      <c r="B619" s="3">
        <v>46159</v>
      </c>
      <c r="C619" s="2" t="s">
        <v>677</v>
      </c>
      <c r="D619" s="2" t="s">
        <v>71</v>
      </c>
      <c r="E619" s="2" t="s">
        <v>30</v>
      </c>
      <c r="F619" s="2" t="s">
        <v>31</v>
      </c>
      <c r="G619" s="4">
        <v>10900</v>
      </c>
      <c r="H619" s="5">
        <v>3.7600000000000001E-2</v>
      </c>
      <c r="I619" s="2">
        <v>48</v>
      </c>
      <c r="J619" s="2" t="s">
        <v>101</v>
      </c>
      <c r="K619" s="2" t="s">
        <v>17</v>
      </c>
      <c r="L619" s="3">
        <v>46159</v>
      </c>
      <c r="M619" s="2" t="str">
        <f>_xlfn.XLOOKUP(Deals[[#This Row],[CustomerID]],Customers!A:A,Customers!F:F)</f>
        <v>Mass</v>
      </c>
      <c r="N619" s="2" t="str">
        <f>_xlfn.XLOOKUP(Deals[[#This Row],[CustomerID]],Customers!A:A,Customers!E:E)</f>
        <v>Kuwaiti</v>
      </c>
      <c r="O619" s="2">
        <f>2026-_xlfn.XLOOKUP(Deals[[#This Row],[CustomerID]],Customers!A:A,Customers!D:D)</f>
        <v>41</v>
      </c>
      <c r="P619" s="2" t="str" cm="1">
        <f t="array" ref="P619">_xlfn.IFS(Deals[[#This Row],[Age]]&lt;30,"Under 30",Deals[[#This Row],[Age]]&lt;45,"30-44",TRUE,"45+")</f>
        <v>30-44</v>
      </c>
      <c r="Q619" s="21">
        <f>IF(Deals[[#This Row],[Status]]="Pending","",Deals[[#This Row],[DecisionDate]]-Deals[[#This Row],[ApplicationDate]])</f>
        <v>0</v>
      </c>
      <c r="R619" s="21">
        <f>IF(Deals[[#This Row],[Status]]="Approved",1,0)</f>
        <v>1</v>
      </c>
      <c r="S619" s="21">
        <f>IF(Deals[[#This Row],[IsApproved]]=1,Deals[[#This Row],[Amount]],0)</f>
        <v>10900</v>
      </c>
      <c r="T619" s="21">
        <f>Deals[[#This Row],[ApprovedAmount]]*Deals[[#This Row],[ProfitRate]]</f>
        <v>409.84000000000003</v>
      </c>
    </row>
    <row r="620" spans="1:20">
      <c r="A620" s="2" t="s">
        <v>1159</v>
      </c>
      <c r="B620" s="3">
        <v>46159</v>
      </c>
      <c r="C620" s="2" t="s">
        <v>991</v>
      </c>
      <c r="D620" s="2" t="s">
        <v>25</v>
      </c>
      <c r="E620" s="2" t="s">
        <v>43</v>
      </c>
      <c r="F620" s="2" t="s">
        <v>3</v>
      </c>
      <c r="G620" s="4">
        <v>41400</v>
      </c>
      <c r="H620" s="5">
        <v>5.8099999999999999E-2</v>
      </c>
      <c r="I620" s="2">
        <v>24</v>
      </c>
      <c r="J620" s="2" t="s">
        <v>26</v>
      </c>
      <c r="K620" s="2" t="s">
        <v>45</v>
      </c>
      <c r="L620" s="3">
        <v>46176</v>
      </c>
      <c r="M620" s="2" t="str">
        <f>_xlfn.XLOOKUP(Deals[[#This Row],[CustomerID]],Customers!A:A,Customers!F:F)</f>
        <v>Mass</v>
      </c>
      <c r="N620" s="2" t="str">
        <f>_xlfn.XLOOKUP(Deals[[#This Row],[CustomerID]],Customers!A:A,Customers!E:E)</f>
        <v>Non-Kuwaiti</v>
      </c>
      <c r="O620" s="2">
        <f>2026-_xlfn.XLOOKUP(Deals[[#This Row],[CustomerID]],Customers!A:A,Customers!D:D)</f>
        <v>27</v>
      </c>
      <c r="P620" s="2" t="str" cm="1">
        <f t="array" ref="P620">_xlfn.IFS(Deals[[#This Row],[Age]]&lt;30,"Under 30",Deals[[#This Row],[Age]]&lt;45,"30-44",TRUE,"45+")</f>
        <v>Under 30</v>
      </c>
      <c r="Q620" s="21">
        <f>IF(Deals[[#This Row],[Status]]="Pending","",Deals[[#This Row],[DecisionDate]]-Deals[[#This Row],[ApplicationDate]])</f>
        <v>17</v>
      </c>
      <c r="R620" s="21">
        <f>IF(Deals[[#This Row],[Status]]="Approved",1,0)</f>
        <v>0</v>
      </c>
      <c r="S620" s="21">
        <f>IF(Deals[[#This Row],[IsApproved]]=1,Deals[[#This Row],[Amount]],0)</f>
        <v>0</v>
      </c>
      <c r="T620" s="21">
        <f>Deals[[#This Row],[ApprovedAmount]]*Deals[[#This Row],[ProfitRate]]</f>
        <v>0</v>
      </c>
    </row>
    <row r="621" spans="1:20">
      <c r="A621" s="2" t="s">
        <v>1160</v>
      </c>
      <c r="B621" s="3">
        <v>46159</v>
      </c>
      <c r="C621" s="2" t="s">
        <v>195</v>
      </c>
      <c r="D621" s="2" t="s">
        <v>29</v>
      </c>
      <c r="E621" s="2" t="s">
        <v>15</v>
      </c>
      <c r="F621" s="2" t="s">
        <v>3</v>
      </c>
      <c r="G621" s="4">
        <v>8900</v>
      </c>
      <c r="H621" s="5">
        <v>6.4199999999999993E-2</v>
      </c>
      <c r="I621" s="2">
        <v>24</v>
      </c>
      <c r="J621" s="2" t="s">
        <v>32</v>
      </c>
      <c r="K621" s="2" t="s">
        <v>45</v>
      </c>
      <c r="L621" s="3">
        <v>46166</v>
      </c>
      <c r="M621" s="2" t="str">
        <f>_xlfn.XLOOKUP(Deals[[#This Row],[CustomerID]],Customers!A:A,Customers!F:F)</f>
        <v>Affluent</v>
      </c>
      <c r="N621" s="2" t="str">
        <f>_xlfn.XLOOKUP(Deals[[#This Row],[CustomerID]],Customers!A:A,Customers!E:E)</f>
        <v>Kuwaiti</v>
      </c>
      <c r="O621" s="2">
        <f>2026-_xlfn.XLOOKUP(Deals[[#This Row],[CustomerID]],Customers!A:A,Customers!D:D)</f>
        <v>32</v>
      </c>
      <c r="P621" s="2" t="str" cm="1">
        <f t="array" ref="P621">_xlfn.IFS(Deals[[#This Row],[Age]]&lt;30,"Under 30",Deals[[#This Row],[Age]]&lt;45,"30-44",TRUE,"45+")</f>
        <v>30-44</v>
      </c>
      <c r="Q621" s="21">
        <f>IF(Deals[[#This Row],[Status]]="Pending","",Deals[[#This Row],[DecisionDate]]-Deals[[#This Row],[ApplicationDate]])</f>
        <v>7</v>
      </c>
      <c r="R621" s="21">
        <f>IF(Deals[[#This Row],[Status]]="Approved",1,0)</f>
        <v>0</v>
      </c>
      <c r="S621" s="21">
        <f>IF(Deals[[#This Row],[IsApproved]]=1,Deals[[#This Row],[Amount]],0)</f>
        <v>0</v>
      </c>
      <c r="T621" s="21">
        <f>Deals[[#This Row],[ApprovedAmount]]*Deals[[#This Row],[ProfitRate]]</f>
        <v>0</v>
      </c>
    </row>
    <row r="622" spans="1:20">
      <c r="A622" s="2" t="s">
        <v>1161</v>
      </c>
      <c r="B622" s="3">
        <v>46159</v>
      </c>
      <c r="C622" s="2" t="s">
        <v>1034</v>
      </c>
      <c r="D622" s="2" t="s">
        <v>14</v>
      </c>
      <c r="E622" s="2" t="s">
        <v>30</v>
      </c>
      <c r="F622" s="2" t="s">
        <v>3</v>
      </c>
      <c r="G622" s="4">
        <v>7300</v>
      </c>
      <c r="H622" s="5">
        <v>4.3700000000000003E-2</v>
      </c>
      <c r="I622" s="2">
        <v>48</v>
      </c>
      <c r="J622" s="2" t="s">
        <v>48</v>
      </c>
      <c r="K622" s="2" t="s">
        <v>17</v>
      </c>
      <c r="L622" s="3">
        <v>46160</v>
      </c>
      <c r="M622" s="2" t="str">
        <f>_xlfn.XLOOKUP(Deals[[#This Row],[CustomerID]],Customers!A:A,Customers!F:F)</f>
        <v>Mass</v>
      </c>
      <c r="N622" s="2" t="str">
        <f>_xlfn.XLOOKUP(Deals[[#This Row],[CustomerID]],Customers!A:A,Customers!E:E)</f>
        <v>Kuwaiti</v>
      </c>
      <c r="O622" s="2">
        <f>2026-_xlfn.XLOOKUP(Deals[[#This Row],[CustomerID]],Customers!A:A,Customers!D:D)</f>
        <v>71</v>
      </c>
      <c r="P622" s="2" t="str" cm="1">
        <f t="array" ref="P622">_xlfn.IFS(Deals[[#This Row],[Age]]&lt;30,"Under 30",Deals[[#This Row],[Age]]&lt;45,"30-44",TRUE,"45+")</f>
        <v>45+</v>
      </c>
      <c r="Q622" s="21">
        <f>IF(Deals[[#This Row],[Status]]="Pending","",Deals[[#This Row],[DecisionDate]]-Deals[[#This Row],[ApplicationDate]])</f>
        <v>1</v>
      </c>
      <c r="R622" s="21">
        <f>IF(Deals[[#This Row],[Status]]="Approved",1,0)</f>
        <v>1</v>
      </c>
      <c r="S622" s="21">
        <f>IF(Deals[[#This Row],[IsApproved]]=1,Deals[[#This Row],[Amount]],0)</f>
        <v>7300</v>
      </c>
      <c r="T622" s="21">
        <f>Deals[[#This Row],[ApprovedAmount]]*Deals[[#This Row],[ProfitRate]]</f>
        <v>319.01000000000005</v>
      </c>
    </row>
    <row r="623" spans="1:20">
      <c r="A623" s="2" t="s">
        <v>1162</v>
      </c>
      <c r="B623" s="3">
        <v>46159</v>
      </c>
      <c r="C623" s="2" t="s">
        <v>1163</v>
      </c>
      <c r="D623" s="2" t="s">
        <v>14</v>
      </c>
      <c r="E623" s="2" t="s">
        <v>30</v>
      </c>
      <c r="F623" s="2" t="s">
        <v>3</v>
      </c>
      <c r="G623" s="4">
        <v>6200</v>
      </c>
      <c r="H623" s="5">
        <v>3.7499999999999999E-2</v>
      </c>
      <c r="I623" s="2">
        <v>48</v>
      </c>
      <c r="J623" s="2" t="s">
        <v>48</v>
      </c>
      <c r="K623" s="2" t="s">
        <v>17</v>
      </c>
      <c r="L623" s="3">
        <v>46163</v>
      </c>
      <c r="M623" s="2" t="str">
        <f>_xlfn.XLOOKUP(Deals[[#This Row],[CustomerID]],Customers!A:A,Customers!F:F)</f>
        <v>Mass</v>
      </c>
      <c r="N623" s="2" t="str">
        <f>_xlfn.XLOOKUP(Deals[[#This Row],[CustomerID]],Customers!A:A,Customers!E:E)</f>
        <v>Kuwaiti</v>
      </c>
      <c r="O623" s="2">
        <f>2026-_xlfn.XLOOKUP(Deals[[#This Row],[CustomerID]],Customers!A:A,Customers!D:D)</f>
        <v>64</v>
      </c>
      <c r="P623" s="2" t="str" cm="1">
        <f t="array" ref="P623">_xlfn.IFS(Deals[[#This Row],[Age]]&lt;30,"Under 30",Deals[[#This Row],[Age]]&lt;45,"30-44",TRUE,"45+")</f>
        <v>45+</v>
      </c>
      <c r="Q623" s="21">
        <f>IF(Deals[[#This Row],[Status]]="Pending","",Deals[[#This Row],[DecisionDate]]-Deals[[#This Row],[ApplicationDate]])</f>
        <v>4</v>
      </c>
      <c r="R623" s="21">
        <f>IF(Deals[[#This Row],[Status]]="Approved",1,0)</f>
        <v>1</v>
      </c>
      <c r="S623" s="21">
        <f>IF(Deals[[#This Row],[IsApproved]]=1,Deals[[#This Row],[Amount]],0)</f>
        <v>6200</v>
      </c>
      <c r="T623" s="21">
        <f>Deals[[#This Row],[ApprovedAmount]]*Deals[[#This Row],[ProfitRate]]</f>
        <v>232.5</v>
      </c>
    </row>
    <row r="624" spans="1:20">
      <c r="A624" s="2" t="s">
        <v>1164</v>
      </c>
      <c r="B624" s="3">
        <v>46160</v>
      </c>
      <c r="C624" s="2" t="s">
        <v>1165</v>
      </c>
      <c r="D624" s="2" t="s">
        <v>54</v>
      </c>
      <c r="E624" s="2" t="s">
        <v>30</v>
      </c>
      <c r="F624" s="2" t="s">
        <v>31</v>
      </c>
      <c r="G624" s="4">
        <v>11900</v>
      </c>
      <c r="H624" s="5">
        <v>4.0099999999999997E-2</v>
      </c>
      <c r="I624" s="2">
        <v>48</v>
      </c>
      <c r="J624" s="2" t="s">
        <v>148</v>
      </c>
      <c r="K624" s="2" t="s">
        <v>17</v>
      </c>
      <c r="L624" s="3">
        <v>46163</v>
      </c>
      <c r="M624" s="2" t="str">
        <f>_xlfn.XLOOKUP(Deals[[#This Row],[CustomerID]],Customers!A:A,Customers!F:F)</f>
        <v>Mass</v>
      </c>
      <c r="N624" s="2" t="str">
        <f>_xlfn.XLOOKUP(Deals[[#This Row],[CustomerID]],Customers!A:A,Customers!E:E)</f>
        <v>Kuwaiti</v>
      </c>
      <c r="O624" s="2">
        <f>2026-_xlfn.XLOOKUP(Deals[[#This Row],[CustomerID]],Customers!A:A,Customers!D:D)</f>
        <v>26</v>
      </c>
      <c r="P624" s="2" t="str" cm="1">
        <f t="array" ref="P624">_xlfn.IFS(Deals[[#This Row],[Age]]&lt;30,"Under 30",Deals[[#This Row],[Age]]&lt;45,"30-44",TRUE,"45+")</f>
        <v>Under 30</v>
      </c>
      <c r="Q624" s="21">
        <f>IF(Deals[[#This Row],[Status]]="Pending","",Deals[[#This Row],[DecisionDate]]-Deals[[#This Row],[ApplicationDate]])</f>
        <v>3</v>
      </c>
      <c r="R624" s="21">
        <f>IF(Deals[[#This Row],[Status]]="Approved",1,0)</f>
        <v>1</v>
      </c>
      <c r="S624" s="21">
        <f>IF(Deals[[#This Row],[IsApproved]]=1,Deals[[#This Row],[Amount]],0)</f>
        <v>11900</v>
      </c>
      <c r="T624" s="21">
        <f>Deals[[#This Row],[ApprovedAmount]]*Deals[[#This Row],[ProfitRate]]</f>
        <v>477.18999999999994</v>
      </c>
    </row>
    <row r="625" spans="1:20">
      <c r="A625" s="2" t="s">
        <v>1166</v>
      </c>
      <c r="B625" s="3">
        <v>46160</v>
      </c>
      <c r="C625" s="2" t="s">
        <v>685</v>
      </c>
      <c r="D625" s="2" t="s">
        <v>14</v>
      </c>
      <c r="E625" s="2" t="s">
        <v>21</v>
      </c>
      <c r="F625" s="2" t="s">
        <v>55</v>
      </c>
      <c r="G625" s="4">
        <v>156500</v>
      </c>
      <c r="H625" s="5">
        <v>3.2399999999999998E-2</v>
      </c>
      <c r="I625" s="2">
        <v>180</v>
      </c>
      <c r="J625" s="2" t="s">
        <v>40</v>
      </c>
      <c r="K625" s="2" t="s">
        <v>45</v>
      </c>
      <c r="L625" s="3">
        <v>46185</v>
      </c>
      <c r="M625" s="2" t="str">
        <f>_xlfn.XLOOKUP(Deals[[#This Row],[CustomerID]],Customers!A:A,Customers!F:F)</f>
        <v>Mass</v>
      </c>
      <c r="N625" s="2" t="str">
        <f>_xlfn.XLOOKUP(Deals[[#This Row],[CustomerID]],Customers!A:A,Customers!E:E)</f>
        <v>Non-Kuwaiti</v>
      </c>
      <c r="O625" s="2">
        <f>2026-_xlfn.XLOOKUP(Deals[[#This Row],[CustomerID]],Customers!A:A,Customers!D:D)</f>
        <v>26</v>
      </c>
      <c r="P625" s="2" t="str" cm="1">
        <f t="array" ref="P625">_xlfn.IFS(Deals[[#This Row],[Age]]&lt;30,"Under 30",Deals[[#This Row],[Age]]&lt;45,"30-44",TRUE,"45+")</f>
        <v>Under 30</v>
      </c>
      <c r="Q625" s="21">
        <f>IF(Deals[[#This Row],[Status]]="Pending","",Deals[[#This Row],[DecisionDate]]-Deals[[#This Row],[ApplicationDate]])</f>
        <v>25</v>
      </c>
      <c r="R625" s="21">
        <f>IF(Deals[[#This Row],[Status]]="Approved",1,0)</f>
        <v>0</v>
      </c>
      <c r="S625" s="21">
        <f>IF(Deals[[#This Row],[IsApproved]]=1,Deals[[#This Row],[Amount]],0)</f>
        <v>0</v>
      </c>
      <c r="T625" s="21">
        <f>Deals[[#This Row],[ApprovedAmount]]*Deals[[#This Row],[ProfitRate]]</f>
        <v>0</v>
      </c>
    </row>
    <row r="626" spans="1:20">
      <c r="A626" s="2" t="s">
        <v>1167</v>
      </c>
      <c r="B626" s="3">
        <v>46160</v>
      </c>
      <c r="C626" s="2" t="s">
        <v>1168</v>
      </c>
      <c r="D626" s="2" t="s">
        <v>20</v>
      </c>
      <c r="E626" s="2" t="s">
        <v>15</v>
      </c>
      <c r="F626" s="2" t="s">
        <v>55</v>
      </c>
      <c r="G626" s="4">
        <v>2200</v>
      </c>
      <c r="H626" s="5">
        <v>5.91E-2</v>
      </c>
      <c r="I626" s="2">
        <v>36</v>
      </c>
      <c r="J626" s="2" t="s">
        <v>44</v>
      </c>
      <c r="K626" s="2" t="s">
        <v>17</v>
      </c>
      <c r="L626" s="3">
        <v>46167</v>
      </c>
      <c r="M626" s="2" t="str">
        <f>_xlfn.XLOOKUP(Deals[[#This Row],[CustomerID]],Customers!A:A,Customers!F:F)</f>
        <v>Mass</v>
      </c>
      <c r="N626" s="2" t="str">
        <f>_xlfn.XLOOKUP(Deals[[#This Row],[CustomerID]],Customers!A:A,Customers!E:E)</f>
        <v>Kuwaiti</v>
      </c>
      <c r="O626" s="2">
        <f>2026-_xlfn.XLOOKUP(Deals[[#This Row],[CustomerID]],Customers!A:A,Customers!D:D)</f>
        <v>27</v>
      </c>
      <c r="P626" s="2" t="str" cm="1">
        <f t="array" ref="P626">_xlfn.IFS(Deals[[#This Row],[Age]]&lt;30,"Under 30",Deals[[#This Row],[Age]]&lt;45,"30-44",TRUE,"45+")</f>
        <v>Under 30</v>
      </c>
      <c r="Q626" s="21">
        <f>IF(Deals[[#This Row],[Status]]="Pending","",Deals[[#This Row],[DecisionDate]]-Deals[[#This Row],[ApplicationDate]])</f>
        <v>7</v>
      </c>
      <c r="R626" s="21">
        <f>IF(Deals[[#This Row],[Status]]="Approved",1,0)</f>
        <v>1</v>
      </c>
      <c r="S626" s="21">
        <f>IF(Deals[[#This Row],[IsApproved]]=1,Deals[[#This Row],[Amount]],0)</f>
        <v>2200</v>
      </c>
      <c r="T626" s="21">
        <f>Deals[[#This Row],[ApprovedAmount]]*Deals[[#This Row],[ProfitRate]]</f>
        <v>130.02000000000001</v>
      </c>
    </row>
    <row r="627" spans="1:20">
      <c r="A627" s="2" t="s">
        <v>1169</v>
      </c>
      <c r="B627" s="3">
        <v>46161</v>
      </c>
      <c r="C627" s="2" t="s">
        <v>623</v>
      </c>
      <c r="D627" s="2" t="s">
        <v>29</v>
      </c>
      <c r="E627" s="2" t="s">
        <v>30</v>
      </c>
      <c r="F627" s="2" t="s">
        <v>3</v>
      </c>
      <c r="G627" s="4">
        <v>5600</v>
      </c>
      <c r="H627" s="5">
        <v>4.7800000000000002E-2</v>
      </c>
      <c r="I627" s="2">
        <v>36</v>
      </c>
      <c r="J627" s="2" t="s">
        <v>32</v>
      </c>
      <c r="K627" s="2" t="s">
        <v>17</v>
      </c>
      <c r="L627" s="3">
        <v>46163</v>
      </c>
      <c r="M627" s="2" t="str">
        <f>_xlfn.XLOOKUP(Deals[[#This Row],[CustomerID]],Customers!A:A,Customers!F:F)</f>
        <v>Mass</v>
      </c>
      <c r="N627" s="2" t="str">
        <f>_xlfn.XLOOKUP(Deals[[#This Row],[CustomerID]],Customers!A:A,Customers!E:E)</f>
        <v>Kuwaiti</v>
      </c>
      <c r="O627" s="2">
        <f>2026-_xlfn.XLOOKUP(Deals[[#This Row],[CustomerID]],Customers!A:A,Customers!D:D)</f>
        <v>29</v>
      </c>
      <c r="P627" s="2" t="str" cm="1">
        <f t="array" ref="P627">_xlfn.IFS(Deals[[#This Row],[Age]]&lt;30,"Under 30",Deals[[#This Row],[Age]]&lt;45,"30-44",TRUE,"45+")</f>
        <v>Under 30</v>
      </c>
      <c r="Q627" s="21">
        <f>IF(Deals[[#This Row],[Status]]="Pending","",Deals[[#This Row],[DecisionDate]]-Deals[[#This Row],[ApplicationDate]])</f>
        <v>2</v>
      </c>
      <c r="R627" s="21">
        <f>IF(Deals[[#This Row],[Status]]="Approved",1,0)</f>
        <v>1</v>
      </c>
      <c r="S627" s="21">
        <f>IF(Deals[[#This Row],[IsApproved]]=1,Deals[[#This Row],[Amount]],0)</f>
        <v>5600</v>
      </c>
      <c r="T627" s="21">
        <f>Deals[[#This Row],[ApprovedAmount]]*Deals[[#This Row],[ProfitRate]]</f>
        <v>267.68</v>
      </c>
    </row>
    <row r="628" spans="1:20">
      <c r="A628" s="2" t="s">
        <v>1170</v>
      </c>
      <c r="B628" s="3">
        <v>46161</v>
      </c>
      <c r="C628" s="2" t="s">
        <v>1171</v>
      </c>
      <c r="D628" s="2" t="s">
        <v>20</v>
      </c>
      <c r="E628" s="2" t="s">
        <v>30</v>
      </c>
      <c r="F628" s="2" t="s">
        <v>3</v>
      </c>
      <c r="G628" s="4">
        <v>13000</v>
      </c>
      <c r="H628" s="5">
        <v>4.4499999999999998E-2</v>
      </c>
      <c r="I628" s="2">
        <v>36</v>
      </c>
      <c r="J628" s="2" t="s">
        <v>37</v>
      </c>
      <c r="K628" s="2" t="s">
        <v>17</v>
      </c>
      <c r="L628" s="3">
        <v>46166</v>
      </c>
      <c r="M628" s="2" t="str">
        <f>_xlfn.XLOOKUP(Deals[[#This Row],[CustomerID]],Customers!A:A,Customers!F:F)</f>
        <v>Mass</v>
      </c>
      <c r="N628" s="2" t="str">
        <f>_xlfn.XLOOKUP(Deals[[#This Row],[CustomerID]],Customers!A:A,Customers!E:E)</f>
        <v>Kuwaiti</v>
      </c>
      <c r="O628" s="2">
        <f>2026-_xlfn.XLOOKUP(Deals[[#This Row],[CustomerID]],Customers!A:A,Customers!D:D)</f>
        <v>24</v>
      </c>
      <c r="P628" s="2" t="str" cm="1">
        <f t="array" ref="P628">_xlfn.IFS(Deals[[#This Row],[Age]]&lt;30,"Under 30",Deals[[#This Row],[Age]]&lt;45,"30-44",TRUE,"45+")</f>
        <v>Under 30</v>
      </c>
      <c r="Q628" s="21">
        <f>IF(Deals[[#This Row],[Status]]="Pending","",Deals[[#This Row],[DecisionDate]]-Deals[[#This Row],[ApplicationDate]])</f>
        <v>5</v>
      </c>
      <c r="R628" s="21">
        <f>IF(Deals[[#This Row],[Status]]="Approved",1,0)</f>
        <v>1</v>
      </c>
      <c r="S628" s="21">
        <f>IF(Deals[[#This Row],[IsApproved]]=1,Deals[[#This Row],[Amount]],0)</f>
        <v>13000</v>
      </c>
      <c r="T628" s="21">
        <f>Deals[[#This Row],[ApprovedAmount]]*Deals[[#This Row],[ProfitRate]]</f>
        <v>578.5</v>
      </c>
    </row>
    <row r="629" spans="1:20">
      <c r="A629" s="2" t="s">
        <v>1172</v>
      </c>
      <c r="B629" s="3">
        <v>46161</v>
      </c>
      <c r="C629" s="2" t="s">
        <v>1173</v>
      </c>
      <c r="D629" s="2" t="s">
        <v>20</v>
      </c>
      <c r="E629" s="2" t="s">
        <v>15</v>
      </c>
      <c r="F629" s="2" t="s">
        <v>55</v>
      </c>
      <c r="G629" s="4">
        <v>11200</v>
      </c>
      <c r="H629" s="5">
        <v>6.3399999999999998E-2</v>
      </c>
      <c r="I629" s="2">
        <v>60</v>
      </c>
      <c r="J629" s="2" t="s">
        <v>22</v>
      </c>
      <c r="K629" s="2" t="s">
        <v>17</v>
      </c>
      <c r="L629" s="3">
        <v>46166</v>
      </c>
      <c r="M629" s="2" t="str">
        <f>_xlfn.XLOOKUP(Deals[[#This Row],[CustomerID]],Customers!A:A,Customers!F:F)</f>
        <v>Mass</v>
      </c>
      <c r="N629" s="2" t="str">
        <f>_xlfn.XLOOKUP(Deals[[#This Row],[CustomerID]],Customers!A:A,Customers!E:E)</f>
        <v>Kuwaiti</v>
      </c>
      <c r="O629" s="2">
        <f>2026-_xlfn.XLOOKUP(Deals[[#This Row],[CustomerID]],Customers!A:A,Customers!D:D)</f>
        <v>38</v>
      </c>
      <c r="P629" s="2" t="str" cm="1">
        <f t="array" ref="P629">_xlfn.IFS(Deals[[#This Row],[Age]]&lt;30,"Under 30",Deals[[#This Row],[Age]]&lt;45,"30-44",TRUE,"45+")</f>
        <v>30-44</v>
      </c>
      <c r="Q629" s="21">
        <f>IF(Deals[[#This Row],[Status]]="Pending","",Deals[[#This Row],[DecisionDate]]-Deals[[#This Row],[ApplicationDate]])</f>
        <v>5</v>
      </c>
      <c r="R629" s="21">
        <f>IF(Deals[[#This Row],[Status]]="Approved",1,0)</f>
        <v>1</v>
      </c>
      <c r="S629" s="21">
        <f>IF(Deals[[#This Row],[IsApproved]]=1,Deals[[#This Row],[Amount]],0)</f>
        <v>11200</v>
      </c>
      <c r="T629" s="21">
        <f>Deals[[#This Row],[ApprovedAmount]]*Deals[[#This Row],[ProfitRate]]</f>
        <v>710.07999999999993</v>
      </c>
    </row>
    <row r="630" spans="1:20">
      <c r="A630" s="2" t="s">
        <v>1174</v>
      </c>
      <c r="B630" s="3">
        <v>46162</v>
      </c>
      <c r="C630" s="2" t="s">
        <v>401</v>
      </c>
      <c r="D630" s="2" t="s">
        <v>71</v>
      </c>
      <c r="E630" s="2" t="s">
        <v>15</v>
      </c>
      <c r="F630" s="2" t="s">
        <v>3</v>
      </c>
      <c r="G630" s="4">
        <v>6900</v>
      </c>
      <c r="H630" s="5">
        <v>5.1999999999999998E-2</v>
      </c>
      <c r="I630" s="2">
        <v>48</v>
      </c>
      <c r="J630" s="2" t="s">
        <v>94</v>
      </c>
      <c r="K630" s="2" t="s">
        <v>17</v>
      </c>
      <c r="L630" s="3">
        <v>46165</v>
      </c>
      <c r="M630" s="2" t="str">
        <f>_xlfn.XLOOKUP(Deals[[#This Row],[CustomerID]],Customers!A:A,Customers!F:F)</f>
        <v>Affluent</v>
      </c>
      <c r="N630" s="2" t="str">
        <f>_xlfn.XLOOKUP(Deals[[#This Row],[CustomerID]],Customers!A:A,Customers!E:E)</f>
        <v>Kuwaiti</v>
      </c>
      <c r="O630" s="2">
        <f>2026-_xlfn.XLOOKUP(Deals[[#This Row],[CustomerID]],Customers!A:A,Customers!D:D)</f>
        <v>35</v>
      </c>
      <c r="P630" s="2" t="str" cm="1">
        <f t="array" ref="P630">_xlfn.IFS(Deals[[#This Row],[Age]]&lt;30,"Under 30",Deals[[#This Row],[Age]]&lt;45,"30-44",TRUE,"45+")</f>
        <v>30-44</v>
      </c>
      <c r="Q630" s="21">
        <f>IF(Deals[[#This Row],[Status]]="Pending","",Deals[[#This Row],[DecisionDate]]-Deals[[#This Row],[ApplicationDate]])</f>
        <v>3</v>
      </c>
      <c r="R630" s="21">
        <f>IF(Deals[[#This Row],[Status]]="Approved",1,0)</f>
        <v>1</v>
      </c>
      <c r="S630" s="21">
        <f>IF(Deals[[#This Row],[IsApproved]]=1,Deals[[#This Row],[Amount]],0)</f>
        <v>6900</v>
      </c>
      <c r="T630" s="21">
        <f>Deals[[#This Row],[ApprovedAmount]]*Deals[[#This Row],[ProfitRate]]</f>
        <v>358.8</v>
      </c>
    </row>
    <row r="631" spans="1:20">
      <c r="A631" s="2" t="s">
        <v>1175</v>
      </c>
      <c r="B631" s="3">
        <v>46162</v>
      </c>
      <c r="C631" s="2" t="s">
        <v>445</v>
      </c>
      <c r="D631" s="2" t="s">
        <v>71</v>
      </c>
      <c r="E631" s="2" t="s">
        <v>15</v>
      </c>
      <c r="F631" s="2" t="s">
        <v>55</v>
      </c>
      <c r="G631" s="4">
        <v>14200</v>
      </c>
      <c r="H631" s="5">
        <v>5.3699999999999998E-2</v>
      </c>
      <c r="I631" s="2">
        <v>12</v>
      </c>
      <c r="J631" s="2" t="s">
        <v>101</v>
      </c>
      <c r="K631" s="2" t="s">
        <v>17</v>
      </c>
      <c r="L631" s="3">
        <v>46165</v>
      </c>
      <c r="M631" s="2" t="str">
        <f>_xlfn.XLOOKUP(Deals[[#This Row],[CustomerID]],Customers!A:A,Customers!F:F)</f>
        <v>Mass</v>
      </c>
      <c r="N631" s="2" t="str">
        <f>_xlfn.XLOOKUP(Deals[[#This Row],[CustomerID]],Customers!A:A,Customers!E:E)</f>
        <v>Kuwaiti</v>
      </c>
      <c r="O631" s="2">
        <f>2026-_xlfn.XLOOKUP(Deals[[#This Row],[CustomerID]],Customers!A:A,Customers!D:D)</f>
        <v>43</v>
      </c>
      <c r="P631" s="2" t="str" cm="1">
        <f t="array" ref="P631">_xlfn.IFS(Deals[[#This Row],[Age]]&lt;30,"Under 30",Deals[[#This Row],[Age]]&lt;45,"30-44",TRUE,"45+")</f>
        <v>30-44</v>
      </c>
      <c r="Q631" s="21">
        <f>IF(Deals[[#This Row],[Status]]="Pending","",Deals[[#This Row],[DecisionDate]]-Deals[[#This Row],[ApplicationDate]])</f>
        <v>3</v>
      </c>
      <c r="R631" s="21">
        <f>IF(Deals[[#This Row],[Status]]="Approved",1,0)</f>
        <v>1</v>
      </c>
      <c r="S631" s="21">
        <f>IF(Deals[[#This Row],[IsApproved]]=1,Deals[[#This Row],[Amount]],0)</f>
        <v>14200</v>
      </c>
      <c r="T631" s="21">
        <f>Deals[[#This Row],[ApprovedAmount]]*Deals[[#This Row],[ProfitRate]]</f>
        <v>762.54</v>
      </c>
    </row>
    <row r="632" spans="1:20">
      <c r="A632" s="2" t="s">
        <v>1176</v>
      </c>
      <c r="B632" s="3">
        <v>46162</v>
      </c>
      <c r="C632" s="2" t="s">
        <v>441</v>
      </c>
      <c r="D632" s="2" t="s">
        <v>29</v>
      </c>
      <c r="E632" s="2" t="s">
        <v>30</v>
      </c>
      <c r="F632" s="2" t="s">
        <v>3</v>
      </c>
      <c r="G632" s="4">
        <v>14600</v>
      </c>
      <c r="H632" s="5">
        <v>3.9199999999999999E-2</v>
      </c>
      <c r="I632" s="2">
        <v>48</v>
      </c>
      <c r="J632" s="2" t="s">
        <v>32</v>
      </c>
      <c r="K632" s="2" t="s">
        <v>17</v>
      </c>
      <c r="L632" s="3">
        <v>46167</v>
      </c>
      <c r="M632" s="2" t="str">
        <f>_xlfn.XLOOKUP(Deals[[#This Row],[CustomerID]],Customers!A:A,Customers!F:F)</f>
        <v>Affluent</v>
      </c>
      <c r="N632" s="2" t="str">
        <f>_xlfn.XLOOKUP(Deals[[#This Row],[CustomerID]],Customers!A:A,Customers!E:E)</f>
        <v>Kuwaiti</v>
      </c>
      <c r="O632" s="2">
        <f>2026-_xlfn.XLOOKUP(Deals[[#This Row],[CustomerID]],Customers!A:A,Customers!D:D)</f>
        <v>24</v>
      </c>
      <c r="P632" s="2" t="str" cm="1">
        <f t="array" ref="P632">_xlfn.IFS(Deals[[#This Row],[Age]]&lt;30,"Under 30",Deals[[#This Row],[Age]]&lt;45,"30-44",TRUE,"45+")</f>
        <v>Under 30</v>
      </c>
      <c r="Q632" s="21">
        <f>IF(Deals[[#This Row],[Status]]="Pending","",Deals[[#This Row],[DecisionDate]]-Deals[[#This Row],[ApplicationDate]])</f>
        <v>5</v>
      </c>
      <c r="R632" s="21">
        <f>IF(Deals[[#This Row],[Status]]="Approved",1,0)</f>
        <v>1</v>
      </c>
      <c r="S632" s="21">
        <f>IF(Deals[[#This Row],[IsApproved]]=1,Deals[[#This Row],[Amount]],0)</f>
        <v>14600</v>
      </c>
      <c r="T632" s="21">
        <f>Deals[[#This Row],[ApprovedAmount]]*Deals[[#This Row],[ProfitRate]]</f>
        <v>572.31999999999994</v>
      </c>
    </row>
    <row r="633" spans="1:20">
      <c r="A633" s="2" t="s">
        <v>1177</v>
      </c>
      <c r="B633" s="3">
        <v>46162</v>
      </c>
      <c r="C633" s="2" t="s">
        <v>1040</v>
      </c>
      <c r="D633" s="2" t="s">
        <v>14</v>
      </c>
      <c r="E633" s="2" t="s">
        <v>30</v>
      </c>
      <c r="F633" s="2" t="s">
        <v>3</v>
      </c>
      <c r="G633" s="4">
        <v>4400</v>
      </c>
      <c r="H633" s="5">
        <v>3.7999999999999999E-2</v>
      </c>
      <c r="I633" s="2">
        <v>48</v>
      </c>
      <c r="J633" s="2" t="s">
        <v>16</v>
      </c>
      <c r="K633" s="2" t="s">
        <v>17</v>
      </c>
      <c r="L633" s="3">
        <v>46166</v>
      </c>
      <c r="M633" s="2" t="str">
        <f>_xlfn.XLOOKUP(Deals[[#This Row],[CustomerID]],Customers!A:A,Customers!F:F)</f>
        <v>Mass</v>
      </c>
      <c r="N633" s="2" t="str">
        <f>_xlfn.XLOOKUP(Deals[[#This Row],[CustomerID]],Customers!A:A,Customers!E:E)</f>
        <v>Non-Kuwaiti</v>
      </c>
      <c r="O633" s="2">
        <f>2026-_xlfn.XLOOKUP(Deals[[#This Row],[CustomerID]],Customers!A:A,Customers!D:D)</f>
        <v>33</v>
      </c>
      <c r="P633" s="2" t="str" cm="1">
        <f t="array" ref="P633">_xlfn.IFS(Deals[[#This Row],[Age]]&lt;30,"Under 30",Deals[[#This Row],[Age]]&lt;45,"30-44",TRUE,"45+")</f>
        <v>30-44</v>
      </c>
      <c r="Q633" s="21">
        <f>IF(Deals[[#This Row],[Status]]="Pending","",Deals[[#This Row],[DecisionDate]]-Deals[[#This Row],[ApplicationDate]])</f>
        <v>4</v>
      </c>
      <c r="R633" s="21">
        <f>IF(Deals[[#This Row],[Status]]="Approved",1,0)</f>
        <v>1</v>
      </c>
      <c r="S633" s="21">
        <f>IF(Deals[[#This Row],[IsApproved]]=1,Deals[[#This Row],[Amount]],0)</f>
        <v>4400</v>
      </c>
      <c r="T633" s="21">
        <f>Deals[[#This Row],[ApprovedAmount]]*Deals[[#This Row],[ProfitRate]]</f>
        <v>167.2</v>
      </c>
    </row>
    <row r="634" spans="1:20">
      <c r="A634" s="2" t="s">
        <v>1178</v>
      </c>
      <c r="B634" s="3">
        <v>46163</v>
      </c>
      <c r="C634" s="2" t="s">
        <v>346</v>
      </c>
      <c r="D634" s="2" t="s">
        <v>29</v>
      </c>
      <c r="E634" s="2" t="s">
        <v>21</v>
      </c>
      <c r="F634" s="2" t="s">
        <v>31</v>
      </c>
      <c r="G634" s="4">
        <v>60600</v>
      </c>
      <c r="H634" s="5">
        <v>3.1E-2</v>
      </c>
      <c r="I634" s="2">
        <v>120</v>
      </c>
      <c r="J634" s="2" t="s">
        <v>61</v>
      </c>
      <c r="K634" s="2" t="s">
        <v>17</v>
      </c>
      <c r="L634" s="3">
        <v>46182</v>
      </c>
      <c r="M634" s="2" t="str">
        <f>_xlfn.XLOOKUP(Deals[[#This Row],[CustomerID]],Customers!A:A,Customers!F:F)</f>
        <v>Affluent</v>
      </c>
      <c r="N634" s="2" t="str">
        <f>_xlfn.XLOOKUP(Deals[[#This Row],[CustomerID]],Customers!A:A,Customers!E:E)</f>
        <v>Kuwaiti</v>
      </c>
      <c r="O634" s="2">
        <f>2026-_xlfn.XLOOKUP(Deals[[#This Row],[CustomerID]],Customers!A:A,Customers!D:D)</f>
        <v>39</v>
      </c>
      <c r="P634" s="2" t="str" cm="1">
        <f t="array" ref="P634">_xlfn.IFS(Deals[[#This Row],[Age]]&lt;30,"Under 30",Deals[[#This Row],[Age]]&lt;45,"30-44",TRUE,"45+")</f>
        <v>30-44</v>
      </c>
      <c r="Q634" s="21">
        <f>IF(Deals[[#This Row],[Status]]="Pending","",Deals[[#This Row],[DecisionDate]]-Deals[[#This Row],[ApplicationDate]])</f>
        <v>19</v>
      </c>
      <c r="R634" s="21">
        <f>IF(Deals[[#This Row],[Status]]="Approved",1,0)</f>
        <v>1</v>
      </c>
      <c r="S634" s="21">
        <f>IF(Deals[[#This Row],[IsApproved]]=1,Deals[[#This Row],[Amount]],0)</f>
        <v>60600</v>
      </c>
      <c r="T634" s="21">
        <f>Deals[[#This Row],[ApprovedAmount]]*Deals[[#This Row],[ProfitRate]]</f>
        <v>1878.6</v>
      </c>
    </row>
    <row r="635" spans="1:20">
      <c r="A635" s="2" t="s">
        <v>1179</v>
      </c>
      <c r="B635" s="3">
        <v>46163</v>
      </c>
      <c r="C635" s="2" t="s">
        <v>1030</v>
      </c>
      <c r="D635" s="2" t="s">
        <v>71</v>
      </c>
      <c r="E635" s="2" t="s">
        <v>30</v>
      </c>
      <c r="F635" s="2" t="s">
        <v>3</v>
      </c>
      <c r="G635" s="4">
        <v>12500</v>
      </c>
      <c r="H635" s="5">
        <v>3.8300000000000001E-2</v>
      </c>
      <c r="I635" s="2">
        <v>48</v>
      </c>
      <c r="J635" s="2" t="s">
        <v>94</v>
      </c>
      <c r="K635" s="2" t="s">
        <v>17</v>
      </c>
      <c r="L635" s="3">
        <v>46165</v>
      </c>
      <c r="M635" s="2" t="str">
        <f>_xlfn.XLOOKUP(Deals[[#This Row],[CustomerID]],Customers!A:A,Customers!F:F)</f>
        <v>Premium</v>
      </c>
      <c r="N635" s="2" t="str">
        <f>_xlfn.XLOOKUP(Deals[[#This Row],[CustomerID]],Customers!A:A,Customers!E:E)</f>
        <v>Kuwaiti</v>
      </c>
      <c r="O635" s="2">
        <f>2026-_xlfn.XLOOKUP(Deals[[#This Row],[CustomerID]],Customers!A:A,Customers!D:D)</f>
        <v>32</v>
      </c>
      <c r="P635" s="2" t="str" cm="1">
        <f t="array" ref="P635">_xlfn.IFS(Deals[[#This Row],[Age]]&lt;30,"Under 30",Deals[[#This Row],[Age]]&lt;45,"30-44",TRUE,"45+")</f>
        <v>30-44</v>
      </c>
      <c r="Q635" s="21">
        <f>IF(Deals[[#This Row],[Status]]="Pending","",Deals[[#This Row],[DecisionDate]]-Deals[[#This Row],[ApplicationDate]])</f>
        <v>2</v>
      </c>
      <c r="R635" s="21">
        <f>IF(Deals[[#This Row],[Status]]="Approved",1,0)</f>
        <v>1</v>
      </c>
      <c r="S635" s="21">
        <f>IF(Deals[[#This Row],[IsApproved]]=1,Deals[[#This Row],[Amount]],0)</f>
        <v>12500</v>
      </c>
      <c r="T635" s="21">
        <f>Deals[[#This Row],[ApprovedAmount]]*Deals[[#This Row],[ProfitRate]]</f>
        <v>478.75</v>
      </c>
    </row>
    <row r="636" spans="1:20">
      <c r="A636" s="2" t="s">
        <v>1180</v>
      </c>
      <c r="B636" s="3">
        <v>46163</v>
      </c>
      <c r="C636" s="2" t="s">
        <v>1181</v>
      </c>
      <c r="D636" s="2" t="s">
        <v>29</v>
      </c>
      <c r="E636" s="2" t="s">
        <v>15</v>
      </c>
      <c r="F636" s="2" t="s">
        <v>3</v>
      </c>
      <c r="G636" s="4">
        <v>24100</v>
      </c>
      <c r="H636" s="5">
        <v>5.2299999999999999E-2</v>
      </c>
      <c r="I636" s="2">
        <v>12</v>
      </c>
      <c r="J636" s="2" t="s">
        <v>32</v>
      </c>
      <c r="K636" s="2" t="s">
        <v>17</v>
      </c>
      <c r="L636" s="3">
        <v>46169</v>
      </c>
      <c r="M636" s="2" t="str">
        <f>_xlfn.XLOOKUP(Deals[[#This Row],[CustomerID]],Customers!A:A,Customers!F:F)</f>
        <v>Mass</v>
      </c>
      <c r="N636" s="2" t="str">
        <f>_xlfn.XLOOKUP(Deals[[#This Row],[CustomerID]],Customers!A:A,Customers!E:E)</f>
        <v>Non-Kuwaiti</v>
      </c>
      <c r="O636" s="2">
        <f>2026-_xlfn.XLOOKUP(Deals[[#This Row],[CustomerID]],Customers!A:A,Customers!D:D)</f>
        <v>56</v>
      </c>
      <c r="P636" s="2" t="str" cm="1">
        <f t="array" ref="P636">_xlfn.IFS(Deals[[#This Row],[Age]]&lt;30,"Under 30",Deals[[#This Row],[Age]]&lt;45,"30-44",TRUE,"45+")</f>
        <v>45+</v>
      </c>
      <c r="Q636" s="21">
        <f>IF(Deals[[#This Row],[Status]]="Pending","",Deals[[#This Row],[DecisionDate]]-Deals[[#This Row],[ApplicationDate]])</f>
        <v>6</v>
      </c>
      <c r="R636" s="21">
        <f>IF(Deals[[#This Row],[Status]]="Approved",1,0)</f>
        <v>1</v>
      </c>
      <c r="S636" s="21">
        <f>IF(Deals[[#This Row],[IsApproved]]=1,Deals[[#This Row],[Amount]],0)</f>
        <v>24100</v>
      </c>
      <c r="T636" s="21">
        <f>Deals[[#This Row],[ApprovedAmount]]*Deals[[#This Row],[ProfitRate]]</f>
        <v>1260.43</v>
      </c>
    </row>
    <row r="637" spans="1:20">
      <c r="A637" s="2" t="s">
        <v>1182</v>
      </c>
      <c r="B637" s="3">
        <v>46164</v>
      </c>
      <c r="C637" s="2" t="s">
        <v>1183</v>
      </c>
      <c r="D637" s="2" t="s">
        <v>20</v>
      </c>
      <c r="E637" s="2" t="s">
        <v>43</v>
      </c>
      <c r="F637" s="2" t="s">
        <v>55</v>
      </c>
      <c r="G637" s="4">
        <v>48900</v>
      </c>
      <c r="H637" s="5">
        <v>7.1800000000000003E-2</v>
      </c>
      <c r="I637" s="2">
        <v>24</v>
      </c>
      <c r="J637" s="2" t="s">
        <v>44</v>
      </c>
      <c r="K637" s="2" t="s">
        <v>17</v>
      </c>
      <c r="L637" s="3">
        <v>46174</v>
      </c>
      <c r="M637" s="2" t="str">
        <f>_xlfn.XLOOKUP(Deals[[#This Row],[CustomerID]],Customers!A:A,Customers!F:F)</f>
        <v>Mass</v>
      </c>
      <c r="N637" s="2" t="str">
        <f>_xlfn.XLOOKUP(Deals[[#This Row],[CustomerID]],Customers!A:A,Customers!E:E)</f>
        <v>Non-Kuwaiti</v>
      </c>
      <c r="O637" s="2">
        <f>2026-_xlfn.XLOOKUP(Deals[[#This Row],[CustomerID]],Customers!A:A,Customers!D:D)</f>
        <v>46</v>
      </c>
      <c r="P637" s="2" t="str" cm="1">
        <f t="array" ref="P637">_xlfn.IFS(Deals[[#This Row],[Age]]&lt;30,"Under 30",Deals[[#This Row],[Age]]&lt;45,"30-44",TRUE,"45+")</f>
        <v>45+</v>
      </c>
      <c r="Q637" s="21">
        <f>IF(Deals[[#This Row],[Status]]="Pending","",Deals[[#This Row],[DecisionDate]]-Deals[[#This Row],[ApplicationDate]])</f>
        <v>10</v>
      </c>
      <c r="R637" s="21">
        <f>IF(Deals[[#This Row],[Status]]="Approved",1,0)</f>
        <v>1</v>
      </c>
      <c r="S637" s="21">
        <f>IF(Deals[[#This Row],[IsApproved]]=1,Deals[[#This Row],[Amount]],0)</f>
        <v>48900</v>
      </c>
      <c r="T637" s="21">
        <f>Deals[[#This Row],[ApprovedAmount]]*Deals[[#This Row],[ProfitRate]]</f>
        <v>3511.02</v>
      </c>
    </row>
    <row r="638" spans="1:20">
      <c r="A638" s="2" t="s">
        <v>1184</v>
      </c>
      <c r="B638" s="3">
        <v>46164</v>
      </c>
      <c r="C638" s="2" t="s">
        <v>1185</v>
      </c>
      <c r="D638" s="2" t="s">
        <v>14</v>
      </c>
      <c r="E638" s="2" t="s">
        <v>15</v>
      </c>
      <c r="F638" s="2" t="s">
        <v>3</v>
      </c>
      <c r="G638" s="4">
        <v>16600</v>
      </c>
      <c r="H638" s="5">
        <v>5.28E-2</v>
      </c>
      <c r="I638" s="2">
        <v>24</v>
      </c>
      <c r="J638" s="2" t="s">
        <v>40</v>
      </c>
      <c r="K638" s="2" t="s">
        <v>17</v>
      </c>
      <c r="L638" s="3">
        <v>46171</v>
      </c>
      <c r="M638" s="2" t="str">
        <f>_xlfn.XLOOKUP(Deals[[#This Row],[CustomerID]],Customers!A:A,Customers!F:F)</f>
        <v>Mass</v>
      </c>
      <c r="N638" s="2" t="str">
        <f>_xlfn.XLOOKUP(Deals[[#This Row],[CustomerID]],Customers!A:A,Customers!E:E)</f>
        <v>Non-Kuwaiti</v>
      </c>
      <c r="O638" s="2">
        <f>2026-_xlfn.XLOOKUP(Deals[[#This Row],[CustomerID]],Customers!A:A,Customers!D:D)</f>
        <v>48</v>
      </c>
      <c r="P638" s="2" t="str" cm="1">
        <f t="array" ref="P638">_xlfn.IFS(Deals[[#This Row],[Age]]&lt;30,"Under 30",Deals[[#This Row],[Age]]&lt;45,"30-44",TRUE,"45+")</f>
        <v>45+</v>
      </c>
      <c r="Q638" s="21">
        <f>IF(Deals[[#This Row],[Status]]="Pending","",Deals[[#This Row],[DecisionDate]]-Deals[[#This Row],[ApplicationDate]])</f>
        <v>7</v>
      </c>
      <c r="R638" s="21">
        <f>IF(Deals[[#This Row],[Status]]="Approved",1,0)</f>
        <v>1</v>
      </c>
      <c r="S638" s="21">
        <f>IF(Deals[[#This Row],[IsApproved]]=1,Deals[[#This Row],[Amount]],0)</f>
        <v>16600</v>
      </c>
      <c r="T638" s="21">
        <f>Deals[[#This Row],[ApprovedAmount]]*Deals[[#This Row],[ProfitRate]]</f>
        <v>876.48</v>
      </c>
    </row>
    <row r="639" spans="1:20">
      <c r="A639" s="2" t="s">
        <v>1186</v>
      </c>
      <c r="B639" s="3">
        <v>46164</v>
      </c>
      <c r="C639" s="2" t="s">
        <v>1187</v>
      </c>
      <c r="D639" s="2" t="s">
        <v>25</v>
      </c>
      <c r="E639" s="2" t="s">
        <v>30</v>
      </c>
      <c r="F639" s="2" t="s">
        <v>31</v>
      </c>
      <c r="G639" s="4">
        <v>11500</v>
      </c>
      <c r="H639" s="5">
        <v>4.7300000000000002E-2</v>
      </c>
      <c r="I639" s="2">
        <v>36</v>
      </c>
      <c r="J639" s="2" t="s">
        <v>66</v>
      </c>
      <c r="K639" s="2" t="s">
        <v>17</v>
      </c>
      <c r="L639" s="3">
        <v>46165</v>
      </c>
      <c r="M639" s="2" t="str">
        <f>_xlfn.XLOOKUP(Deals[[#This Row],[CustomerID]],Customers!A:A,Customers!F:F)</f>
        <v>Premium</v>
      </c>
      <c r="N639" s="2" t="str">
        <f>_xlfn.XLOOKUP(Deals[[#This Row],[CustomerID]],Customers!A:A,Customers!E:E)</f>
        <v>Non-Kuwaiti</v>
      </c>
      <c r="O639" s="2">
        <f>2026-_xlfn.XLOOKUP(Deals[[#This Row],[CustomerID]],Customers!A:A,Customers!D:D)</f>
        <v>25</v>
      </c>
      <c r="P639" s="2" t="str" cm="1">
        <f t="array" ref="P639">_xlfn.IFS(Deals[[#This Row],[Age]]&lt;30,"Under 30",Deals[[#This Row],[Age]]&lt;45,"30-44",TRUE,"45+")</f>
        <v>Under 30</v>
      </c>
      <c r="Q639" s="21">
        <f>IF(Deals[[#This Row],[Status]]="Pending","",Deals[[#This Row],[DecisionDate]]-Deals[[#This Row],[ApplicationDate]])</f>
        <v>1</v>
      </c>
      <c r="R639" s="21">
        <f>IF(Deals[[#This Row],[Status]]="Approved",1,0)</f>
        <v>1</v>
      </c>
      <c r="S639" s="21">
        <f>IF(Deals[[#This Row],[IsApproved]]=1,Deals[[#This Row],[Amount]],0)</f>
        <v>11500</v>
      </c>
      <c r="T639" s="21">
        <f>Deals[[#This Row],[ApprovedAmount]]*Deals[[#This Row],[ProfitRate]]</f>
        <v>543.95000000000005</v>
      </c>
    </row>
    <row r="640" spans="1:20">
      <c r="A640" s="2" t="s">
        <v>1188</v>
      </c>
      <c r="B640" s="3">
        <v>46164</v>
      </c>
      <c r="C640" s="2" t="s">
        <v>1094</v>
      </c>
      <c r="D640" s="2" t="s">
        <v>20</v>
      </c>
      <c r="E640" s="2" t="s">
        <v>30</v>
      </c>
      <c r="F640" s="2" t="s">
        <v>31</v>
      </c>
      <c r="G640" s="4">
        <v>11200</v>
      </c>
      <c r="H640" s="5">
        <v>4.4699999999999997E-2</v>
      </c>
      <c r="I640" s="2">
        <v>36</v>
      </c>
      <c r="J640" s="2" t="s">
        <v>37</v>
      </c>
      <c r="K640" s="2" t="s">
        <v>45</v>
      </c>
      <c r="L640" s="3">
        <v>46165</v>
      </c>
      <c r="M640" s="2" t="str">
        <f>_xlfn.XLOOKUP(Deals[[#This Row],[CustomerID]],Customers!A:A,Customers!F:F)</f>
        <v>Affluent</v>
      </c>
      <c r="N640" s="2" t="str">
        <f>_xlfn.XLOOKUP(Deals[[#This Row],[CustomerID]],Customers!A:A,Customers!E:E)</f>
        <v>Kuwaiti</v>
      </c>
      <c r="O640" s="2">
        <f>2026-_xlfn.XLOOKUP(Deals[[#This Row],[CustomerID]],Customers!A:A,Customers!D:D)</f>
        <v>59</v>
      </c>
      <c r="P640" s="2" t="str" cm="1">
        <f t="array" ref="P640">_xlfn.IFS(Deals[[#This Row],[Age]]&lt;30,"Under 30",Deals[[#This Row],[Age]]&lt;45,"30-44",TRUE,"45+")</f>
        <v>45+</v>
      </c>
      <c r="Q640" s="21">
        <f>IF(Deals[[#This Row],[Status]]="Pending","",Deals[[#This Row],[DecisionDate]]-Deals[[#This Row],[ApplicationDate]])</f>
        <v>1</v>
      </c>
      <c r="R640" s="21">
        <f>IF(Deals[[#This Row],[Status]]="Approved",1,0)</f>
        <v>0</v>
      </c>
      <c r="S640" s="21">
        <f>IF(Deals[[#This Row],[IsApproved]]=1,Deals[[#This Row],[Amount]],0)</f>
        <v>0</v>
      </c>
      <c r="T640" s="21">
        <f>Deals[[#This Row],[ApprovedAmount]]*Deals[[#This Row],[ProfitRate]]</f>
        <v>0</v>
      </c>
    </row>
    <row r="641" spans="1:20">
      <c r="A641" s="2" t="s">
        <v>1189</v>
      </c>
      <c r="B641" s="3">
        <v>46164</v>
      </c>
      <c r="C641" s="2" t="s">
        <v>1190</v>
      </c>
      <c r="D641" s="2" t="s">
        <v>20</v>
      </c>
      <c r="E641" s="2" t="s">
        <v>15</v>
      </c>
      <c r="F641" s="2" t="s">
        <v>31</v>
      </c>
      <c r="G641" s="4">
        <v>22400</v>
      </c>
      <c r="H641" s="5">
        <v>6.7699999999999996E-2</v>
      </c>
      <c r="I641" s="2">
        <v>60</v>
      </c>
      <c r="J641" s="2" t="s">
        <v>37</v>
      </c>
      <c r="K641" s="2" t="s">
        <v>45</v>
      </c>
      <c r="L641" s="3">
        <v>46171</v>
      </c>
      <c r="M641" s="2" t="str">
        <f>_xlfn.XLOOKUP(Deals[[#This Row],[CustomerID]],Customers!A:A,Customers!F:F)</f>
        <v>Mass</v>
      </c>
      <c r="N641" s="2" t="str">
        <f>_xlfn.XLOOKUP(Deals[[#This Row],[CustomerID]],Customers!A:A,Customers!E:E)</f>
        <v>Kuwaiti</v>
      </c>
      <c r="O641" s="2">
        <f>2026-_xlfn.XLOOKUP(Deals[[#This Row],[CustomerID]],Customers!A:A,Customers!D:D)</f>
        <v>40</v>
      </c>
      <c r="P641" s="2" t="str" cm="1">
        <f t="array" ref="P641">_xlfn.IFS(Deals[[#This Row],[Age]]&lt;30,"Under 30",Deals[[#This Row],[Age]]&lt;45,"30-44",TRUE,"45+")</f>
        <v>30-44</v>
      </c>
      <c r="Q641" s="21">
        <f>IF(Deals[[#This Row],[Status]]="Pending","",Deals[[#This Row],[DecisionDate]]-Deals[[#This Row],[ApplicationDate]])</f>
        <v>7</v>
      </c>
      <c r="R641" s="21">
        <f>IF(Deals[[#This Row],[Status]]="Approved",1,0)</f>
        <v>0</v>
      </c>
      <c r="S641" s="21">
        <f>IF(Deals[[#This Row],[IsApproved]]=1,Deals[[#This Row],[Amount]],0)</f>
        <v>0</v>
      </c>
      <c r="T641" s="21">
        <f>Deals[[#This Row],[ApprovedAmount]]*Deals[[#This Row],[ProfitRate]]</f>
        <v>0</v>
      </c>
    </row>
    <row r="642" spans="1:20">
      <c r="A642" s="2" t="s">
        <v>1191</v>
      </c>
      <c r="B642" s="3">
        <v>46164</v>
      </c>
      <c r="C642" s="2" t="s">
        <v>238</v>
      </c>
      <c r="D642" s="2" t="s">
        <v>14</v>
      </c>
      <c r="E642" s="2" t="s">
        <v>15</v>
      </c>
      <c r="F642" s="2" t="s">
        <v>3</v>
      </c>
      <c r="G642" s="4">
        <v>19600</v>
      </c>
      <c r="H642" s="5">
        <v>6.6500000000000004E-2</v>
      </c>
      <c r="I642" s="2">
        <v>12</v>
      </c>
      <c r="J642" s="2" t="s">
        <v>48</v>
      </c>
      <c r="K642" s="2" t="s">
        <v>17</v>
      </c>
      <c r="L642" s="3">
        <v>46171</v>
      </c>
      <c r="M642" s="2" t="str">
        <f>_xlfn.XLOOKUP(Deals[[#This Row],[CustomerID]],Customers!A:A,Customers!F:F)</f>
        <v>Affluent</v>
      </c>
      <c r="N642" s="2" t="str">
        <f>_xlfn.XLOOKUP(Deals[[#This Row],[CustomerID]],Customers!A:A,Customers!E:E)</f>
        <v>Kuwaiti</v>
      </c>
      <c r="O642" s="2">
        <f>2026-_xlfn.XLOOKUP(Deals[[#This Row],[CustomerID]],Customers!A:A,Customers!D:D)</f>
        <v>29</v>
      </c>
      <c r="P642" s="2" t="str" cm="1">
        <f t="array" ref="P642">_xlfn.IFS(Deals[[#This Row],[Age]]&lt;30,"Under 30",Deals[[#This Row],[Age]]&lt;45,"30-44",TRUE,"45+")</f>
        <v>Under 30</v>
      </c>
      <c r="Q642" s="21">
        <f>IF(Deals[[#This Row],[Status]]="Pending","",Deals[[#This Row],[DecisionDate]]-Deals[[#This Row],[ApplicationDate]])</f>
        <v>7</v>
      </c>
      <c r="R642" s="21">
        <f>IF(Deals[[#This Row],[Status]]="Approved",1,0)</f>
        <v>1</v>
      </c>
      <c r="S642" s="21">
        <f>IF(Deals[[#This Row],[IsApproved]]=1,Deals[[#This Row],[Amount]],0)</f>
        <v>19600</v>
      </c>
      <c r="T642" s="21">
        <f>Deals[[#This Row],[ApprovedAmount]]*Deals[[#This Row],[ProfitRate]]</f>
        <v>1303.4000000000001</v>
      </c>
    </row>
    <row r="643" spans="1:20">
      <c r="A643" s="2" t="s">
        <v>1192</v>
      </c>
      <c r="B643" s="3">
        <v>46164</v>
      </c>
      <c r="C643" s="2" t="s">
        <v>877</v>
      </c>
      <c r="D643" s="2" t="s">
        <v>71</v>
      </c>
      <c r="E643" s="2" t="s">
        <v>43</v>
      </c>
      <c r="F643" s="2" t="s">
        <v>31</v>
      </c>
      <c r="G643" s="4">
        <v>59700</v>
      </c>
      <c r="H643" s="5">
        <v>7.3499999999999996E-2</v>
      </c>
      <c r="I643" s="2">
        <v>84</v>
      </c>
      <c r="J643" s="2" t="s">
        <v>101</v>
      </c>
      <c r="K643" s="2" t="s">
        <v>45</v>
      </c>
      <c r="L643" s="3">
        <v>46183</v>
      </c>
      <c r="M643" s="2" t="str">
        <f>_xlfn.XLOOKUP(Deals[[#This Row],[CustomerID]],Customers!A:A,Customers!F:F)</f>
        <v>Affluent</v>
      </c>
      <c r="N643" s="2" t="str">
        <f>_xlfn.XLOOKUP(Deals[[#This Row],[CustomerID]],Customers!A:A,Customers!E:E)</f>
        <v>Non-Kuwaiti</v>
      </c>
      <c r="O643" s="2">
        <f>2026-_xlfn.XLOOKUP(Deals[[#This Row],[CustomerID]],Customers!A:A,Customers!D:D)</f>
        <v>22</v>
      </c>
      <c r="P643" s="2" t="str" cm="1">
        <f t="array" ref="P643">_xlfn.IFS(Deals[[#This Row],[Age]]&lt;30,"Under 30",Deals[[#This Row],[Age]]&lt;45,"30-44",TRUE,"45+")</f>
        <v>Under 30</v>
      </c>
      <c r="Q643" s="21">
        <f>IF(Deals[[#This Row],[Status]]="Pending","",Deals[[#This Row],[DecisionDate]]-Deals[[#This Row],[ApplicationDate]])</f>
        <v>19</v>
      </c>
      <c r="R643" s="21">
        <f>IF(Deals[[#This Row],[Status]]="Approved",1,0)</f>
        <v>0</v>
      </c>
      <c r="S643" s="21">
        <f>IF(Deals[[#This Row],[IsApproved]]=1,Deals[[#This Row],[Amount]],0)</f>
        <v>0</v>
      </c>
      <c r="T643" s="21">
        <f>Deals[[#This Row],[ApprovedAmount]]*Deals[[#This Row],[ProfitRate]]</f>
        <v>0</v>
      </c>
    </row>
    <row r="644" spans="1:20">
      <c r="A644" s="2" t="s">
        <v>1193</v>
      </c>
      <c r="B644" s="3">
        <v>46164</v>
      </c>
      <c r="C644" s="2" t="s">
        <v>1194</v>
      </c>
      <c r="D644" s="2" t="s">
        <v>71</v>
      </c>
      <c r="E644" s="2" t="s">
        <v>21</v>
      </c>
      <c r="F644" s="2" t="s">
        <v>55</v>
      </c>
      <c r="G644" s="4">
        <v>106400</v>
      </c>
      <c r="H644" s="5">
        <v>4.0099999999999997E-2</v>
      </c>
      <c r="I644" s="2">
        <v>240</v>
      </c>
      <c r="J644" s="2" t="s">
        <v>72</v>
      </c>
      <c r="K644" s="2" t="s">
        <v>17</v>
      </c>
      <c r="L644" s="3">
        <v>46177</v>
      </c>
      <c r="M644" s="2" t="str">
        <f>_xlfn.XLOOKUP(Deals[[#This Row],[CustomerID]],Customers!A:A,Customers!F:F)</f>
        <v>Affluent</v>
      </c>
      <c r="N644" s="2" t="str">
        <f>_xlfn.XLOOKUP(Deals[[#This Row],[CustomerID]],Customers!A:A,Customers!E:E)</f>
        <v>Kuwaiti</v>
      </c>
      <c r="O644" s="2">
        <f>2026-_xlfn.XLOOKUP(Deals[[#This Row],[CustomerID]],Customers!A:A,Customers!D:D)</f>
        <v>30</v>
      </c>
      <c r="P644" s="2" t="str" cm="1">
        <f t="array" ref="P644">_xlfn.IFS(Deals[[#This Row],[Age]]&lt;30,"Under 30",Deals[[#This Row],[Age]]&lt;45,"30-44",TRUE,"45+")</f>
        <v>30-44</v>
      </c>
      <c r="Q644" s="21">
        <f>IF(Deals[[#This Row],[Status]]="Pending","",Deals[[#This Row],[DecisionDate]]-Deals[[#This Row],[ApplicationDate]])</f>
        <v>13</v>
      </c>
      <c r="R644" s="21">
        <f>IF(Deals[[#This Row],[Status]]="Approved",1,0)</f>
        <v>1</v>
      </c>
      <c r="S644" s="21">
        <f>IF(Deals[[#This Row],[IsApproved]]=1,Deals[[#This Row],[Amount]],0)</f>
        <v>106400</v>
      </c>
      <c r="T644" s="21">
        <f>Deals[[#This Row],[ApprovedAmount]]*Deals[[#This Row],[ProfitRate]]</f>
        <v>4266.6399999999994</v>
      </c>
    </row>
    <row r="645" spans="1:20">
      <c r="A645" s="2" t="s">
        <v>1195</v>
      </c>
      <c r="B645" s="3">
        <v>46164</v>
      </c>
      <c r="C645" s="2" t="s">
        <v>677</v>
      </c>
      <c r="D645" s="2" t="s">
        <v>54</v>
      </c>
      <c r="E645" s="2" t="s">
        <v>43</v>
      </c>
      <c r="F645" s="2" t="s">
        <v>31</v>
      </c>
      <c r="G645" s="4">
        <v>73300</v>
      </c>
      <c r="H645" s="5">
        <v>7.3499999999999996E-2</v>
      </c>
      <c r="I645" s="2">
        <v>60</v>
      </c>
      <c r="J645" s="2" t="s">
        <v>148</v>
      </c>
      <c r="K645" s="2" t="s">
        <v>17</v>
      </c>
      <c r="L645" s="3">
        <v>46171</v>
      </c>
      <c r="M645" s="2" t="str">
        <f>_xlfn.XLOOKUP(Deals[[#This Row],[CustomerID]],Customers!A:A,Customers!F:F)</f>
        <v>Mass</v>
      </c>
      <c r="N645" s="2" t="str">
        <f>_xlfn.XLOOKUP(Deals[[#This Row],[CustomerID]],Customers!A:A,Customers!E:E)</f>
        <v>Kuwaiti</v>
      </c>
      <c r="O645" s="2">
        <f>2026-_xlfn.XLOOKUP(Deals[[#This Row],[CustomerID]],Customers!A:A,Customers!D:D)</f>
        <v>41</v>
      </c>
      <c r="P645" s="2" t="str" cm="1">
        <f t="array" ref="P645">_xlfn.IFS(Deals[[#This Row],[Age]]&lt;30,"Under 30",Deals[[#This Row],[Age]]&lt;45,"30-44",TRUE,"45+")</f>
        <v>30-44</v>
      </c>
      <c r="Q645" s="21">
        <f>IF(Deals[[#This Row],[Status]]="Pending","",Deals[[#This Row],[DecisionDate]]-Deals[[#This Row],[ApplicationDate]])</f>
        <v>7</v>
      </c>
      <c r="R645" s="21">
        <f>IF(Deals[[#This Row],[Status]]="Approved",1,0)</f>
        <v>1</v>
      </c>
      <c r="S645" s="21">
        <f>IF(Deals[[#This Row],[IsApproved]]=1,Deals[[#This Row],[Amount]],0)</f>
        <v>73300</v>
      </c>
      <c r="T645" s="21">
        <f>Deals[[#This Row],[ApprovedAmount]]*Deals[[#This Row],[ProfitRate]]</f>
        <v>5387.5499999999993</v>
      </c>
    </row>
    <row r="646" spans="1:20">
      <c r="A646" s="2" t="s">
        <v>1196</v>
      </c>
      <c r="B646" s="3">
        <v>46165</v>
      </c>
      <c r="C646" s="2" t="s">
        <v>1048</v>
      </c>
      <c r="D646" s="2" t="s">
        <v>25</v>
      </c>
      <c r="E646" s="2" t="s">
        <v>30</v>
      </c>
      <c r="F646" s="2" t="s">
        <v>31</v>
      </c>
      <c r="G646" s="4">
        <v>10400</v>
      </c>
      <c r="H646" s="5">
        <v>4.7899999999999998E-2</v>
      </c>
      <c r="I646" s="2">
        <v>60</v>
      </c>
      <c r="J646" s="2" t="s">
        <v>26</v>
      </c>
      <c r="K646" s="2" t="s">
        <v>17</v>
      </c>
      <c r="L646" s="3">
        <v>46168</v>
      </c>
      <c r="M646" s="2" t="str">
        <f>_xlfn.XLOOKUP(Deals[[#This Row],[CustomerID]],Customers!A:A,Customers!F:F)</f>
        <v>Mass</v>
      </c>
      <c r="N646" s="2" t="str">
        <f>_xlfn.XLOOKUP(Deals[[#This Row],[CustomerID]],Customers!A:A,Customers!E:E)</f>
        <v>Kuwaiti</v>
      </c>
      <c r="O646" s="2">
        <f>2026-_xlfn.XLOOKUP(Deals[[#This Row],[CustomerID]],Customers!A:A,Customers!D:D)</f>
        <v>51</v>
      </c>
      <c r="P646" s="2" t="str" cm="1">
        <f t="array" ref="P646">_xlfn.IFS(Deals[[#This Row],[Age]]&lt;30,"Under 30",Deals[[#This Row],[Age]]&lt;45,"30-44",TRUE,"45+")</f>
        <v>45+</v>
      </c>
      <c r="Q646" s="21">
        <f>IF(Deals[[#This Row],[Status]]="Pending","",Deals[[#This Row],[DecisionDate]]-Deals[[#This Row],[ApplicationDate]])</f>
        <v>3</v>
      </c>
      <c r="R646" s="21">
        <f>IF(Deals[[#This Row],[Status]]="Approved",1,0)</f>
        <v>1</v>
      </c>
      <c r="S646" s="21">
        <f>IF(Deals[[#This Row],[IsApproved]]=1,Deals[[#This Row],[Amount]],0)</f>
        <v>10400</v>
      </c>
      <c r="T646" s="21">
        <f>Deals[[#This Row],[ApprovedAmount]]*Deals[[#This Row],[ProfitRate]]</f>
        <v>498.15999999999997</v>
      </c>
    </row>
    <row r="647" spans="1:20">
      <c r="A647" s="2" t="s">
        <v>1197</v>
      </c>
      <c r="B647" s="3">
        <v>46165</v>
      </c>
      <c r="C647" s="2" t="s">
        <v>599</v>
      </c>
      <c r="D647" s="2" t="s">
        <v>20</v>
      </c>
      <c r="E647" s="2" t="s">
        <v>30</v>
      </c>
      <c r="F647" s="2" t="s">
        <v>3</v>
      </c>
      <c r="G647" s="4">
        <v>16000</v>
      </c>
      <c r="H647" s="5">
        <v>3.8899999999999997E-2</v>
      </c>
      <c r="I647" s="2">
        <v>36</v>
      </c>
      <c r="J647" s="2" t="s">
        <v>37</v>
      </c>
      <c r="K647" s="2" t="s">
        <v>17</v>
      </c>
      <c r="L647" s="3">
        <v>46169</v>
      </c>
      <c r="M647" s="2" t="str">
        <f>_xlfn.XLOOKUP(Deals[[#This Row],[CustomerID]],Customers!A:A,Customers!F:F)</f>
        <v>Premium</v>
      </c>
      <c r="N647" s="2" t="str">
        <f>_xlfn.XLOOKUP(Deals[[#This Row],[CustomerID]],Customers!A:A,Customers!E:E)</f>
        <v>Non-Kuwaiti</v>
      </c>
      <c r="O647" s="2">
        <f>2026-_xlfn.XLOOKUP(Deals[[#This Row],[CustomerID]],Customers!A:A,Customers!D:D)</f>
        <v>22</v>
      </c>
      <c r="P647" s="2" t="str" cm="1">
        <f t="array" ref="P647">_xlfn.IFS(Deals[[#This Row],[Age]]&lt;30,"Under 30",Deals[[#This Row],[Age]]&lt;45,"30-44",TRUE,"45+")</f>
        <v>Under 30</v>
      </c>
      <c r="Q647" s="21">
        <f>IF(Deals[[#This Row],[Status]]="Pending","",Deals[[#This Row],[DecisionDate]]-Deals[[#This Row],[ApplicationDate]])</f>
        <v>4</v>
      </c>
      <c r="R647" s="21">
        <f>IF(Deals[[#This Row],[Status]]="Approved",1,0)</f>
        <v>1</v>
      </c>
      <c r="S647" s="21">
        <f>IF(Deals[[#This Row],[IsApproved]]=1,Deals[[#This Row],[Amount]],0)</f>
        <v>16000</v>
      </c>
      <c r="T647" s="21">
        <f>Deals[[#This Row],[ApprovedAmount]]*Deals[[#This Row],[ProfitRate]]</f>
        <v>622.4</v>
      </c>
    </row>
    <row r="648" spans="1:20">
      <c r="A648" s="2" t="s">
        <v>1198</v>
      </c>
      <c r="B648" s="3">
        <v>46165</v>
      </c>
      <c r="C648" s="2" t="s">
        <v>1199</v>
      </c>
      <c r="D648" s="2" t="s">
        <v>14</v>
      </c>
      <c r="E648" s="2" t="s">
        <v>15</v>
      </c>
      <c r="F648" s="2" t="s">
        <v>3</v>
      </c>
      <c r="G648" s="4">
        <v>2700</v>
      </c>
      <c r="H648" s="5">
        <v>6.5199999999999994E-2</v>
      </c>
      <c r="I648" s="2">
        <v>24</v>
      </c>
      <c r="J648" s="2" t="s">
        <v>16</v>
      </c>
      <c r="K648" s="2" t="s">
        <v>17</v>
      </c>
      <c r="L648" s="3">
        <v>46166</v>
      </c>
      <c r="M648" s="2" t="str">
        <f>_xlfn.XLOOKUP(Deals[[#This Row],[CustomerID]],Customers!A:A,Customers!F:F)</f>
        <v>Mass</v>
      </c>
      <c r="N648" s="2" t="str">
        <f>_xlfn.XLOOKUP(Deals[[#This Row],[CustomerID]],Customers!A:A,Customers!E:E)</f>
        <v>Non-Kuwaiti</v>
      </c>
      <c r="O648" s="2">
        <f>2026-_xlfn.XLOOKUP(Deals[[#This Row],[CustomerID]],Customers!A:A,Customers!D:D)</f>
        <v>56</v>
      </c>
      <c r="P648" s="2" t="str" cm="1">
        <f t="array" ref="P648">_xlfn.IFS(Deals[[#This Row],[Age]]&lt;30,"Under 30",Deals[[#This Row],[Age]]&lt;45,"30-44",TRUE,"45+")</f>
        <v>45+</v>
      </c>
      <c r="Q648" s="21">
        <f>IF(Deals[[#This Row],[Status]]="Pending","",Deals[[#This Row],[DecisionDate]]-Deals[[#This Row],[ApplicationDate]])</f>
        <v>1</v>
      </c>
      <c r="R648" s="21">
        <f>IF(Deals[[#This Row],[Status]]="Approved",1,0)</f>
        <v>1</v>
      </c>
      <c r="S648" s="21">
        <f>IF(Deals[[#This Row],[IsApproved]]=1,Deals[[#This Row],[Amount]],0)</f>
        <v>2700</v>
      </c>
      <c r="T648" s="21">
        <f>Deals[[#This Row],[ApprovedAmount]]*Deals[[#This Row],[ProfitRate]]</f>
        <v>176.04</v>
      </c>
    </row>
    <row r="649" spans="1:20">
      <c r="A649" s="2" t="s">
        <v>1200</v>
      </c>
      <c r="B649" s="3">
        <v>46165</v>
      </c>
      <c r="C649" s="2" t="s">
        <v>286</v>
      </c>
      <c r="D649" s="2" t="s">
        <v>29</v>
      </c>
      <c r="E649" s="2" t="s">
        <v>15</v>
      </c>
      <c r="F649" s="2" t="s">
        <v>55</v>
      </c>
      <c r="G649" s="4">
        <v>11500</v>
      </c>
      <c r="H649" s="5">
        <v>5.6000000000000001E-2</v>
      </c>
      <c r="I649" s="2">
        <v>12</v>
      </c>
      <c r="J649" s="2" t="s">
        <v>32</v>
      </c>
      <c r="K649" s="2" t="s">
        <v>45</v>
      </c>
      <c r="L649" s="3">
        <v>46172</v>
      </c>
      <c r="M649" s="2" t="str">
        <f>_xlfn.XLOOKUP(Deals[[#This Row],[CustomerID]],Customers!A:A,Customers!F:F)</f>
        <v>Affluent</v>
      </c>
      <c r="N649" s="2" t="str">
        <f>_xlfn.XLOOKUP(Deals[[#This Row],[CustomerID]],Customers!A:A,Customers!E:E)</f>
        <v>Kuwaiti</v>
      </c>
      <c r="O649" s="2">
        <f>2026-_xlfn.XLOOKUP(Deals[[#This Row],[CustomerID]],Customers!A:A,Customers!D:D)</f>
        <v>52</v>
      </c>
      <c r="P649" s="2" t="str" cm="1">
        <f t="array" ref="P649">_xlfn.IFS(Deals[[#This Row],[Age]]&lt;30,"Under 30",Deals[[#This Row],[Age]]&lt;45,"30-44",TRUE,"45+")</f>
        <v>45+</v>
      </c>
      <c r="Q649" s="21">
        <f>IF(Deals[[#This Row],[Status]]="Pending","",Deals[[#This Row],[DecisionDate]]-Deals[[#This Row],[ApplicationDate]])</f>
        <v>7</v>
      </c>
      <c r="R649" s="21">
        <f>IF(Deals[[#This Row],[Status]]="Approved",1,0)</f>
        <v>0</v>
      </c>
      <c r="S649" s="21">
        <f>IF(Deals[[#This Row],[IsApproved]]=1,Deals[[#This Row],[Amount]],0)</f>
        <v>0</v>
      </c>
      <c r="T649" s="21">
        <f>Deals[[#This Row],[ApprovedAmount]]*Deals[[#This Row],[ProfitRate]]</f>
        <v>0</v>
      </c>
    </row>
    <row r="650" spans="1:20">
      <c r="A650" s="2" t="s">
        <v>1201</v>
      </c>
      <c r="B650" s="3">
        <v>46166</v>
      </c>
      <c r="C650" s="2" t="s">
        <v>715</v>
      </c>
      <c r="D650" s="2" t="s">
        <v>14</v>
      </c>
      <c r="E650" s="2" t="s">
        <v>21</v>
      </c>
      <c r="F650" s="2" t="s">
        <v>3</v>
      </c>
      <c r="G650" s="4">
        <v>227000</v>
      </c>
      <c r="H650" s="5">
        <v>3.5999999999999997E-2</v>
      </c>
      <c r="I650" s="2">
        <v>180</v>
      </c>
      <c r="J650" s="2" t="s">
        <v>16</v>
      </c>
      <c r="K650" s="2" t="s">
        <v>45</v>
      </c>
      <c r="L650" s="3">
        <v>46196</v>
      </c>
      <c r="M650" s="2" t="str">
        <f>_xlfn.XLOOKUP(Deals[[#This Row],[CustomerID]],Customers!A:A,Customers!F:F)</f>
        <v>Premium</v>
      </c>
      <c r="N650" s="2" t="str">
        <f>_xlfn.XLOOKUP(Deals[[#This Row],[CustomerID]],Customers!A:A,Customers!E:E)</f>
        <v>Non-Kuwaiti</v>
      </c>
      <c r="O650" s="2">
        <f>2026-_xlfn.XLOOKUP(Deals[[#This Row],[CustomerID]],Customers!A:A,Customers!D:D)</f>
        <v>33</v>
      </c>
      <c r="P650" s="2" t="str" cm="1">
        <f t="array" ref="P650">_xlfn.IFS(Deals[[#This Row],[Age]]&lt;30,"Under 30",Deals[[#This Row],[Age]]&lt;45,"30-44",TRUE,"45+")</f>
        <v>30-44</v>
      </c>
      <c r="Q650" s="21">
        <f>IF(Deals[[#This Row],[Status]]="Pending","",Deals[[#This Row],[DecisionDate]]-Deals[[#This Row],[ApplicationDate]])</f>
        <v>30</v>
      </c>
      <c r="R650" s="21">
        <f>IF(Deals[[#This Row],[Status]]="Approved",1,0)</f>
        <v>0</v>
      </c>
      <c r="S650" s="21">
        <f>IF(Deals[[#This Row],[IsApproved]]=1,Deals[[#This Row],[Amount]],0)</f>
        <v>0</v>
      </c>
      <c r="T650" s="21">
        <f>Deals[[#This Row],[ApprovedAmount]]*Deals[[#This Row],[ProfitRate]]</f>
        <v>0</v>
      </c>
    </row>
    <row r="651" spans="1:20">
      <c r="A651" s="2" t="s">
        <v>1202</v>
      </c>
      <c r="B651" s="3">
        <v>46166</v>
      </c>
      <c r="C651" s="2" t="s">
        <v>1203</v>
      </c>
      <c r="D651" s="2" t="s">
        <v>20</v>
      </c>
      <c r="E651" s="2" t="s">
        <v>30</v>
      </c>
      <c r="F651" s="2" t="s">
        <v>3</v>
      </c>
      <c r="G651" s="4">
        <v>18900</v>
      </c>
      <c r="H651" s="5">
        <v>4.1399999999999999E-2</v>
      </c>
      <c r="I651" s="2">
        <v>60</v>
      </c>
      <c r="J651" s="2" t="s">
        <v>44</v>
      </c>
      <c r="K651" s="2" t="s">
        <v>17</v>
      </c>
      <c r="L651" s="3">
        <v>46167</v>
      </c>
      <c r="M651" s="2" t="str">
        <f>_xlfn.XLOOKUP(Deals[[#This Row],[CustomerID]],Customers!A:A,Customers!F:F)</f>
        <v>Premium</v>
      </c>
      <c r="N651" s="2" t="str">
        <f>_xlfn.XLOOKUP(Deals[[#This Row],[CustomerID]],Customers!A:A,Customers!E:E)</f>
        <v>Non-Kuwaiti</v>
      </c>
      <c r="O651" s="2">
        <f>2026-_xlfn.XLOOKUP(Deals[[#This Row],[CustomerID]],Customers!A:A,Customers!D:D)</f>
        <v>32</v>
      </c>
      <c r="P651" s="2" t="str" cm="1">
        <f t="array" ref="P651">_xlfn.IFS(Deals[[#This Row],[Age]]&lt;30,"Under 30",Deals[[#This Row],[Age]]&lt;45,"30-44",TRUE,"45+")</f>
        <v>30-44</v>
      </c>
      <c r="Q651" s="21">
        <f>IF(Deals[[#This Row],[Status]]="Pending","",Deals[[#This Row],[DecisionDate]]-Deals[[#This Row],[ApplicationDate]])</f>
        <v>1</v>
      </c>
      <c r="R651" s="21">
        <f>IF(Deals[[#This Row],[Status]]="Approved",1,0)</f>
        <v>1</v>
      </c>
      <c r="S651" s="21">
        <f>IF(Deals[[#This Row],[IsApproved]]=1,Deals[[#This Row],[Amount]],0)</f>
        <v>18900</v>
      </c>
      <c r="T651" s="21">
        <f>Deals[[#This Row],[ApprovedAmount]]*Deals[[#This Row],[ProfitRate]]</f>
        <v>782.46</v>
      </c>
    </row>
    <row r="652" spans="1:20">
      <c r="A652" s="2" t="s">
        <v>1204</v>
      </c>
      <c r="B652" s="3">
        <v>46166</v>
      </c>
      <c r="C652" s="2" t="s">
        <v>204</v>
      </c>
      <c r="D652" s="2" t="s">
        <v>25</v>
      </c>
      <c r="E652" s="2" t="s">
        <v>15</v>
      </c>
      <c r="F652" s="2" t="s">
        <v>3</v>
      </c>
      <c r="G652" s="4">
        <v>14600</v>
      </c>
      <c r="H652" s="5">
        <v>5.4899999999999997E-2</v>
      </c>
      <c r="I652" s="2">
        <v>12</v>
      </c>
      <c r="J652" s="2" t="s">
        <v>181</v>
      </c>
      <c r="K652" s="2" t="s">
        <v>17</v>
      </c>
      <c r="L652" s="3">
        <v>46169</v>
      </c>
      <c r="M652" s="2" t="str">
        <f>_xlfn.XLOOKUP(Deals[[#This Row],[CustomerID]],Customers!A:A,Customers!F:F)</f>
        <v>Affluent</v>
      </c>
      <c r="N652" s="2" t="str">
        <f>_xlfn.XLOOKUP(Deals[[#This Row],[CustomerID]],Customers!A:A,Customers!E:E)</f>
        <v>Kuwaiti</v>
      </c>
      <c r="O652" s="2">
        <f>2026-_xlfn.XLOOKUP(Deals[[#This Row],[CustomerID]],Customers!A:A,Customers!D:D)</f>
        <v>44</v>
      </c>
      <c r="P652" s="2" t="str" cm="1">
        <f t="array" ref="P652">_xlfn.IFS(Deals[[#This Row],[Age]]&lt;30,"Under 30",Deals[[#This Row],[Age]]&lt;45,"30-44",TRUE,"45+")</f>
        <v>30-44</v>
      </c>
      <c r="Q652" s="21">
        <f>IF(Deals[[#This Row],[Status]]="Pending","",Deals[[#This Row],[DecisionDate]]-Deals[[#This Row],[ApplicationDate]])</f>
        <v>3</v>
      </c>
      <c r="R652" s="21">
        <f>IF(Deals[[#This Row],[Status]]="Approved",1,0)</f>
        <v>1</v>
      </c>
      <c r="S652" s="21">
        <f>IF(Deals[[#This Row],[IsApproved]]=1,Deals[[#This Row],[Amount]],0)</f>
        <v>14600</v>
      </c>
      <c r="T652" s="21">
        <f>Deals[[#This Row],[ApprovedAmount]]*Deals[[#This Row],[ProfitRate]]</f>
        <v>801.54</v>
      </c>
    </row>
    <row r="653" spans="1:20">
      <c r="A653" s="2" t="s">
        <v>1207</v>
      </c>
      <c r="B653" s="3">
        <v>46166</v>
      </c>
      <c r="C653" s="2" t="s">
        <v>720</v>
      </c>
      <c r="D653" s="2" t="s">
        <v>14</v>
      </c>
      <c r="E653" s="2" t="s">
        <v>43</v>
      </c>
      <c r="F653" s="2" t="s">
        <v>3</v>
      </c>
      <c r="G653" s="4">
        <v>152800</v>
      </c>
      <c r="H653" s="5">
        <v>6.9599999999999995E-2</v>
      </c>
      <c r="I653" s="2">
        <v>36</v>
      </c>
      <c r="J653" s="2" t="s">
        <v>16</v>
      </c>
      <c r="K653" s="2" t="s">
        <v>17</v>
      </c>
      <c r="L653" s="3">
        <v>46182</v>
      </c>
      <c r="M653" s="2" t="str">
        <f>_xlfn.XLOOKUP(Deals[[#This Row],[CustomerID]],Customers!A:A,Customers!F:F)</f>
        <v>Affluent</v>
      </c>
      <c r="N653" s="2" t="str">
        <f>_xlfn.XLOOKUP(Deals[[#This Row],[CustomerID]],Customers!A:A,Customers!E:E)</f>
        <v>Kuwaiti</v>
      </c>
      <c r="O653" s="2">
        <f>2026-_xlfn.XLOOKUP(Deals[[#This Row],[CustomerID]],Customers!A:A,Customers!D:D)</f>
        <v>36</v>
      </c>
      <c r="P653" s="2" t="str" cm="1">
        <f t="array" ref="P653">_xlfn.IFS(Deals[[#This Row],[Age]]&lt;30,"Under 30",Deals[[#This Row],[Age]]&lt;45,"30-44",TRUE,"45+")</f>
        <v>30-44</v>
      </c>
      <c r="Q653" s="21">
        <f>IF(Deals[[#This Row],[Status]]="Pending","",Deals[[#This Row],[DecisionDate]]-Deals[[#This Row],[ApplicationDate]])</f>
        <v>16</v>
      </c>
      <c r="R653" s="21">
        <f>IF(Deals[[#This Row],[Status]]="Approved",1,0)</f>
        <v>1</v>
      </c>
      <c r="S653" s="21">
        <f>IF(Deals[[#This Row],[IsApproved]]=1,Deals[[#This Row],[Amount]],0)</f>
        <v>152800</v>
      </c>
      <c r="T653" s="21">
        <f>Deals[[#This Row],[ApprovedAmount]]*Deals[[#This Row],[ProfitRate]]</f>
        <v>10634.88</v>
      </c>
    </row>
    <row r="654" spans="1:20">
      <c r="A654" s="2" t="s">
        <v>1208</v>
      </c>
      <c r="B654" s="3">
        <v>46166</v>
      </c>
      <c r="C654" s="2" t="s">
        <v>1209</v>
      </c>
      <c r="D654" s="2" t="s">
        <v>54</v>
      </c>
      <c r="E654" s="2" t="s">
        <v>15</v>
      </c>
      <c r="F654" s="2" t="s">
        <v>31</v>
      </c>
      <c r="G654" s="4">
        <v>14500</v>
      </c>
      <c r="H654" s="5">
        <v>5.8799999999999998E-2</v>
      </c>
      <c r="I654" s="2">
        <v>24</v>
      </c>
      <c r="J654" s="2" t="s">
        <v>148</v>
      </c>
      <c r="K654" s="2" t="s">
        <v>17</v>
      </c>
      <c r="L654" s="3">
        <v>46166</v>
      </c>
      <c r="M654" s="2" t="str">
        <f>_xlfn.XLOOKUP(Deals[[#This Row],[CustomerID]],Customers!A:A,Customers!F:F)</f>
        <v>Premium</v>
      </c>
      <c r="N654" s="2" t="str">
        <f>_xlfn.XLOOKUP(Deals[[#This Row],[CustomerID]],Customers!A:A,Customers!E:E)</f>
        <v>Kuwaiti</v>
      </c>
      <c r="O654" s="2">
        <f>2026-_xlfn.XLOOKUP(Deals[[#This Row],[CustomerID]],Customers!A:A,Customers!D:D)</f>
        <v>35</v>
      </c>
      <c r="P654" s="2" t="str" cm="1">
        <f t="array" ref="P654">_xlfn.IFS(Deals[[#This Row],[Age]]&lt;30,"Under 30",Deals[[#This Row],[Age]]&lt;45,"30-44",TRUE,"45+")</f>
        <v>30-44</v>
      </c>
      <c r="Q654" s="21">
        <f>IF(Deals[[#This Row],[Status]]="Pending","",Deals[[#This Row],[DecisionDate]]-Deals[[#This Row],[ApplicationDate]])</f>
        <v>0</v>
      </c>
      <c r="R654" s="21">
        <f>IF(Deals[[#This Row],[Status]]="Approved",1,0)</f>
        <v>1</v>
      </c>
      <c r="S654" s="21">
        <f>IF(Deals[[#This Row],[IsApproved]]=1,Deals[[#This Row],[Amount]],0)</f>
        <v>14500</v>
      </c>
      <c r="T654" s="21">
        <f>Deals[[#This Row],[ApprovedAmount]]*Deals[[#This Row],[ProfitRate]]</f>
        <v>852.6</v>
      </c>
    </row>
    <row r="655" spans="1:20">
      <c r="A655" s="2" t="s">
        <v>1210</v>
      </c>
      <c r="B655" s="3">
        <v>46167</v>
      </c>
      <c r="C655" s="2" t="s">
        <v>1211</v>
      </c>
      <c r="D655" s="2" t="s">
        <v>20</v>
      </c>
      <c r="E655" s="2" t="s">
        <v>30</v>
      </c>
      <c r="F655" s="2" t="s">
        <v>55</v>
      </c>
      <c r="G655" s="4">
        <v>7300</v>
      </c>
      <c r="H655" s="5">
        <v>3.9399999999999998E-2</v>
      </c>
      <c r="I655" s="2">
        <v>60</v>
      </c>
      <c r="J655" s="2" t="s">
        <v>22</v>
      </c>
      <c r="K655" s="2" t="s">
        <v>17</v>
      </c>
      <c r="L655" s="3">
        <v>46168</v>
      </c>
      <c r="M655" s="2" t="str">
        <f>_xlfn.XLOOKUP(Deals[[#This Row],[CustomerID]],Customers!A:A,Customers!F:F)</f>
        <v>Mass</v>
      </c>
      <c r="N655" s="2" t="str">
        <f>_xlfn.XLOOKUP(Deals[[#This Row],[CustomerID]],Customers!A:A,Customers!E:E)</f>
        <v>Kuwaiti</v>
      </c>
      <c r="O655" s="2">
        <f>2026-_xlfn.XLOOKUP(Deals[[#This Row],[CustomerID]],Customers!A:A,Customers!D:D)</f>
        <v>68</v>
      </c>
      <c r="P655" s="2" t="str" cm="1">
        <f t="array" ref="P655">_xlfn.IFS(Deals[[#This Row],[Age]]&lt;30,"Under 30",Deals[[#This Row],[Age]]&lt;45,"30-44",TRUE,"45+")</f>
        <v>45+</v>
      </c>
      <c r="Q655" s="21">
        <f>IF(Deals[[#This Row],[Status]]="Pending","",Deals[[#This Row],[DecisionDate]]-Deals[[#This Row],[ApplicationDate]])</f>
        <v>1</v>
      </c>
      <c r="R655" s="21">
        <f>IF(Deals[[#This Row],[Status]]="Approved",1,0)</f>
        <v>1</v>
      </c>
      <c r="S655" s="21">
        <f>IF(Deals[[#This Row],[IsApproved]]=1,Deals[[#This Row],[Amount]],0)</f>
        <v>7300</v>
      </c>
      <c r="T655" s="21">
        <f>Deals[[#This Row],[ApprovedAmount]]*Deals[[#This Row],[ProfitRate]]</f>
        <v>287.62</v>
      </c>
    </row>
    <row r="656" spans="1:20">
      <c r="A656" s="2" t="s">
        <v>1212</v>
      </c>
      <c r="B656" s="3">
        <v>46167</v>
      </c>
      <c r="C656" s="2" t="s">
        <v>1213</v>
      </c>
      <c r="D656" s="2" t="s">
        <v>54</v>
      </c>
      <c r="E656" s="2" t="s">
        <v>15</v>
      </c>
      <c r="F656" s="2" t="s">
        <v>3</v>
      </c>
      <c r="G656" s="4">
        <v>13500</v>
      </c>
      <c r="H656" s="5">
        <v>5.4800000000000001E-2</v>
      </c>
      <c r="I656" s="2">
        <v>48</v>
      </c>
      <c r="J656" s="2" t="s">
        <v>186</v>
      </c>
      <c r="K656" s="2" t="s">
        <v>17</v>
      </c>
      <c r="L656" s="3">
        <v>46169</v>
      </c>
      <c r="M656" s="2" t="str">
        <f>_xlfn.XLOOKUP(Deals[[#This Row],[CustomerID]],Customers!A:A,Customers!F:F)</f>
        <v>Premium</v>
      </c>
      <c r="N656" s="2" t="str">
        <f>_xlfn.XLOOKUP(Deals[[#This Row],[CustomerID]],Customers!A:A,Customers!E:E)</f>
        <v>Non-Kuwaiti</v>
      </c>
      <c r="O656" s="2">
        <f>2026-_xlfn.XLOOKUP(Deals[[#This Row],[CustomerID]],Customers!A:A,Customers!D:D)</f>
        <v>66</v>
      </c>
      <c r="P656" s="2" t="str" cm="1">
        <f t="array" ref="P656">_xlfn.IFS(Deals[[#This Row],[Age]]&lt;30,"Under 30",Deals[[#This Row],[Age]]&lt;45,"30-44",TRUE,"45+")</f>
        <v>45+</v>
      </c>
      <c r="Q656" s="21">
        <f>IF(Deals[[#This Row],[Status]]="Pending","",Deals[[#This Row],[DecisionDate]]-Deals[[#This Row],[ApplicationDate]])</f>
        <v>2</v>
      </c>
      <c r="R656" s="21">
        <f>IF(Deals[[#This Row],[Status]]="Approved",1,0)</f>
        <v>1</v>
      </c>
      <c r="S656" s="21">
        <f>IF(Deals[[#This Row],[IsApproved]]=1,Deals[[#This Row],[Amount]],0)</f>
        <v>13500</v>
      </c>
      <c r="T656" s="21">
        <f>Deals[[#This Row],[ApprovedAmount]]*Deals[[#This Row],[ProfitRate]]</f>
        <v>739.80000000000007</v>
      </c>
    </row>
    <row r="657" spans="1:20">
      <c r="A657" s="2" t="s">
        <v>1214</v>
      </c>
      <c r="B657" s="3">
        <v>46167</v>
      </c>
      <c r="C657" s="2" t="s">
        <v>1215</v>
      </c>
      <c r="D657" s="2" t="s">
        <v>54</v>
      </c>
      <c r="E657" s="2" t="s">
        <v>15</v>
      </c>
      <c r="F657" s="2" t="s">
        <v>31</v>
      </c>
      <c r="G657" s="4">
        <v>2700</v>
      </c>
      <c r="H657" s="5">
        <v>6.9599999999999995E-2</v>
      </c>
      <c r="I657" s="2">
        <v>36</v>
      </c>
      <c r="J657" s="2" t="s">
        <v>148</v>
      </c>
      <c r="K657" s="2" t="s">
        <v>45</v>
      </c>
      <c r="L657" s="3">
        <v>46168</v>
      </c>
      <c r="M657" s="2" t="str">
        <f>_xlfn.XLOOKUP(Deals[[#This Row],[CustomerID]],Customers!A:A,Customers!F:F)</f>
        <v>Mass</v>
      </c>
      <c r="N657" s="2" t="str">
        <f>_xlfn.XLOOKUP(Deals[[#This Row],[CustomerID]],Customers!A:A,Customers!E:E)</f>
        <v>Non-Kuwaiti</v>
      </c>
      <c r="O657" s="2">
        <f>2026-_xlfn.XLOOKUP(Deals[[#This Row],[CustomerID]],Customers!A:A,Customers!D:D)</f>
        <v>61</v>
      </c>
      <c r="P657" s="2" t="str" cm="1">
        <f t="array" ref="P657">_xlfn.IFS(Deals[[#This Row],[Age]]&lt;30,"Under 30",Deals[[#This Row],[Age]]&lt;45,"30-44",TRUE,"45+")</f>
        <v>45+</v>
      </c>
      <c r="Q657" s="21">
        <f>IF(Deals[[#This Row],[Status]]="Pending","",Deals[[#This Row],[DecisionDate]]-Deals[[#This Row],[ApplicationDate]])</f>
        <v>1</v>
      </c>
      <c r="R657" s="21">
        <f>IF(Deals[[#This Row],[Status]]="Approved",1,0)</f>
        <v>0</v>
      </c>
      <c r="S657" s="21">
        <f>IF(Deals[[#This Row],[IsApproved]]=1,Deals[[#This Row],[Amount]],0)</f>
        <v>0</v>
      </c>
      <c r="T657" s="21">
        <f>Deals[[#This Row],[ApprovedAmount]]*Deals[[#This Row],[ProfitRate]]</f>
        <v>0</v>
      </c>
    </row>
    <row r="658" spans="1:20">
      <c r="A658" s="2" t="s">
        <v>1216</v>
      </c>
      <c r="B658" s="3">
        <v>46167</v>
      </c>
      <c r="C658" s="2" t="s">
        <v>1217</v>
      </c>
      <c r="D658" s="2" t="s">
        <v>25</v>
      </c>
      <c r="E658" s="2" t="s">
        <v>30</v>
      </c>
      <c r="F658" s="2" t="s">
        <v>3</v>
      </c>
      <c r="G658" s="4">
        <v>5800</v>
      </c>
      <c r="H658" s="5">
        <v>3.85E-2</v>
      </c>
      <c r="I658" s="2">
        <v>60</v>
      </c>
      <c r="J658" s="2" t="s">
        <v>181</v>
      </c>
      <c r="K658" s="2" t="s">
        <v>17</v>
      </c>
      <c r="L658" s="3">
        <v>46168</v>
      </c>
      <c r="M658" s="2" t="str">
        <f>_xlfn.XLOOKUP(Deals[[#This Row],[CustomerID]],Customers!A:A,Customers!F:F)</f>
        <v>Mass</v>
      </c>
      <c r="N658" s="2" t="str">
        <f>_xlfn.XLOOKUP(Deals[[#This Row],[CustomerID]],Customers!A:A,Customers!E:E)</f>
        <v>Non-Kuwaiti</v>
      </c>
      <c r="O658" s="2">
        <f>2026-_xlfn.XLOOKUP(Deals[[#This Row],[CustomerID]],Customers!A:A,Customers!D:D)</f>
        <v>38</v>
      </c>
      <c r="P658" s="2" t="str" cm="1">
        <f t="array" ref="P658">_xlfn.IFS(Deals[[#This Row],[Age]]&lt;30,"Under 30",Deals[[#This Row],[Age]]&lt;45,"30-44",TRUE,"45+")</f>
        <v>30-44</v>
      </c>
      <c r="Q658" s="21">
        <f>IF(Deals[[#This Row],[Status]]="Pending","",Deals[[#This Row],[DecisionDate]]-Deals[[#This Row],[ApplicationDate]])</f>
        <v>1</v>
      </c>
      <c r="R658" s="21">
        <f>IF(Deals[[#This Row],[Status]]="Approved",1,0)</f>
        <v>1</v>
      </c>
      <c r="S658" s="21">
        <f>IF(Deals[[#This Row],[IsApproved]]=1,Deals[[#This Row],[Amount]],0)</f>
        <v>5800</v>
      </c>
      <c r="T658" s="21">
        <f>Deals[[#This Row],[ApprovedAmount]]*Deals[[#This Row],[ProfitRate]]</f>
        <v>223.29999999999998</v>
      </c>
    </row>
    <row r="659" spans="1:20">
      <c r="A659" s="2" t="s">
        <v>1220</v>
      </c>
      <c r="B659" s="3">
        <v>46168</v>
      </c>
      <c r="C659" s="2" t="s">
        <v>638</v>
      </c>
      <c r="D659" s="2" t="s">
        <v>20</v>
      </c>
      <c r="E659" s="2" t="s">
        <v>15</v>
      </c>
      <c r="F659" s="2" t="s">
        <v>3</v>
      </c>
      <c r="G659" s="4">
        <v>12400</v>
      </c>
      <c r="H659" s="5">
        <v>6.6799999999999998E-2</v>
      </c>
      <c r="I659" s="2">
        <v>60</v>
      </c>
      <c r="J659" s="2" t="s">
        <v>37</v>
      </c>
      <c r="K659" s="2" t="s">
        <v>17</v>
      </c>
      <c r="L659" s="3">
        <v>46173</v>
      </c>
      <c r="M659" s="2" t="str">
        <f>_xlfn.XLOOKUP(Deals[[#This Row],[CustomerID]],Customers!A:A,Customers!F:F)</f>
        <v>Mass</v>
      </c>
      <c r="N659" s="2" t="str">
        <f>_xlfn.XLOOKUP(Deals[[#This Row],[CustomerID]],Customers!A:A,Customers!E:E)</f>
        <v>Kuwaiti</v>
      </c>
      <c r="O659" s="2">
        <f>2026-_xlfn.XLOOKUP(Deals[[#This Row],[CustomerID]],Customers!A:A,Customers!D:D)</f>
        <v>39</v>
      </c>
      <c r="P659" s="2" t="str" cm="1">
        <f t="array" ref="P659">_xlfn.IFS(Deals[[#This Row],[Age]]&lt;30,"Under 30",Deals[[#This Row],[Age]]&lt;45,"30-44",TRUE,"45+")</f>
        <v>30-44</v>
      </c>
      <c r="Q659" s="21">
        <f>IF(Deals[[#This Row],[Status]]="Pending","",Deals[[#This Row],[DecisionDate]]-Deals[[#This Row],[ApplicationDate]])</f>
        <v>5</v>
      </c>
      <c r="R659" s="21">
        <f>IF(Deals[[#This Row],[Status]]="Approved",1,0)</f>
        <v>1</v>
      </c>
      <c r="S659" s="21">
        <f>IF(Deals[[#This Row],[IsApproved]]=1,Deals[[#This Row],[Amount]],0)</f>
        <v>12400</v>
      </c>
      <c r="T659" s="21">
        <f>Deals[[#This Row],[ApprovedAmount]]*Deals[[#This Row],[ProfitRate]]</f>
        <v>828.31999999999994</v>
      </c>
    </row>
    <row r="660" spans="1:20">
      <c r="A660" s="2" t="s">
        <v>1221</v>
      </c>
      <c r="B660" s="3">
        <v>46168</v>
      </c>
      <c r="C660" s="2" t="s">
        <v>519</v>
      </c>
      <c r="D660" s="2" t="s">
        <v>14</v>
      </c>
      <c r="E660" s="2" t="s">
        <v>30</v>
      </c>
      <c r="F660" s="2" t="s">
        <v>31</v>
      </c>
      <c r="G660" s="4">
        <v>4600</v>
      </c>
      <c r="H660" s="5">
        <v>4.2700000000000002E-2</v>
      </c>
      <c r="I660" s="2">
        <v>48</v>
      </c>
      <c r="J660" s="2" t="s">
        <v>40</v>
      </c>
      <c r="K660" s="2" t="s">
        <v>17</v>
      </c>
      <c r="L660" s="3">
        <v>46170</v>
      </c>
      <c r="M660" s="2" t="str">
        <f>_xlfn.XLOOKUP(Deals[[#This Row],[CustomerID]],Customers!A:A,Customers!F:F)</f>
        <v>Mass</v>
      </c>
      <c r="N660" s="2" t="str">
        <f>_xlfn.XLOOKUP(Deals[[#This Row],[CustomerID]],Customers!A:A,Customers!E:E)</f>
        <v>Kuwaiti</v>
      </c>
      <c r="O660" s="2">
        <f>2026-_xlfn.XLOOKUP(Deals[[#This Row],[CustomerID]],Customers!A:A,Customers!D:D)</f>
        <v>57</v>
      </c>
      <c r="P660" s="2" t="str" cm="1">
        <f t="array" ref="P660">_xlfn.IFS(Deals[[#This Row],[Age]]&lt;30,"Under 30",Deals[[#This Row],[Age]]&lt;45,"30-44",TRUE,"45+")</f>
        <v>45+</v>
      </c>
      <c r="Q660" s="21">
        <f>IF(Deals[[#This Row],[Status]]="Pending","",Deals[[#This Row],[DecisionDate]]-Deals[[#This Row],[ApplicationDate]])</f>
        <v>2</v>
      </c>
      <c r="R660" s="21">
        <f>IF(Deals[[#This Row],[Status]]="Approved",1,0)</f>
        <v>1</v>
      </c>
      <c r="S660" s="21">
        <f>IF(Deals[[#This Row],[IsApproved]]=1,Deals[[#This Row],[Amount]],0)</f>
        <v>4600</v>
      </c>
      <c r="T660" s="21">
        <f>Deals[[#This Row],[ApprovedAmount]]*Deals[[#This Row],[ProfitRate]]</f>
        <v>196.42000000000002</v>
      </c>
    </row>
    <row r="661" spans="1:20">
      <c r="A661" s="2" t="s">
        <v>1222</v>
      </c>
      <c r="B661" s="3">
        <v>46168</v>
      </c>
      <c r="C661" s="2" t="s">
        <v>284</v>
      </c>
      <c r="D661" s="2" t="s">
        <v>20</v>
      </c>
      <c r="E661" s="2" t="s">
        <v>30</v>
      </c>
      <c r="F661" s="2" t="s">
        <v>3</v>
      </c>
      <c r="G661" s="4">
        <v>9300</v>
      </c>
      <c r="H661" s="5">
        <v>3.7900000000000003E-2</v>
      </c>
      <c r="I661" s="2">
        <v>60</v>
      </c>
      <c r="J661" s="2" t="s">
        <v>44</v>
      </c>
      <c r="K661" s="2" t="s">
        <v>17</v>
      </c>
      <c r="L661" s="3">
        <v>46170</v>
      </c>
      <c r="M661" s="2" t="str">
        <f>_xlfn.XLOOKUP(Deals[[#This Row],[CustomerID]],Customers!A:A,Customers!F:F)</f>
        <v>Mass</v>
      </c>
      <c r="N661" s="2" t="str">
        <f>_xlfn.XLOOKUP(Deals[[#This Row],[CustomerID]],Customers!A:A,Customers!E:E)</f>
        <v>Non-Kuwaiti</v>
      </c>
      <c r="O661" s="2">
        <f>2026-_xlfn.XLOOKUP(Deals[[#This Row],[CustomerID]],Customers!A:A,Customers!D:D)</f>
        <v>52</v>
      </c>
      <c r="P661" s="2" t="str" cm="1">
        <f t="array" ref="P661">_xlfn.IFS(Deals[[#This Row],[Age]]&lt;30,"Under 30",Deals[[#This Row],[Age]]&lt;45,"30-44",TRUE,"45+")</f>
        <v>45+</v>
      </c>
      <c r="Q661" s="21">
        <f>IF(Deals[[#This Row],[Status]]="Pending","",Deals[[#This Row],[DecisionDate]]-Deals[[#This Row],[ApplicationDate]])</f>
        <v>2</v>
      </c>
      <c r="R661" s="21">
        <f>IF(Deals[[#This Row],[Status]]="Approved",1,0)</f>
        <v>1</v>
      </c>
      <c r="S661" s="21">
        <f>IF(Deals[[#This Row],[IsApproved]]=1,Deals[[#This Row],[Amount]],0)</f>
        <v>9300</v>
      </c>
      <c r="T661" s="21">
        <f>Deals[[#This Row],[ApprovedAmount]]*Deals[[#This Row],[ProfitRate]]</f>
        <v>352.47</v>
      </c>
    </row>
    <row r="662" spans="1:20">
      <c r="A662" s="2" t="s">
        <v>1223</v>
      </c>
      <c r="B662" s="3">
        <v>46169</v>
      </c>
      <c r="C662" s="2" t="s">
        <v>1224</v>
      </c>
      <c r="D662" s="2" t="s">
        <v>25</v>
      </c>
      <c r="E662" s="2" t="s">
        <v>15</v>
      </c>
      <c r="F662" s="2" t="s">
        <v>31</v>
      </c>
      <c r="G662" s="4">
        <v>8900</v>
      </c>
      <c r="H662" s="5">
        <v>5.1200000000000002E-2</v>
      </c>
      <c r="I662" s="2">
        <v>60</v>
      </c>
      <c r="J662" s="2" t="s">
        <v>181</v>
      </c>
      <c r="K662" s="2" t="s">
        <v>45</v>
      </c>
      <c r="L662" s="3">
        <v>46170</v>
      </c>
      <c r="M662" s="2" t="str">
        <f>_xlfn.XLOOKUP(Deals[[#This Row],[CustomerID]],Customers!A:A,Customers!F:F)</f>
        <v>Mass</v>
      </c>
      <c r="N662" s="2" t="str">
        <f>_xlfn.XLOOKUP(Deals[[#This Row],[CustomerID]],Customers!A:A,Customers!E:E)</f>
        <v>Non-Kuwaiti</v>
      </c>
      <c r="O662" s="2">
        <f>2026-_xlfn.XLOOKUP(Deals[[#This Row],[CustomerID]],Customers!A:A,Customers!D:D)</f>
        <v>35</v>
      </c>
      <c r="P662" s="2" t="str" cm="1">
        <f t="array" ref="P662">_xlfn.IFS(Deals[[#This Row],[Age]]&lt;30,"Under 30",Deals[[#This Row],[Age]]&lt;45,"30-44",TRUE,"45+")</f>
        <v>30-44</v>
      </c>
      <c r="Q662" s="21">
        <f>IF(Deals[[#This Row],[Status]]="Pending","",Deals[[#This Row],[DecisionDate]]-Deals[[#This Row],[ApplicationDate]])</f>
        <v>1</v>
      </c>
      <c r="R662" s="21">
        <f>IF(Deals[[#This Row],[Status]]="Approved",1,0)</f>
        <v>0</v>
      </c>
      <c r="S662" s="21">
        <f>IF(Deals[[#This Row],[IsApproved]]=1,Deals[[#This Row],[Amount]],0)</f>
        <v>0</v>
      </c>
      <c r="T662" s="21">
        <f>Deals[[#This Row],[ApprovedAmount]]*Deals[[#This Row],[ProfitRate]]</f>
        <v>0</v>
      </c>
    </row>
    <row r="663" spans="1:20">
      <c r="A663" s="2" t="s">
        <v>1225</v>
      </c>
      <c r="B663" s="3">
        <v>46169</v>
      </c>
      <c r="C663" s="2" t="s">
        <v>1154</v>
      </c>
      <c r="D663" s="2" t="s">
        <v>14</v>
      </c>
      <c r="E663" s="2" t="s">
        <v>15</v>
      </c>
      <c r="F663" s="2" t="s">
        <v>3</v>
      </c>
      <c r="G663" s="4">
        <v>25000</v>
      </c>
      <c r="H663" s="5">
        <v>5.8799999999999998E-2</v>
      </c>
      <c r="I663" s="2">
        <v>48</v>
      </c>
      <c r="J663" s="2" t="s">
        <v>40</v>
      </c>
      <c r="K663" s="2" t="s">
        <v>45</v>
      </c>
      <c r="L663" s="3">
        <v>46176</v>
      </c>
      <c r="M663" s="2" t="str">
        <f>_xlfn.XLOOKUP(Deals[[#This Row],[CustomerID]],Customers!A:A,Customers!F:F)</f>
        <v>Premium</v>
      </c>
      <c r="N663" s="2" t="str">
        <f>_xlfn.XLOOKUP(Deals[[#This Row],[CustomerID]],Customers!A:A,Customers!E:E)</f>
        <v>Kuwaiti</v>
      </c>
      <c r="O663" s="2">
        <f>2026-_xlfn.XLOOKUP(Deals[[#This Row],[CustomerID]],Customers!A:A,Customers!D:D)</f>
        <v>59</v>
      </c>
      <c r="P663" s="2" t="str" cm="1">
        <f t="array" ref="P663">_xlfn.IFS(Deals[[#This Row],[Age]]&lt;30,"Under 30",Deals[[#This Row],[Age]]&lt;45,"30-44",TRUE,"45+")</f>
        <v>45+</v>
      </c>
      <c r="Q663" s="21">
        <f>IF(Deals[[#This Row],[Status]]="Pending","",Deals[[#This Row],[DecisionDate]]-Deals[[#This Row],[ApplicationDate]])</f>
        <v>7</v>
      </c>
      <c r="R663" s="21">
        <f>IF(Deals[[#This Row],[Status]]="Approved",1,0)</f>
        <v>0</v>
      </c>
      <c r="S663" s="21">
        <f>IF(Deals[[#This Row],[IsApproved]]=1,Deals[[#This Row],[Amount]],0)</f>
        <v>0</v>
      </c>
      <c r="T663" s="21">
        <f>Deals[[#This Row],[ApprovedAmount]]*Deals[[#This Row],[ProfitRate]]</f>
        <v>0</v>
      </c>
    </row>
    <row r="664" spans="1:20">
      <c r="A664" s="2" t="s">
        <v>1226</v>
      </c>
      <c r="B664" s="3">
        <v>46169</v>
      </c>
      <c r="C664" s="2" t="s">
        <v>335</v>
      </c>
      <c r="D664" s="2" t="s">
        <v>71</v>
      </c>
      <c r="E664" s="2" t="s">
        <v>30</v>
      </c>
      <c r="F664" s="2" t="s">
        <v>3</v>
      </c>
      <c r="G664" s="4">
        <v>6600</v>
      </c>
      <c r="H664" s="5">
        <v>4.2700000000000002E-2</v>
      </c>
      <c r="I664" s="2">
        <v>48</v>
      </c>
      <c r="J664" s="2" t="s">
        <v>94</v>
      </c>
      <c r="K664" s="2" t="s">
        <v>45</v>
      </c>
      <c r="L664" s="3">
        <v>46174</v>
      </c>
      <c r="M664" s="2" t="str">
        <f>_xlfn.XLOOKUP(Deals[[#This Row],[CustomerID]],Customers!A:A,Customers!F:F)</f>
        <v>Mass</v>
      </c>
      <c r="N664" s="2" t="str">
        <f>_xlfn.XLOOKUP(Deals[[#This Row],[CustomerID]],Customers!A:A,Customers!E:E)</f>
        <v>Kuwaiti</v>
      </c>
      <c r="O664" s="2">
        <f>2026-_xlfn.XLOOKUP(Deals[[#This Row],[CustomerID]],Customers!A:A,Customers!D:D)</f>
        <v>22</v>
      </c>
      <c r="P664" s="2" t="str" cm="1">
        <f t="array" ref="P664">_xlfn.IFS(Deals[[#This Row],[Age]]&lt;30,"Under 30",Deals[[#This Row],[Age]]&lt;45,"30-44",TRUE,"45+")</f>
        <v>Under 30</v>
      </c>
      <c r="Q664" s="21">
        <f>IF(Deals[[#This Row],[Status]]="Pending","",Deals[[#This Row],[DecisionDate]]-Deals[[#This Row],[ApplicationDate]])</f>
        <v>5</v>
      </c>
      <c r="R664" s="21">
        <f>IF(Deals[[#This Row],[Status]]="Approved",1,0)</f>
        <v>0</v>
      </c>
      <c r="S664" s="21">
        <f>IF(Deals[[#This Row],[IsApproved]]=1,Deals[[#This Row],[Amount]],0)</f>
        <v>0</v>
      </c>
      <c r="T664" s="21">
        <f>Deals[[#This Row],[ApprovedAmount]]*Deals[[#This Row],[ProfitRate]]</f>
        <v>0</v>
      </c>
    </row>
    <row r="665" spans="1:20">
      <c r="A665" s="2" t="s">
        <v>1227</v>
      </c>
      <c r="B665" s="3">
        <v>46169</v>
      </c>
      <c r="C665" s="2" t="s">
        <v>280</v>
      </c>
      <c r="D665" s="2" t="s">
        <v>14</v>
      </c>
      <c r="E665" s="2" t="s">
        <v>30</v>
      </c>
      <c r="F665" s="2" t="s">
        <v>31</v>
      </c>
      <c r="G665" s="4">
        <v>13400</v>
      </c>
      <c r="H665" s="5">
        <v>3.7499999999999999E-2</v>
      </c>
      <c r="I665" s="2">
        <v>36</v>
      </c>
      <c r="J665" s="2" t="s">
        <v>40</v>
      </c>
      <c r="K665" s="2" t="s">
        <v>17</v>
      </c>
      <c r="L665" s="3">
        <v>46173</v>
      </c>
      <c r="M665" s="2" t="str">
        <f>_xlfn.XLOOKUP(Deals[[#This Row],[CustomerID]],Customers!A:A,Customers!F:F)</f>
        <v>Mass</v>
      </c>
      <c r="N665" s="2" t="str">
        <f>_xlfn.XLOOKUP(Deals[[#This Row],[CustomerID]],Customers!A:A,Customers!E:E)</f>
        <v>Kuwaiti</v>
      </c>
      <c r="O665" s="2">
        <f>2026-_xlfn.XLOOKUP(Deals[[#This Row],[CustomerID]],Customers!A:A,Customers!D:D)</f>
        <v>31</v>
      </c>
      <c r="P665" s="2" t="str" cm="1">
        <f t="array" ref="P665">_xlfn.IFS(Deals[[#This Row],[Age]]&lt;30,"Under 30",Deals[[#This Row],[Age]]&lt;45,"30-44",TRUE,"45+")</f>
        <v>30-44</v>
      </c>
      <c r="Q665" s="21">
        <f>IF(Deals[[#This Row],[Status]]="Pending","",Deals[[#This Row],[DecisionDate]]-Deals[[#This Row],[ApplicationDate]])</f>
        <v>4</v>
      </c>
      <c r="R665" s="21">
        <f>IF(Deals[[#This Row],[Status]]="Approved",1,0)</f>
        <v>1</v>
      </c>
      <c r="S665" s="21">
        <f>IF(Deals[[#This Row],[IsApproved]]=1,Deals[[#This Row],[Amount]],0)</f>
        <v>13400</v>
      </c>
      <c r="T665" s="21">
        <f>Deals[[#This Row],[ApprovedAmount]]*Deals[[#This Row],[ProfitRate]]</f>
        <v>502.5</v>
      </c>
    </row>
    <row r="666" spans="1:20">
      <c r="A666" s="2" t="s">
        <v>1228</v>
      </c>
      <c r="B666" s="3">
        <v>46169</v>
      </c>
      <c r="C666" s="2" t="s">
        <v>1229</v>
      </c>
      <c r="D666" s="2" t="s">
        <v>71</v>
      </c>
      <c r="E666" s="2" t="s">
        <v>15</v>
      </c>
      <c r="F666" s="2" t="s">
        <v>3</v>
      </c>
      <c r="G666" s="4">
        <v>20900</v>
      </c>
      <c r="H666" s="5">
        <v>5.4800000000000001E-2</v>
      </c>
      <c r="I666" s="2">
        <v>48</v>
      </c>
      <c r="J666" s="2" t="s">
        <v>101</v>
      </c>
      <c r="K666" s="2" t="s">
        <v>45</v>
      </c>
      <c r="L666" s="3">
        <v>46174</v>
      </c>
      <c r="M666" s="2" t="str">
        <f>_xlfn.XLOOKUP(Deals[[#This Row],[CustomerID]],Customers!A:A,Customers!F:F)</f>
        <v>Mass</v>
      </c>
      <c r="N666" s="2" t="str">
        <f>_xlfn.XLOOKUP(Deals[[#This Row],[CustomerID]],Customers!A:A,Customers!E:E)</f>
        <v>Non-Kuwaiti</v>
      </c>
      <c r="O666" s="2">
        <f>2026-_xlfn.XLOOKUP(Deals[[#This Row],[CustomerID]],Customers!A:A,Customers!D:D)</f>
        <v>34</v>
      </c>
      <c r="P666" s="2" t="str" cm="1">
        <f t="array" ref="P666">_xlfn.IFS(Deals[[#This Row],[Age]]&lt;30,"Under 30",Deals[[#This Row],[Age]]&lt;45,"30-44",TRUE,"45+")</f>
        <v>30-44</v>
      </c>
      <c r="Q666" s="21">
        <f>IF(Deals[[#This Row],[Status]]="Pending","",Deals[[#This Row],[DecisionDate]]-Deals[[#This Row],[ApplicationDate]])</f>
        <v>5</v>
      </c>
      <c r="R666" s="21">
        <f>IF(Deals[[#This Row],[Status]]="Approved",1,0)</f>
        <v>0</v>
      </c>
      <c r="S666" s="21">
        <f>IF(Deals[[#This Row],[IsApproved]]=1,Deals[[#This Row],[Amount]],0)</f>
        <v>0</v>
      </c>
      <c r="T666" s="21">
        <f>Deals[[#This Row],[ApprovedAmount]]*Deals[[#This Row],[ProfitRate]]</f>
        <v>0</v>
      </c>
    </row>
    <row r="667" spans="1:20">
      <c r="A667" s="2" t="s">
        <v>1230</v>
      </c>
      <c r="B667" s="3">
        <v>46170</v>
      </c>
      <c r="C667" s="2" t="s">
        <v>1231</v>
      </c>
      <c r="D667" s="2" t="s">
        <v>14</v>
      </c>
      <c r="E667" s="2" t="s">
        <v>15</v>
      </c>
      <c r="F667" s="2" t="s">
        <v>3</v>
      </c>
      <c r="G667" s="4">
        <v>22200</v>
      </c>
      <c r="H667" s="5">
        <v>6.3600000000000004E-2</v>
      </c>
      <c r="I667" s="2">
        <v>36</v>
      </c>
      <c r="J667" s="2" t="s">
        <v>16</v>
      </c>
      <c r="K667" s="2" t="s">
        <v>17</v>
      </c>
      <c r="L667" s="3">
        <v>46176</v>
      </c>
      <c r="M667" s="2" t="str">
        <f>_xlfn.XLOOKUP(Deals[[#This Row],[CustomerID]],Customers!A:A,Customers!F:F)</f>
        <v>Premium</v>
      </c>
      <c r="N667" s="2" t="str">
        <f>_xlfn.XLOOKUP(Deals[[#This Row],[CustomerID]],Customers!A:A,Customers!E:E)</f>
        <v>Kuwaiti</v>
      </c>
      <c r="O667" s="2">
        <f>2026-_xlfn.XLOOKUP(Deals[[#This Row],[CustomerID]],Customers!A:A,Customers!D:D)</f>
        <v>26</v>
      </c>
      <c r="P667" s="2" t="str" cm="1">
        <f t="array" ref="P667">_xlfn.IFS(Deals[[#This Row],[Age]]&lt;30,"Under 30",Deals[[#This Row],[Age]]&lt;45,"30-44",TRUE,"45+")</f>
        <v>Under 30</v>
      </c>
      <c r="Q667" s="21">
        <f>IF(Deals[[#This Row],[Status]]="Pending","",Deals[[#This Row],[DecisionDate]]-Deals[[#This Row],[ApplicationDate]])</f>
        <v>6</v>
      </c>
      <c r="R667" s="21">
        <f>IF(Deals[[#This Row],[Status]]="Approved",1,0)</f>
        <v>1</v>
      </c>
      <c r="S667" s="21">
        <f>IF(Deals[[#This Row],[IsApproved]]=1,Deals[[#This Row],[Amount]],0)</f>
        <v>22200</v>
      </c>
      <c r="T667" s="21">
        <f>Deals[[#This Row],[ApprovedAmount]]*Deals[[#This Row],[ProfitRate]]</f>
        <v>1411.92</v>
      </c>
    </row>
    <row r="668" spans="1:20">
      <c r="A668" s="2" t="s">
        <v>1232</v>
      </c>
      <c r="B668" s="3">
        <v>46170</v>
      </c>
      <c r="C668" s="2" t="s">
        <v>498</v>
      </c>
      <c r="D668" s="2" t="s">
        <v>71</v>
      </c>
      <c r="E668" s="2" t="s">
        <v>15</v>
      </c>
      <c r="F668" s="2" t="s">
        <v>3</v>
      </c>
      <c r="G668" s="4">
        <v>9100</v>
      </c>
      <c r="H668" s="5">
        <v>6.7900000000000002E-2</v>
      </c>
      <c r="I668" s="2">
        <v>60</v>
      </c>
      <c r="J668" s="2" t="s">
        <v>72</v>
      </c>
      <c r="K668" s="2" t="s">
        <v>17</v>
      </c>
      <c r="L668" s="3">
        <v>46176</v>
      </c>
      <c r="M668" s="2" t="str">
        <f>_xlfn.XLOOKUP(Deals[[#This Row],[CustomerID]],Customers!A:A,Customers!F:F)</f>
        <v>Affluent</v>
      </c>
      <c r="N668" s="2" t="str">
        <f>_xlfn.XLOOKUP(Deals[[#This Row],[CustomerID]],Customers!A:A,Customers!E:E)</f>
        <v>Kuwaiti</v>
      </c>
      <c r="O668" s="2">
        <f>2026-_xlfn.XLOOKUP(Deals[[#This Row],[CustomerID]],Customers!A:A,Customers!D:D)</f>
        <v>53</v>
      </c>
      <c r="P668" s="2" t="str" cm="1">
        <f t="array" ref="P668">_xlfn.IFS(Deals[[#This Row],[Age]]&lt;30,"Under 30",Deals[[#This Row],[Age]]&lt;45,"30-44",TRUE,"45+")</f>
        <v>45+</v>
      </c>
      <c r="Q668" s="21">
        <f>IF(Deals[[#This Row],[Status]]="Pending","",Deals[[#This Row],[DecisionDate]]-Deals[[#This Row],[ApplicationDate]])</f>
        <v>6</v>
      </c>
      <c r="R668" s="21">
        <f>IF(Deals[[#This Row],[Status]]="Approved",1,0)</f>
        <v>1</v>
      </c>
      <c r="S668" s="21">
        <f>IF(Deals[[#This Row],[IsApproved]]=1,Deals[[#This Row],[Amount]],0)</f>
        <v>9100</v>
      </c>
      <c r="T668" s="21">
        <f>Deals[[#This Row],[ApprovedAmount]]*Deals[[#This Row],[ProfitRate]]</f>
        <v>617.89</v>
      </c>
    </row>
    <row r="669" spans="1:20">
      <c r="A669" s="2" t="s">
        <v>1233</v>
      </c>
      <c r="B669" s="3">
        <v>46170</v>
      </c>
      <c r="C669" s="2" t="s">
        <v>1234</v>
      </c>
      <c r="D669" s="2" t="s">
        <v>29</v>
      </c>
      <c r="E669" s="2" t="s">
        <v>43</v>
      </c>
      <c r="F669" s="2" t="s">
        <v>3</v>
      </c>
      <c r="G669" s="4">
        <v>39400</v>
      </c>
      <c r="H669" s="5">
        <v>5.5500000000000001E-2</v>
      </c>
      <c r="I669" s="2">
        <v>36</v>
      </c>
      <c r="J669" s="2" t="s">
        <v>61</v>
      </c>
      <c r="K669" s="2" t="s">
        <v>45</v>
      </c>
      <c r="L669" s="3">
        <v>46185</v>
      </c>
      <c r="M669" s="2" t="str">
        <f>_xlfn.XLOOKUP(Deals[[#This Row],[CustomerID]],Customers!A:A,Customers!F:F)</f>
        <v>Premium</v>
      </c>
      <c r="N669" s="2" t="str">
        <f>_xlfn.XLOOKUP(Deals[[#This Row],[CustomerID]],Customers!A:A,Customers!E:E)</f>
        <v>Kuwaiti</v>
      </c>
      <c r="O669" s="2">
        <f>2026-_xlfn.XLOOKUP(Deals[[#This Row],[CustomerID]],Customers!A:A,Customers!D:D)</f>
        <v>58</v>
      </c>
      <c r="P669" s="2" t="str" cm="1">
        <f t="array" ref="P669">_xlfn.IFS(Deals[[#This Row],[Age]]&lt;30,"Under 30",Deals[[#This Row],[Age]]&lt;45,"30-44",TRUE,"45+")</f>
        <v>45+</v>
      </c>
      <c r="Q669" s="21">
        <f>IF(Deals[[#This Row],[Status]]="Pending","",Deals[[#This Row],[DecisionDate]]-Deals[[#This Row],[ApplicationDate]])</f>
        <v>15</v>
      </c>
      <c r="R669" s="21">
        <f>IF(Deals[[#This Row],[Status]]="Approved",1,0)</f>
        <v>0</v>
      </c>
      <c r="S669" s="21">
        <f>IF(Deals[[#This Row],[IsApproved]]=1,Deals[[#This Row],[Amount]],0)</f>
        <v>0</v>
      </c>
      <c r="T669" s="21">
        <f>Deals[[#This Row],[ApprovedAmount]]*Deals[[#This Row],[ProfitRate]]</f>
        <v>0</v>
      </c>
    </row>
    <row r="670" spans="1:20">
      <c r="A670" s="2" t="s">
        <v>1235</v>
      </c>
      <c r="B670" s="3">
        <v>46171</v>
      </c>
      <c r="C670" s="2" t="s">
        <v>1236</v>
      </c>
      <c r="D670" s="2" t="s">
        <v>20</v>
      </c>
      <c r="E670" s="2" t="s">
        <v>30</v>
      </c>
      <c r="F670" s="2" t="s">
        <v>31</v>
      </c>
      <c r="G670" s="4">
        <v>15000</v>
      </c>
      <c r="H670" s="5">
        <v>4.4299999999999999E-2</v>
      </c>
      <c r="I670" s="2">
        <v>48</v>
      </c>
      <c r="J670" s="2" t="s">
        <v>22</v>
      </c>
      <c r="K670" s="2" t="s">
        <v>17</v>
      </c>
      <c r="L670" s="3">
        <v>46175</v>
      </c>
      <c r="M670" s="2" t="str">
        <f>_xlfn.XLOOKUP(Deals[[#This Row],[CustomerID]],Customers!A:A,Customers!F:F)</f>
        <v>Mass</v>
      </c>
      <c r="N670" s="2" t="str">
        <f>_xlfn.XLOOKUP(Deals[[#This Row],[CustomerID]],Customers!A:A,Customers!E:E)</f>
        <v>Kuwaiti</v>
      </c>
      <c r="O670" s="2">
        <f>2026-_xlfn.XLOOKUP(Deals[[#This Row],[CustomerID]],Customers!A:A,Customers!D:D)</f>
        <v>33</v>
      </c>
      <c r="P670" s="2" t="str" cm="1">
        <f t="array" ref="P670">_xlfn.IFS(Deals[[#This Row],[Age]]&lt;30,"Under 30",Deals[[#This Row],[Age]]&lt;45,"30-44",TRUE,"45+")</f>
        <v>30-44</v>
      </c>
      <c r="Q670" s="21">
        <f>IF(Deals[[#This Row],[Status]]="Pending","",Deals[[#This Row],[DecisionDate]]-Deals[[#This Row],[ApplicationDate]])</f>
        <v>4</v>
      </c>
      <c r="R670" s="21">
        <f>IF(Deals[[#This Row],[Status]]="Approved",1,0)</f>
        <v>1</v>
      </c>
      <c r="S670" s="21">
        <f>IF(Deals[[#This Row],[IsApproved]]=1,Deals[[#This Row],[Amount]],0)</f>
        <v>15000</v>
      </c>
      <c r="T670" s="21">
        <f>Deals[[#This Row],[ApprovedAmount]]*Deals[[#This Row],[ProfitRate]]</f>
        <v>664.5</v>
      </c>
    </row>
    <row r="671" spans="1:20">
      <c r="A671" s="2" t="s">
        <v>1237</v>
      </c>
      <c r="B671" s="3">
        <v>46171</v>
      </c>
      <c r="C671" s="2" t="s">
        <v>1238</v>
      </c>
      <c r="D671" s="2" t="s">
        <v>54</v>
      </c>
      <c r="E671" s="2" t="s">
        <v>30</v>
      </c>
      <c r="F671" s="2" t="s">
        <v>31</v>
      </c>
      <c r="G671" s="4">
        <v>11100</v>
      </c>
      <c r="H671" s="5">
        <v>4.8300000000000003E-2</v>
      </c>
      <c r="I671" s="2">
        <v>36</v>
      </c>
      <c r="J671" s="2" t="s">
        <v>56</v>
      </c>
      <c r="K671" s="2" t="s">
        <v>45</v>
      </c>
      <c r="L671" s="3">
        <v>46172</v>
      </c>
      <c r="M671" s="2" t="str">
        <f>_xlfn.XLOOKUP(Deals[[#This Row],[CustomerID]],Customers!A:A,Customers!F:F)</f>
        <v>Mass</v>
      </c>
      <c r="N671" s="2" t="str">
        <f>_xlfn.XLOOKUP(Deals[[#This Row],[CustomerID]],Customers!A:A,Customers!E:E)</f>
        <v>Kuwaiti</v>
      </c>
      <c r="O671" s="2">
        <f>2026-_xlfn.XLOOKUP(Deals[[#This Row],[CustomerID]],Customers!A:A,Customers!D:D)</f>
        <v>53</v>
      </c>
      <c r="P671" s="2" t="str" cm="1">
        <f t="array" ref="P671">_xlfn.IFS(Deals[[#This Row],[Age]]&lt;30,"Under 30",Deals[[#This Row],[Age]]&lt;45,"30-44",TRUE,"45+")</f>
        <v>45+</v>
      </c>
      <c r="Q671" s="21">
        <f>IF(Deals[[#This Row],[Status]]="Pending","",Deals[[#This Row],[DecisionDate]]-Deals[[#This Row],[ApplicationDate]])</f>
        <v>1</v>
      </c>
      <c r="R671" s="21">
        <f>IF(Deals[[#This Row],[Status]]="Approved",1,0)</f>
        <v>0</v>
      </c>
      <c r="S671" s="21">
        <f>IF(Deals[[#This Row],[IsApproved]]=1,Deals[[#This Row],[Amount]],0)</f>
        <v>0</v>
      </c>
      <c r="T671" s="21">
        <f>Deals[[#This Row],[ApprovedAmount]]*Deals[[#This Row],[ProfitRate]]</f>
        <v>0</v>
      </c>
    </row>
    <row r="672" spans="1:20">
      <c r="A672" s="2" t="s">
        <v>1239</v>
      </c>
      <c r="B672" s="3">
        <v>46171</v>
      </c>
      <c r="C672" s="2" t="s">
        <v>344</v>
      </c>
      <c r="D672" s="2" t="s">
        <v>25</v>
      </c>
      <c r="E672" s="2" t="s">
        <v>30</v>
      </c>
      <c r="F672" s="2" t="s">
        <v>31</v>
      </c>
      <c r="G672" s="4">
        <v>7100</v>
      </c>
      <c r="H672" s="5">
        <v>4.0899999999999999E-2</v>
      </c>
      <c r="I672" s="2">
        <v>36</v>
      </c>
      <c r="J672" s="2" t="s">
        <v>181</v>
      </c>
      <c r="K672" s="2" t="s">
        <v>17</v>
      </c>
      <c r="L672" s="3">
        <v>46172</v>
      </c>
      <c r="M672" s="2" t="str">
        <f>_xlfn.XLOOKUP(Deals[[#This Row],[CustomerID]],Customers!A:A,Customers!F:F)</f>
        <v>Mass</v>
      </c>
      <c r="N672" s="2" t="str">
        <f>_xlfn.XLOOKUP(Deals[[#This Row],[CustomerID]],Customers!A:A,Customers!E:E)</f>
        <v>Kuwaiti</v>
      </c>
      <c r="O672" s="2">
        <f>2026-_xlfn.XLOOKUP(Deals[[#This Row],[CustomerID]],Customers!A:A,Customers!D:D)</f>
        <v>27</v>
      </c>
      <c r="P672" s="2" t="str" cm="1">
        <f t="array" ref="P672">_xlfn.IFS(Deals[[#This Row],[Age]]&lt;30,"Under 30",Deals[[#This Row],[Age]]&lt;45,"30-44",TRUE,"45+")</f>
        <v>Under 30</v>
      </c>
      <c r="Q672" s="21">
        <f>IF(Deals[[#This Row],[Status]]="Pending","",Deals[[#This Row],[DecisionDate]]-Deals[[#This Row],[ApplicationDate]])</f>
        <v>1</v>
      </c>
      <c r="R672" s="21">
        <f>IF(Deals[[#This Row],[Status]]="Approved",1,0)</f>
        <v>1</v>
      </c>
      <c r="S672" s="21">
        <f>IF(Deals[[#This Row],[IsApproved]]=1,Deals[[#This Row],[Amount]],0)</f>
        <v>7100</v>
      </c>
      <c r="T672" s="21">
        <f>Deals[[#This Row],[ApprovedAmount]]*Deals[[#This Row],[ProfitRate]]</f>
        <v>290.39</v>
      </c>
    </row>
    <row r="673" spans="1:20">
      <c r="A673" s="2" t="s">
        <v>1240</v>
      </c>
      <c r="B673" s="3">
        <v>46171</v>
      </c>
      <c r="C673" s="2" t="s">
        <v>1241</v>
      </c>
      <c r="D673" s="2" t="s">
        <v>29</v>
      </c>
      <c r="E673" s="2" t="s">
        <v>43</v>
      </c>
      <c r="F673" s="2" t="s">
        <v>3</v>
      </c>
      <c r="G673" s="4">
        <v>22800</v>
      </c>
      <c r="H673" s="5">
        <v>5.8400000000000001E-2</v>
      </c>
      <c r="I673" s="2">
        <v>24</v>
      </c>
      <c r="J673" s="2" t="s">
        <v>61</v>
      </c>
      <c r="K673" s="2" t="s">
        <v>45</v>
      </c>
      <c r="L673" s="3">
        <v>46187</v>
      </c>
      <c r="M673" s="2" t="str">
        <f>_xlfn.XLOOKUP(Deals[[#This Row],[CustomerID]],Customers!A:A,Customers!F:F)</f>
        <v>Mass</v>
      </c>
      <c r="N673" s="2" t="str">
        <f>_xlfn.XLOOKUP(Deals[[#This Row],[CustomerID]],Customers!A:A,Customers!E:E)</f>
        <v>Kuwaiti</v>
      </c>
      <c r="O673" s="2">
        <f>2026-_xlfn.XLOOKUP(Deals[[#This Row],[CustomerID]],Customers!A:A,Customers!D:D)</f>
        <v>25</v>
      </c>
      <c r="P673" s="2" t="str" cm="1">
        <f t="array" ref="P673">_xlfn.IFS(Deals[[#This Row],[Age]]&lt;30,"Under 30",Deals[[#This Row],[Age]]&lt;45,"30-44",TRUE,"45+")</f>
        <v>Under 30</v>
      </c>
      <c r="Q673" s="21">
        <f>IF(Deals[[#This Row],[Status]]="Pending","",Deals[[#This Row],[DecisionDate]]-Deals[[#This Row],[ApplicationDate]])</f>
        <v>16</v>
      </c>
      <c r="R673" s="21">
        <f>IF(Deals[[#This Row],[Status]]="Approved",1,0)</f>
        <v>0</v>
      </c>
      <c r="S673" s="21">
        <f>IF(Deals[[#This Row],[IsApproved]]=1,Deals[[#This Row],[Amount]],0)</f>
        <v>0</v>
      </c>
      <c r="T673" s="21">
        <f>Deals[[#This Row],[ApprovedAmount]]*Deals[[#This Row],[ProfitRate]]</f>
        <v>0</v>
      </c>
    </row>
    <row r="674" spans="1:20">
      <c r="A674" s="2" t="s">
        <v>1242</v>
      </c>
      <c r="B674" s="3">
        <v>46171</v>
      </c>
      <c r="C674" s="2" t="s">
        <v>1243</v>
      </c>
      <c r="D674" s="2" t="s">
        <v>14</v>
      </c>
      <c r="E674" s="2" t="s">
        <v>15</v>
      </c>
      <c r="F674" s="2" t="s">
        <v>3</v>
      </c>
      <c r="G674" s="4">
        <v>7600</v>
      </c>
      <c r="H674" s="5">
        <v>5.1900000000000002E-2</v>
      </c>
      <c r="I674" s="2">
        <v>36</v>
      </c>
      <c r="J674" s="2" t="s">
        <v>40</v>
      </c>
      <c r="K674" s="2" t="s">
        <v>45</v>
      </c>
      <c r="L674" s="3">
        <v>46176</v>
      </c>
      <c r="M674" s="2" t="str">
        <f>_xlfn.XLOOKUP(Deals[[#This Row],[CustomerID]],Customers!A:A,Customers!F:F)</f>
        <v>Mass</v>
      </c>
      <c r="N674" s="2" t="str">
        <f>_xlfn.XLOOKUP(Deals[[#This Row],[CustomerID]],Customers!A:A,Customers!E:E)</f>
        <v>Kuwaiti</v>
      </c>
      <c r="O674" s="2">
        <f>2026-_xlfn.XLOOKUP(Deals[[#This Row],[CustomerID]],Customers!A:A,Customers!D:D)</f>
        <v>25</v>
      </c>
      <c r="P674" s="2" t="str" cm="1">
        <f t="array" ref="P674">_xlfn.IFS(Deals[[#This Row],[Age]]&lt;30,"Under 30",Deals[[#This Row],[Age]]&lt;45,"30-44",TRUE,"45+")</f>
        <v>Under 30</v>
      </c>
      <c r="Q674" s="21">
        <f>IF(Deals[[#This Row],[Status]]="Pending","",Deals[[#This Row],[DecisionDate]]-Deals[[#This Row],[ApplicationDate]])</f>
        <v>5</v>
      </c>
      <c r="R674" s="21">
        <f>IF(Deals[[#This Row],[Status]]="Approved",1,0)</f>
        <v>0</v>
      </c>
      <c r="S674" s="21">
        <f>IF(Deals[[#This Row],[IsApproved]]=1,Deals[[#This Row],[Amount]],0)</f>
        <v>0</v>
      </c>
      <c r="T674" s="21">
        <f>Deals[[#This Row],[ApprovedAmount]]*Deals[[#This Row],[ProfitRate]]</f>
        <v>0</v>
      </c>
    </row>
    <row r="675" spans="1:20">
      <c r="A675" s="2" t="s">
        <v>1244</v>
      </c>
      <c r="B675" s="3">
        <v>46171</v>
      </c>
      <c r="C675" s="2" t="s">
        <v>1043</v>
      </c>
      <c r="D675" s="2" t="s">
        <v>25</v>
      </c>
      <c r="E675" s="2" t="s">
        <v>21</v>
      </c>
      <c r="F675" s="2" t="s">
        <v>31</v>
      </c>
      <c r="G675" s="4">
        <v>58100</v>
      </c>
      <c r="H675" s="5">
        <v>3.2099999999999997E-2</v>
      </c>
      <c r="I675" s="2">
        <v>300</v>
      </c>
      <c r="J675" s="2" t="s">
        <v>26</v>
      </c>
      <c r="K675" s="2" t="s">
        <v>17</v>
      </c>
      <c r="L675" s="3">
        <v>46199</v>
      </c>
      <c r="M675" s="2" t="str">
        <f>_xlfn.XLOOKUP(Deals[[#This Row],[CustomerID]],Customers!A:A,Customers!F:F)</f>
        <v>Mass</v>
      </c>
      <c r="N675" s="2" t="str">
        <f>_xlfn.XLOOKUP(Deals[[#This Row],[CustomerID]],Customers!A:A,Customers!E:E)</f>
        <v>Kuwaiti</v>
      </c>
      <c r="O675" s="2">
        <f>2026-_xlfn.XLOOKUP(Deals[[#This Row],[CustomerID]],Customers!A:A,Customers!D:D)</f>
        <v>46</v>
      </c>
      <c r="P675" s="2" t="str" cm="1">
        <f t="array" ref="P675">_xlfn.IFS(Deals[[#This Row],[Age]]&lt;30,"Under 30",Deals[[#This Row],[Age]]&lt;45,"30-44",TRUE,"45+")</f>
        <v>45+</v>
      </c>
      <c r="Q675" s="21">
        <f>IF(Deals[[#This Row],[Status]]="Pending","",Deals[[#This Row],[DecisionDate]]-Deals[[#This Row],[ApplicationDate]])</f>
        <v>28</v>
      </c>
      <c r="R675" s="21">
        <f>IF(Deals[[#This Row],[Status]]="Approved",1,0)</f>
        <v>1</v>
      </c>
      <c r="S675" s="21">
        <f>IF(Deals[[#This Row],[IsApproved]]=1,Deals[[#This Row],[Amount]],0)</f>
        <v>58100</v>
      </c>
      <c r="T675" s="21">
        <f>Deals[[#This Row],[ApprovedAmount]]*Deals[[#This Row],[ProfitRate]]</f>
        <v>1865.0099999999998</v>
      </c>
    </row>
    <row r="676" spans="1:20">
      <c r="A676" s="2" t="s">
        <v>1245</v>
      </c>
      <c r="B676" s="3">
        <v>46171</v>
      </c>
      <c r="C676" s="2" t="s">
        <v>1246</v>
      </c>
      <c r="D676" s="2" t="s">
        <v>25</v>
      </c>
      <c r="E676" s="2" t="s">
        <v>15</v>
      </c>
      <c r="F676" s="2" t="s">
        <v>3</v>
      </c>
      <c r="G676" s="4">
        <v>13000</v>
      </c>
      <c r="H676" s="5">
        <v>5.8599999999999999E-2</v>
      </c>
      <c r="I676" s="2">
        <v>12</v>
      </c>
      <c r="J676" s="2" t="s">
        <v>181</v>
      </c>
      <c r="K676" s="2" t="s">
        <v>17</v>
      </c>
      <c r="L676" s="3">
        <v>46174</v>
      </c>
      <c r="M676" s="2" t="str">
        <f>_xlfn.XLOOKUP(Deals[[#This Row],[CustomerID]],Customers!A:A,Customers!F:F)</f>
        <v>Mass</v>
      </c>
      <c r="N676" s="2" t="str">
        <f>_xlfn.XLOOKUP(Deals[[#This Row],[CustomerID]],Customers!A:A,Customers!E:E)</f>
        <v>Non-Kuwaiti</v>
      </c>
      <c r="O676" s="2">
        <f>2026-_xlfn.XLOOKUP(Deals[[#This Row],[CustomerID]],Customers!A:A,Customers!D:D)</f>
        <v>28</v>
      </c>
      <c r="P676" s="2" t="str" cm="1">
        <f t="array" ref="P676">_xlfn.IFS(Deals[[#This Row],[Age]]&lt;30,"Under 30",Deals[[#This Row],[Age]]&lt;45,"30-44",TRUE,"45+")</f>
        <v>Under 30</v>
      </c>
      <c r="Q676" s="21">
        <f>IF(Deals[[#This Row],[Status]]="Pending","",Deals[[#This Row],[DecisionDate]]-Deals[[#This Row],[ApplicationDate]])</f>
        <v>3</v>
      </c>
      <c r="R676" s="21">
        <f>IF(Deals[[#This Row],[Status]]="Approved",1,0)</f>
        <v>1</v>
      </c>
      <c r="S676" s="21">
        <f>IF(Deals[[#This Row],[IsApproved]]=1,Deals[[#This Row],[Amount]],0)</f>
        <v>13000</v>
      </c>
      <c r="T676" s="21">
        <f>Deals[[#This Row],[ApprovedAmount]]*Deals[[#This Row],[ProfitRate]]</f>
        <v>761.8</v>
      </c>
    </row>
    <row r="677" spans="1:20">
      <c r="A677" s="2" t="s">
        <v>1247</v>
      </c>
      <c r="B677" s="3">
        <v>46171</v>
      </c>
      <c r="C677" s="2" t="s">
        <v>1248</v>
      </c>
      <c r="D677" s="2" t="s">
        <v>54</v>
      </c>
      <c r="E677" s="2" t="s">
        <v>30</v>
      </c>
      <c r="F677" s="2" t="s">
        <v>3</v>
      </c>
      <c r="G677" s="4">
        <v>13400</v>
      </c>
      <c r="H677" s="5">
        <v>3.7400000000000003E-2</v>
      </c>
      <c r="I677" s="2">
        <v>60</v>
      </c>
      <c r="J677" s="2" t="s">
        <v>186</v>
      </c>
      <c r="K677" s="2" t="s">
        <v>17</v>
      </c>
      <c r="L677" s="3">
        <v>46175</v>
      </c>
      <c r="M677" s="2" t="str">
        <f>_xlfn.XLOOKUP(Deals[[#This Row],[CustomerID]],Customers!A:A,Customers!F:F)</f>
        <v>Mass</v>
      </c>
      <c r="N677" s="2" t="str">
        <f>_xlfn.XLOOKUP(Deals[[#This Row],[CustomerID]],Customers!A:A,Customers!E:E)</f>
        <v>Non-Kuwaiti</v>
      </c>
      <c r="O677" s="2">
        <f>2026-_xlfn.XLOOKUP(Deals[[#This Row],[CustomerID]],Customers!A:A,Customers!D:D)</f>
        <v>45</v>
      </c>
      <c r="P677" s="2" t="str" cm="1">
        <f t="array" ref="P677">_xlfn.IFS(Deals[[#This Row],[Age]]&lt;30,"Under 30",Deals[[#This Row],[Age]]&lt;45,"30-44",TRUE,"45+")</f>
        <v>45+</v>
      </c>
      <c r="Q677" s="21">
        <f>IF(Deals[[#This Row],[Status]]="Pending","",Deals[[#This Row],[DecisionDate]]-Deals[[#This Row],[ApplicationDate]])</f>
        <v>4</v>
      </c>
      <c r="R677" s="21">
        <f>IF(Deals[[#This Row],[Status]]="Approved",1,0)</f>
        <v>1</v>
      </c>
      <c r="S677" s="21">
        <f>IF(Deals[[#This Row],[IsApproved]]=1,Deals[[#This Row],[Amount]],0)</f>
        <v>13400</v>
      </c>
      <c r="T677" s="21">
        <f>Deals[[#This Row],[ApprovedAmount]]*Deals[[#This Row],[ProfitRate]]</f>
        <v>501.16</v>
      </c>
    </row>
    <row r="678" spans="1:20">
      <c r="A678" s="2" t="s">
        <v>1249</v>
      </c>
      <c r="B678" s="3">
        <v>46171</v>
      </c>
      <c r="C678" s="2" t="s">
        <v>1250</v>
      </c>
      <c r="D678" s="2" t="s">
        <v>25</v>
      </c>
      <c r="E678" s="2" t="s">
        <v>21</v>
      </c>
      <c r="F678" s="2" t="s">
        <v>3</v>
      </c>
      <c r="G678" s="4">
        <v>119100</v>
      </c>
      <c r="H678" s="5">
        <v>3.2800000000000003E-2</v>
      </c>
      <c r="I678" s="2">
        <v>180</v>
      </c>
      <c r="J678" s="2" t="s">
        <v>26</v>
      </c>
      <c r="K678" s="2" t="s">
        <v>17</v>
      </c>
      <c r="L678" s="3">
        <v>46198</v>
      </c>
      <c r="M678" s="2" t="str">
        <f>_xlfn.XLOOKUP(Deals[[#This Row],[CustomerID]],Customers!A:A,Customers!F:F)</f>
        <v>Mass</v>
      </c>
      <c r="N678" s="2" t="str">
        <f>_xlfn.XLOOKUP(Deals[[#This Row],[CustomerID]],Customers!A:A,Customers!E:E)</f>
        <v>Kuwaiti</v>
      </c>
      <c r="O678" s="2">
        <f>2026-_xlfn.XLOOKUP(Deals[[#This Row],[CustomerID]],Customers!A:A,Customers!D:D)</f>
        <v>31</v>
      </c>
      <c r="P678" s="2" t="str" cm="1">
        <f t="array" ref="P678">_xlfn.IFS(Deals[[#This Row],[Age]]&lt;30,"Under 30",Deals[[#This Row],[Age]]&lt;45,"30-44",TRUE,"45+")</f>
        <v>30-44</v>
      </c>
      <c r="Q678" s="21">
        <f>IF(Deals[[#This Row],[Status]]="Pending","",Deals[[#This Row],[DecisionDate]]-Deals[[#This Row],[ApplicationDate]])</f>
        <v>27</v>
      </c>
      <c r="R678" s="21">
        <f>IF(Deals[[#This Row],[Status]]="Approved",1,0)</f>
        <v>1</v>
      </c>
      <c r="S678" s="21">
        <f>IF(Deals[[#This Row],[IsApproved]]=1,Deals[[#This Row],[Amount]],0)</f>
        <v>119100</v>
      </c>
      <c r="T678" s="21">
        <f>Deals[[#This Row],[ApprovedAmount]]*Deals[[#This Row],[ProfitRate]]</f>
        <v>3906.4800000000005</v>
      </c>
    </row>
    <row r="679" spans="1:20">
      <c r="A679" s="2" t="s">
        <v>1251</v>
      </c>
      <c r="B679" s="3">
        <v>46172</v>
      </c>
      <c r="C679" s="2" t="s">
        <v>1252</v>
      </c>
      <c r="D679" s="2" t="s">
        <v>14</v>
      </c>
      <c r="E679" s="2" t="s">
        <v>43</v>
      </c>
      <c r="F679" s="2" t="s">
        <v>3</v>
      </c>
      <c r="G679" s="4">
        <v>133100</v>
      </c>
      <c r="H679" s="5">
        <v>6.4399999999999999E-2</v>
      </c>
      <c r="I679" s="2">
        <v>84</v>
      </c>
      <c r="J679" s="2" t="s">
        <v>40</v>
      </c>
      <c r="K679" s="2" t="s">
        <v>17</v>
      </c>
      <c r="L679" s="3">
        <v>46181</v>
      </c>
      <c r="M679" s="2" t="str">
        <f>_xlfn.XLOOKUP(Deals[[#This Row],[CustomerID]],Customers!A:A,Customers!F:F)</f>
        <v>Mass</v>
      </c>
      <c r="N679" s="2" t="str">
        <f>_xlfn.XLOOKUP(Deals[[#This Row],[CustomerID]],Customers!A:A,Customers!E:E)</f>
        <v>Kuwaiti</v>
      </c>
      <c r="O679" s="2">
        <f>2026-_xlfn.XLOOKUP(Deals[[#This Row],[CustomerID]],Customers!A:A,Customers!D:D)</f>
        <v>49</v>
      </c>
      <c r="P679" s="2" t="str" cm="1">
        <f t="array" ref="P679">_xlfn.IFS(Deals[[#This Row],[Age]]&lt;30,"Under 30",Deals[[#This Row],[Age]]&lt;45,"30-44",TRUE,"45+")</f>
        <v>45+</v>
      </c>
      <c r="Q679" s="21">
        <f>IF(Deals[[#This Row],[Status]]="Pending","",Deals[[#This Row],[DecisionDate]]-Deals[[#This Row],[ApplicationDate]])</f>
        <v>9</v>
      </c>
      <c r="R679" s="21">
        <f>IF(Deals[[#This Row],[Status]]="Approved",1,0)</f>
        <v>1</v>
      </c>
      <c r="S679" s="21">
        <f>IF(Deals[[#This Row],[IsApproved]]=1,Deals[[#This Row],[Amount]],0)</f>
        <v>133100</v>
      </c>
      <c r="T679" s="21">
        <f>Deals[[#This Row],[ApprovedAmount]]*Deals[[#This Row],[ProfitRate]]</f>
        <v>8571.64</v>
      </c>
    </row>
    <row r="680" spans="1:20">
      <c r="A680" s="2" t="s">
        <v>1253</v>
      </c>
      <c r="B680" s="3">
        <v>46172</v>
      </c>
      <c r="C680" s="2" t="s">
        <v>1254</v>
      </c>
      <c r="D680" s="2" t="s">
        <v>20</v>
      </c>
      <c r="E680" s="2" t="s">
        <v>15</v>
      </c>
      <c r="F680" s="2" t="s">
        <v>31</v>
      </c>
      <c r="G680" s="4">
        <v>5600</v>
      </c>
      <c r="H680" s="5">
        <v>6.7900000000000002E-2</v>
      </c>
      <c r="I680" s="2">
        <v>60</v>
      </c>
      <c r="J680" s="2" t="s">
        <v>44</v>
      </c>
      <c r="K680" s="2" t="s">
        <v>17</v>
      </c>
      <c r="L680" s="3">
        <v>46177</v>
      </c>
      <c r="M680" s="2" t="str">
        <f>_xlfn.XLOOKUP(Deals[[#This Row],[CustomerID]],Customers!A:A,Customers!F:F)</f>
        <v>Affluent</v>
      </c>
      <c r="N680" s="2" t="str">
        <f>_xlfn.XLOOKUP(Deals[[#This Row],[CustomerID]],Customers!A:A,Customers!E:E)</f>
        <v>Non-Kuwaiti</v>
      </c>
      <c r="O680" s="2">
        <f>2026-_xlfn.XLOOKUP(Deals[[#This Row],[CustomerID]],Customers!A:A,Customers!D:D)</f>
        <v>44</v>
      </c>
      <c r="P680" s="2" t="str" cm="1">
        <f t="array" ref="P680">_xlfn.IFS(Deals[[#This Row],[Age]]&lt;30,"Under 30",Deals[[#This Row],[Age]]&lt;45,"30-44",TRUE,"45+")</f>
        <v>30-44</v>
      </c>
      <c r="Q680" s="21">
        <f>IF(Deals[[#This Row],[Status]]="Pending","",Deals[[#This Row],[DecisionDate]]-Deals[[#This Row],[ApplicationDate]])</f>
        <v>5</v>
      </c>
      <c r="R680" s="21">
        <f>IF(Deals[[#This Row],[Status]]="Approved",1,0)</f>
        <v>1</v>
      </c>
      <c r="S680" s="21">
        <f>IF(Deals[[#This Row],[IsApproved]]=1,Deals[[#This Row],[Amount]],0)</f>
        <v>5600</v>
      </c>
      <c r="T680" s="21">
        <f>Deals[[#This Row],[ApprovedAmount]]*Deals[[#This Row],[ProfitRate]]</f>
        <v>380.24</v>
      </c>
    </row>
    <row r="681" spans="1:20">
      <c r="A681" s="2" t="s">
        <v>1255</v>
      </c>
      <c r="B681" s="3">
        <v>46172</v>
      </c>
      <c r="C681" s="2" t="s">
        <v>1256</v>
      </c>
      <c r="D681" s="2" t="s">
        <v>20</v>
      </c>
      <c r="E681" s="2" t="s">
        <v>15</v>
      </c>
      <c r="F681" s="2" t="s">
        <v>3</v>
      </c>
      <c r="G681" s="4">
        <v>18900</v>
      </c>
      <c r="H681" s="5">
        <v>5.2999999999999999E-2</v>
      </c>
      <c r="I681" s="2">
        <v>36</v>
      </c>
      <c r="J681" s="2" t="s">
        <v>44</v>
      </c>
      <c r="K681" s="2" t="s">
        <v>17</v>
      </c>
      <c r="L681" s="3">
        <v>46174</v>
      </c>
      <c r="M681" s="2" t="str">
        <f>_xlfn.XLOOKUP(Deals[[#This Row],[CustomerID]],Customers!A:A,Customers!F:F)</f>
        <v>Mass</v>
      </c>
      <c r="N681" s="2" t="str">
        <f>_xlfn.XLOOKUP(Deals[[#This Row],[CustomerID]],Customers!A:A,Customers!E:E)</f>
        <v>Kuwaiti</v>
      </c>
      <c r="O681" s="2">
        <f>2026-_xlfn.XLOOKUP(Deals[[#This Row],[CustomerID]],Customers!A:A,Customers!D:D)</f>
        <v>25</v>
      </c>
      <c r="P681" s="2" t="str" cm="1">
        <f t="array" ref="P681">_xlfn.IFS(Deals[[#This Row],[Age]]&lt;30,"Under 30",Deals[[#This Row],[Age]]&lt;45,"30-44",TRUE,"45+")</f>
        <v>Under 30</v>
      </c>
      <c r="Q681" s="21">
        <f>IF(Deals[[#This Row],[Status]]="Pending","",Deals[[#This Row],[DecisionDate]]-Deals[[#This Row],[ApplicationDate]])</f>
        <v>2</v>
      </c>
      <c r="R681" s="21">
        <f>IF(Deals[[#This Row],[Status]]="Approved",1,0)</f>
        <v>1</v>
      </c>
      <c r="S681" s="21">
        <f>IF(Deals[[#This Row],[IsApproved]]=1,Deals[[#This Row],[Amount]],0)</f>
        <v>18900</v>
      </c>
      <c r="T681" s="21">
        <f>Deals[[#This Row],[ApprovedAmount]]*Deals[[#This Row],[ProfitRate]]</f>
        <v>1001.6999999999999</v>
      </c>
    </row>
    <row r="682" spans="1:20">
      <c r="A682" s="2" t="s">
        <v>1257</v>
      </c>
      <c r="B682" s="3">
        <v>46172</v>
      </c>
      <c r="C682" s="2" t="s">
        <v>677</v>
      </c>
      <c r="D682" s="2" t="s">
        <v>25</v>
      </c>
      <c r="E682" s="2" t="s">
        <v>30</v>
      </c>
      <c r="F682" s="2" t="s">
        <v>31</v>
      </c>
      <c r="G682" s="4">
        <v>6600</v>
      </c>
      <c r="H682" s="5">
        <v>4.3499999999999997E-2</v>
      </c>
      <c r="I682" s="2">
        <v>60</v>
      </c>
      <c r="J682" s="2" t="s">
        <v>66</v>
      </c>
      <c r="K682" s="2" t="s">
        <v>17</v>
      </c>
      <c r="L682" s="3">
        <v>46172</v>
      </c>
      <c r="M682" s="2" t="str">
        <f>_xlfn.XLOOKUP(Deals[[#This Row],[CustomerID]],Customers!A:A,Customers!F:F)</f>
        <v>Mass</v>
      </c>
      <c r="N682" s="2" t="str">
        <f>_xlfn.XLOOKUP(Deals[[#This Row],[CustomerID]],Customers!A:A,Customers!E:E)</f>
        <v>Kuwaiti</v>
      </c>
      <c r="O682" s="2">
        <f>2026-_xlfn.XLOOKUP(Deals[[#This Row],[CustomerID]],Customers!A:A,Customers!D:D)</f>
        <v>41</v>
      </c>
      <c r="P682" s="2" t="str" cm="1">
        <f t="array" ref="P682">_xlfn.IFS(Deals[[#This Row],[Age]]&lt;30,"Under 30",Deals[[#This Row],[Age]]&lt;45,"30-44",TRUE,"45+")</f>
        <v>30-44</v>
      </c>
      <c r="Q682" s="21">
        <f>IF(Deals[[#This Row],[Status]]="Pending","",Deals[[#This Row],[DecisionDate]]-Deals[[#This Row],[ApplicationDate]])</f>
        <v>0</v>
      </c>
      <c r="R682" s="21">
        <f>IF(Deals[[#This Row],[Status]]="Approved",1,0)</f>
        <v>1</v>
      </c>
      <c r="S682" s="21">
        <f>IF(Deals[[#This Row],[IsApproved]]=1,Deals[[#This Row],[Amount]],0)</f>
        <v>6600</v>
      </c>
      <c r="T682" s="21">
        <f>Deals[[#This Row],[ApprovedAmount]]*Deals[[#This Row],[ProfitRate]]</f>
        <v>287.09999999999997</v>
      </c>
    </row>
    <row r="683" spans="1:20">
      <c r="A683" s="2" t="s">
        <v>1258</v>
      </c>
      <c r="B683" s="3">
        <v>46172</v>
      </c>
      <c r="C683" s="2" t="s">
        <v>1259</v>
      </c>
      <c r="D683" s="2" t="s">
        <v>29</v>
      </c>
      <c r="E683" s="2" t="s">
        <v>15</v>
      </c>
      <c r="F683" s="2" t="s">
        <v>3</v>
      </c>
      <c r="G683" s="4">
        <v>13400</v>
      </c>
      <c r="H683" s="5">
        <v>6.8400000000000002E-2</v>
      </c>
      <c r="I683" s="2">
        <v>60</v>
      </c>
      <c r="J683" s="2" t="s">
        <v>61</v>
      </c>
      <c r="K683" s="2" t="s">
        <v>17</v>
      </c>
      <c r="L683" s="3">
        <v>46174</v>
      </c>
      <c r="M683" s="2" t="str">
        <f>_xlfn.XLOOKUP(Deals[[#This Row],[CustomerID]],Customers!A:A,Customers!F:F)</f>
        <v>Mass</v>
      </c>
      <c r="N683" s="2" t="str">
        <f>_xlfn.XLOOKUP(Deals[[#This Row],[CustomerID]],Customers!A:A,Customers!E:E)</f>
        <v>Non-Kuwaiti</v>
      </c>
      <c r="O683" s="2">
        <f>2026-_xlfn.XLOOKUP(Deals[[#This Row],[CustomerID]],Customers!A:A,Customers!D:D)</f>
        <v>26</v>
      </c>
      <c r="P683" s="2" t="str" cm="1">
        <f t="array" ref="P683">_xlfn.IFS(Deals[[#This Row],[Age]]&lt;30,"Under 30",Deals[[#This Row],[Age]]&lt;45,"30-44",TRUE,"45+")</f>
        <v>Under 30</v>
      </c>
      <c r="Q683" s="21">
        <f>IF(Deals[[#This Row],[Status]]="Pending","",Deals[[#This Row],[DecisionDate]]-Deals[[#This Row],[ApplicationDate]])</f>
        <v>2</v>
      </c>
      <c r="R683" s="21">
        <f>IF(Deals[[#This Row],[Status]]="Approved",1,0)</f>
        <v>1</v>
      </c>
      <c r="S683" s="21">
        <f>IF(Deals[[#This Row],[IsApproved]]=1,Deals[[#This Row],[Amount]],0)</f>
        <v>13400</v>
      </c>
      <c r="T683" s="21">
        <f>Deals[[#This Row],[ApprovedAmount]]*Deals[[#This Row],[ProfitRate]]</f>
        <v>916.56000000000006</v>
      </c>
    </row>
    <row r="684" spans="1:20">
      <c r="A684" s="2" t="s">
        <v>1260</v>
      </c>
      <c r="B684" s="3">
        <v>46173</v>
      </c>
      <c r="C684" s="2" t="s">
        <v>1261</v>
      </c>
      <c r="D684" s="2" t="s">
        <v>20</v>
      </c>
      <c r="E684" s="2" t="s">
        <v>15</v>
      </c>
      <c r="F684" s="2" t="s">
        <v>55</v>
      </c>
      <c r="G684" s="4">
        <v>25000</v>
      </c>
      <c r="H684" s="5">
        <v>6.5100000000000005E-2</v>
      </c>
      <c r="I684" s="2">
        <v>12</v>
      </c>
      <c r="J684" s="2" t="s">
        <v>22</v>
      </c>
      <c r="K684" s="2" t="s">
        <v>17</v>
      </c>
      <c r="L684" s="3">
        <v>46180</v>
      </c>
      <c r="M684" s="2" t="str">
        <f>_xlfn.XLOOKUP(Deals[[#This Row],[CustomerID]],Customers!A:A,Customers!F:F)</f>
        <v>Affluent</v>
      </c>
      <c r="N684" s="2" t="str">
        <f>_xlfn.XLOOKUP(Deals[[#This Row],[CustomerID]],Customers!A:A,Customers!E:E)</f>
        <v>Non-Kuwaiti</v>
      </c>
      <c r="O684" s="2">
        <f>2026-_xlfn.XLOOKUP(Deals[[#This Row],[CustomerID]],Customers!A:A,Customers!D:D)</f>
        <v>34</v>
      </c>
      <c r="P684" s="2" t="str" cm="1">
        <f t="array" ref="P684">_xlfn.IFS(Deals[[#This Row],[Age]]&lt;30,"Under 30",Deals[[#This Row],[Age]]&lt;45,"30-44",TRUE,"45+")</f>
        <v>30-44</v>
      </c>
      <c r="Q684" s="21">
        <f>IF(Deals[[#This Row],[Status]]="Pending","",Deals[[#This Row],[DecisionDate]]-Deals[[#This Row],[ApplicationDate]])</f>
        <v>7</v>
      </c>
      <c r="R684" s="21">
        <f>IF(Deals[[#This Row],[Status]]="Approved",1,0)</f>
        <v>1</v>
      </c>
      <c r="S684" s="21">
        <f>IF(Deals[[#This Row],[IsApproved]]=1,Deals[[#This Row],[Amount]],0)</f>
        <v>25000</v>
      </c>
      <c r="T684" s="21">
        <f>Deals[[#This Row],[ApprovedAmount]]*Deals[[#This Row],[ProfitRate]]</f>
        <v>1627.5000000000002</v>
      </c>
    </row>
    <row r="685" spans="1:20">
      <c r="A685" s="2" t="s">
        <v>1262</v>
      </c>
      <c r="B685" s="3">
        <v>46174</v>
      </c>
      <c r="C685" s="2" t="s">
        <v>1263</v>
      </c>
      <c r="D685" s="2" t="s">
        <v>29</v>
      </c>
      <c r="E685" s="2" t="s">
        <v>21</v>
      </c>
      <c r="F685" s="2" t="s">
        <v>31</v>
      </c>
      <c r="G685" s="4">
        <v>171000</v>
      </c>
      <c r="H685" s="5">
        <v>3.0700000000000002E-2</v>
      </c>
      <c r="I685" s="2">
        <v>300</v>
      </c>
      <c r="J685" s="2" t="s">
        <v>61</v>
      </c>
      <c r="K685" s="2" t="s">
        <v>45</v>
      </c>
      <c r="L685" s="3">
        <v>46203</v>
      </c>
      <c r="M685" s="2" t="str">
        <f>_xlfn.XLOOKUP(Deals[[#This Row],[CustomerID]],Customers!A:A,Customers!F:F)</f>
        <v>Affluent</v>
      </c>
      <c r="N685" s="2" t="str">
        <f>_xlfn.XLOOKUP(Deals[[#This Row],[CustomerID]],Customers!A:A,Customers!E:E)</f>
        <v>Kuwaiti</v>
      </c>
      <c r="O685" s="2">
        <f>2026-_xlfn.XLOOKUP(Deals[[#This Row],[CustomerID]],Customers!A:A,Customers!D:D)</f>
        <v>61</v>
      </c>
      <c r="P685" s="2" t="str" cm="1">
        <f t="array" ref="P685">_xlfn.IFS(Deals[[#This Row],[Age]]&lt;30,"Under 30",Deals[[#This Row],[Age]]&lt;45,"30-44",TRUE,"45+")</f>
        <v>45+</v>
      </c>
      <c r="Q685" s="21">
        <f>IF(Deals[[#This Row],[Status]]="Pending","",Deals[[#This Row],[DecisionDate]]-Deals[[#This Row],[ApplicationDate]])</f>
        <v>29</v>
      </c>
      <c r="R685" s="21">
        <f>IF(Deals[[#This Row],[Status]]="Approved",1,0)</f>
        <v>0</v>
      </c>
      <c r="S685" s="21">
        <f>IF(Deals[[#This Row],[IsApproved]]=1,Deals[[#This Row],[Amount]],0)</f>
        <v>0</v>
      </c>
      <c r="T685" s="21">
        <f>Deals[[#This Row],[ApprovedAmount]]*Deals[[#This Row],[ProfitRate]]</f>
        <v>0</v>
      </c>
    </row>
    <row r="686" spans="1:20">
      <c r="A686" s="2" t="s">
        <v>1264</v>
      </c>
      <c r="B686" s="3">
        <v>46174</v>
      </c>
      <c r="C686" s="2" t="s">
        <v>1265</v>
      </c>
      <c r="D686" s="2" t="s">
        <v>20</v>
      </c>
      <c r="E686" s="2" t="s">
        <v>43</v>
      </c>
      <c r="F686" s="2" t="s">
        <v>31</v>
      </c>
      <c r="G686" s="4">
        <v>50600</v>
      </c>
      <c r="H686" s="5">
        <v>6.1699999999999998E-2</v>
      </c>
      <c r="I686" s="2">
        <v>24</v>
      </c>
      <c r="J686" s="2" t="s">
        <v>22</v>
      </c>
      <c r="K686" s="2" t="s">
        <v>45</v>
      </c>
      <c r="L686" s="3">
        <v>46188</v>
      </c>
      <c r="M686" s="2" t="str">
        <f>_xlfn.XLOOKUP(Deals[[#This Row],[CustomerID]],Customers!A:A,Customers!F:F)</f>
        <v>Affluent</v>
      </c>
      <c r="N686" s="2" t="str">
        <f>_xlfn.XLOOKUP(Deals[[#This Row],[CustomerID]],Customers!A:A,Customers!E:E)</f>
        <v>Kuwaiti</v>
      </c>
      <c r="O686" s="2">
        <f>2026-_xlfn.XLOOKUP(Deals[[#This Row],[CustomerID]],Customers!A:A,Customers!D:D)</f>
        <v>48</v>
      </c>
      <c r="P686" s="2" t="str" cm="1">
        <f t="array" ref="P686">_xlfn.IFS(Deals[[#This Row],[Age]]&lt;30,"Under 30",Deals[[#This Row],[Age]]&lt;45,"30-44",TRUE,"45+")</f>
        <v>45+</v>
      </c>
      <c r="Q686" s="21">
        <f>IF(Deals[[#This Row],[Status]]="Pending","",Deals[[#This Row],[DecisionDate]]-Deals[[#This Row],[ApplicationDate]])</f>
        <v>14</v>
      </c>
      <c r="R686" s="21">
        <f>IF(Deals[[#This Row],[Status]]="Approved",1,0)</f>
        <v>0</v>
      </c>
      <c r="S686" s="21">
        <f>IF(Deals[[#This Row],[IsApproved]]=1,Deals[[#This Row],[Amount]],0)</f>
        <v>0</v>
      </c>
      <c r="T686" s="21">
        <f>Deals[[#This Row],[ApprovedAmount]]*Deals[[#This Row],[ProfitRate]]</f>
        <v>0</v>
      </c>
    </row>
    <row r="687" spans="1:20">
      <c r="A687" s="2" t="s">
        <v>1266</v>
      </c>
      <c r="B687" s="3">
        <v>46174</v>
      </c>
      <c r="C687" s="2" t="s">
        <v>276</v>
      </c>
      <c r="D687" s="2" t="s">
        <v>25</v>
      </c>
      <c r="E687" s="2" t="s">
        <v>30</v>
      </c>
      <c r="F687" s="2" t="s">
        <v>3</v>
      </c>
      <c r="G687" s="4">
        <v>10100</v>
      </c>
      <c r="H687" s="5">
        <v>3.78E-2</v>
      </c>
      <c r="I687" s="2">
        <v>60</v>
      </c>
      <c r="J687" s="2" t="s">
        <v>181</v>
      </c>
      <c r="K687" s="2" t="s">
        <v>17</v>
      </c>
      <c r="L687" s="3">
        <v>46179</v>
      </c>
      <c r="M687" s="2" t="str">
        <f>_xlfn.XLOOKUP(Deals[[#This Row],[CustomerID]],Customers!A:A,Customers!F:F)</f>
        <v>Mass</v>
      </c>
      <c r="N687" s="2" t="str">
        <f>_xlfn.XLOOKUP(Deals[[#This Row],[CustomerID]],Customers!A:A,Customers!E:E)</f>
        <v>Kuwaiti</v>
      </c>
      <c r="O687" s="2">
        <f>2026-_xlfn.XLOOKUP(Deals[[#This Row],[CustomerID]],Customers!A:A,Customers!D:D)</f>
        <v>32</v>
      </c>
      <c r="P687" s="2" t="str" cm="1">
        <f t="array" ref="P687">_xlfn.IFS(Deals[[#This Row],[Age]]&lt;30,"Under 30",Deals[[#This Row],[Age]]&lt;45,"30-44",TRUE,"45+")</f>
        <v>30-44</v>
      </c>
      <c r="Q687" s="21">
        <f>IF(Deals[[#This Row],[Status]]="Pending","",Deals[[#This Row],[DecisionDate]]-Deals[[#This Row],[ApplicationDate]])</f>
        <v>5</v>
      </c>
      <c r="R687" s="21">
        <f>IF(Deals[[#This Row],[Status]]="Approved",1,0)</f>
        <v>1</v>
      </c>
      <c r="S687" s="21">
        <f>IF(Deals[[#This Row],[IsApproved]]=1,Deals[[#This Row],[Amount]],0)</f>
        <v>10100</v>
      </c>
      <c r="T687" s="21">
        <f>Deals[[#This Row],[ApprovedAmount]]*Deals[[#This Row],[ProfitRate]]</f>
        <v>381.78000000000003</v>
      </c>
    </row>
    <row r="688" spans="1:20">
      <c r="A688" s="2" t="s">
        <v>1267</v>
      </c>
      <c r="B688" s="3">
        <v>46174</v>
      </c>
      <c r="C688" s="2" t="s">
        <v>613</v>
      </c>
      <c r="D688" s="2" t="s">
        <v>14</v>
      </c>
      <c r="E688" s="2" t="s">
        <v>30</v>
      </c>
      <c r="F688" s="2" t="s">
        <v>3</v>
      </c>
      <c r="G688" s="4">
        <v>8600</v>
      </c>
      <c r="H688" s="5">
        <v>4.4900000000000002E-2</v>
      </c>
      <c r="I688" s="2">
        <v>60</v>
      </c>
      <c r="J688" s="2" t="s">
        <v>16</v>
      </c>
      <c r="K688" s="2" t="s">
        <v>17</v>
      </c>
      <c r="L688" s="3">
        <v>46178</v>
      </c>
      <c r="M688" s="2" t="str">
        <f>_xlfn.XLOOKUP(Deals[[#This Row],[CustomerID]],Customers!A:A,Customers!F:F)</f>
        <v>Mass</v>
      </c>
      <c r="N688" s="2" t="str">
        <f>_xlfn.XLOOKUP(Deals[[#This Row],[CustomerID]],Customers!A:A,Customers!E:E)</f>
        <v>Kuwaiti</v>
      </c>
      <c r="O688" s="2">
        <f>2026-_xlfn.XLOOKUP(Deals[[#This Row],[CustomerID]],Customers!A:A,Customers!D:D)</f>
        <v>41</v>
      </c>
      <c r="P688" s="2" t="str" cm="1">
        <f t="array" ref="P688">_xlfn.IFS(Deals[[#This Row],[Age]]&lt;30,"Under 30",Deals[[#This Row],[Age]]&lt;45,"30-44",TRUE,"45+")</f>
        <v>30-44</v>
      </c>
      <c r="Q688" s="21">
        <f>IF(Deals[[#This Row],[Status]]="Pending","",Deals[[#This Row],[DecisionDate]]-Deals[[#This Row],[ApplicationDate]])</f>
        <v>4</v>
      </c>
      <c r="R688" s="21">
        <f>IF(Deals[[#This Row],[Status]]="Approved",1,0)</f>
        <v>1</v>
      </c>
      <c r="S688" s="21">
        <f>IF(Deals[[#This Row],[IsApproved]]=1,Deals[[#This Row],[Amount]],0)</f>
        <v>8600</v>
      </c>
      <c r="T688" s="21">
        <f>Deals[[#This Row],[ApprovedAmount]]*Deals[[#This Row],[ProfitRate]]</f>
        <v>386.14000000000004</v>
      </c>
    </row>
    <row r="689" spans="1:20">
      <c r="A689" s="2" t="s">
        <v>1268</v>
      </c>
      <c r="B689" s="3">
        <v>46175</v>
      </c>
      <c r="C689" s="2" t="s">
        <v>70</v>
      </c>
      <c r="D689" s="2" t="s">
        <v>25</v>
      </c>
      <c r="E689" s="2" t="s">
        <v>43</v>
      </c>
      <c r="F689" s="2" t="s">
        <v>31</v>
      </c>
      <c r="G689" s="4">
        <v>45000</v>
      </c>
      <c r="H689" s="5">
        <v>6.0100000000000001E-2</v>
      </c>
      <c r="I689" s="2">
        <v>24</v>
      </c>
      <c r="J689" s="2" t="s">
        <v>181</v>
      </c>
      <c r="K689" s="2" t="s">
        <v>45</v>
      </c>
      <c r="L689" s="3">
        <v>46183</v>
      </c>
      <c r="M689" s="2" t="str">
        <f>_xlfn.XLOOKUP(Deals[[#This Row],[CustomerID]],Customers!A:A,Customers!F:F)</f>
        <v>Mass</v>
      </c>
      <c r="N689" s="2" t="str">
        <f>_xlfn.XLOOKUP(Deals[[#This Row],[CustomerID]],Customers!A:A,Customers!E:E)</f>
        <v>Kuwaiti</v>
      </c>
      <c r="O689" s="2">
        <f>2026-_xlfn.XLOOKUP(Deals[[#This Row],[CustomerID]],Customers!A:A,Customers!D:D)</f>
        <v>49</v>
      </c>
      <c r="P689" s="2" t="str" cm="1">
        <f t="array" ref="P689">_xlfn.IFS(Deals[[#This Row],[Age]]&lt;30,"Under 30",Deals[[#This Row],[Age]]&lt;45,"30-44",TRUE,"45+")</f>
        <v>45+</v>
      </c>
      <c r="Q689" s="21">
        <f>IF(Deals[[#This Row],[Status]]="Pending","",Deals[[#This Row],[DecisionDate]]-Deals[[#This Row],[ApplicationDate]])</f>
        <v>8</v>
      </c>
      <c r="R689" s="21">
        <f>IF(Deals[[#This Row],[Status]]="Approved",1,0)</f>
        <v>0</v>
      </c>
      <c r="S689" s="21">
        <f>IF(Deals[[#This Row],[IsApproved]]=1,Deals[[#This Row],[Amount]],0)</f>
        <v>0</v>
      </c>
      <c r="T689" s="21">
        <f>Deals[[#This Row],[ApprovedAmount]]*Deals[[#This Row],[ProfitRate]]</f>
        <v>0</v>
      </c>
    </row>
    <row r="690" spans="1:20">
      <c r="A690" s="2" t="s">
        <v>1269</v>
      </c>
      <c r="B690" s="3">
        <v>46175</v>
      </c>
      <c r="C690" s="2" t="s">
        <v>1270</v>
      </c>
      <c r="D690" s="2" t="s">
        <v>54</v>
      </c>
      <c r="E690" s="2" t="s">
        <v>15</v>
      </c>
      <c r="F690" s="2" t="s">
        <v>3</v>
      </c>
      <c r="G690" s="4">
        <v>23400</v>
      </c>
      <c r="H690" s="5">
        <v>6.7799999999999999E-2</v>
      </c>
      <c r="I690" s="2">
        <v>48</v>
      </c>
      <c r="J690" s="2" t="s">
        <v>56</v>
      </c>
      <c r="K690" s="2" t="s">
        <v>17</v>
      </c>
      <c r="L690" s="3">
        <v>46181</v>
      </c>
      <c r="M690" s="2" t="str">
        <f>_xlfn.XLOOKUP(Deals[[#This Row],[CustomerID]],Customers!A:A,Customers!F:F)</f>
        <v>Mass</v>
      </c>
      <c r="N690" s="2" t="str">
        <f>_xlfn.XLOOKUP(Deals[[#This Row],[CustomerID]],Customers!A:A,Customers!E:E)</f>
        <v>Non-Kuwaiti</v>
      </c>
      <c r="O690" s="2">
        <f>2026-_xlfn.XLOOKUP(Deals[[#This Row],[CustomerID]],Customers!A:A,Customers!D:D)</f>
        <v>49</v>
      </c>
      <c r="P690" s="2" t="str" cm="1">
        <f t="array" ref="P690">_xlfn.IFS(Deals[[#This Row],[Age]]&lt;30,"Under 30",Deals[[#This Row],[Age]]&lt;45,"30-44",TRUE,"45+")</f>
        <v>45+</v>
      </c>
      <c r="Q690" s="21">
        <f>IF(Deals[[#This Row],[Status]]="Pending","",Deals[[#This Row],[DecisionDate]]-Deals[[#This Row],[ApplicationDate]])</f>
        <v>6</v>
      </c>
      <c r="R690" s="21">
        <f>IF(Deals[[#This Row],[Status]]="Approved",1,0)</f>
        <v>1</v>
      </c>
      <c r="S690" s="21">
        <f>IF(Deals[[#This Row],[IsApproved]]=1,Deals[[#This Row],[Amount]],0)</f>
        <v>23400</v>
      </c>
      <c r="T690" s="21">
        <f>Deals[[#This Row],[ApprovedAmount]]*Deals[[#This Row],[ProfitRate]]</f>
        <v>1586.52</v>
      </c>
    </row>
    <row r="691" spans="1:20">
      <c r="A691" s="2" t="s">
        <v>1271</v>
      </c>
      <c r="B691" s="3">
        <v>46175</v>
      </c>
      <c r="C691" s="2" t="s">
        <v>1272</v>
      </c>
      <c r="D691" s="2" t="s">
        <v>20</v>
      </c>
      <c r="E691" s="2" t="s">
        <v>15</v>
      </c>
      <c r="F691" s="2" t="s">
        <v>3</v>
      </c>
      <c r="G691" s="4">
        <v>25000</v>
      </c>
      <c r="H691" s="5">
        <v>5.3499999999999999E-2</v>
      </c>
      <c r="I691" s="2">
        <v>24</v>
      </c>
      <c r="J691" s="2" t="s">
        <v>44</v>
      </c>
      <c r="K691" s="2" t="s">
        <v>17</v>
      </c>
      <c r="L691" s="3">
        <v>46176</v>
      </c>
      <c r="M691" s="2" t="str">
        <f>_xlfn.XLOOKUP(Deals[[#This Row],[CustomerID]],Customers!A:A,Customers!F:F)</f>
        <v>Affluent</v>
      </c>
      <c r="N691" s="2" t="str">
        <f>_xlfn.XLOOKUP(Deals[[#This Row],[CustomerID]],Customers!A:A,Customers!E:E)</f>
        <v>Kuwaiti</v>
      </c>
      <c r="O691" s="2">
        <f>2026-_xlfn.XLOOKUP(Deals[[#This Row],[CustomerID]],Customers!A:A,Customers!D:D)</f>
        <v>24</v>
      </c>
      <c r="P691" s="2" t="str" cm="1">
        <f t="array" ref="P691">_xlfn.IFS(Deals[[#This Row],[Age]]&lt;30,"Under 30",Deals[[#This Row],[Age]]&lt;45,"30-44",TRUE,"45+")</f>
        <v>Under 30</v>
      </c>
      <c r="Q691" s="21">
        <f>IF(Deals[[#This Row],[Status]]="Pending","",Deals[[#This Row],[DecisionDate]]-Deals[[#This Row],[ApplicationDate]])</f>
        <v>1</v>
      </c>
      <c r="R691" s="21">
        <f>IF(Deals[[#This Row],[Status]]="Approved",1,0)</f>
        <v>1</v>
      </c>
      <c r="S691" s="21">
        <f>IF(Deals[[#This Row],[IsApproved]]=1,Deals[[#This Row],[Amount]],0)</f>
        <v>25000</v>
      </c>
      <c r="T691" s="21">
        <f>Deals[[#This Row],[ApprovedAmount]]*Deals[[#This Row],[ProfitRate]]</f>
        <v>1337.5</v>
      </c>
    </row>
    <row r="692" spans="1:20">
      <c r="A692" s="2" t="s">
        <v>1273</v>
      </c>
      <c r="B692" s="3">
        <v>46175</v>
      </c>
      <c r="C692" s="2" t="s">
        <v>944</v>
      </c>
      <c r="D692" s="2" t="s">
        <v>14</v>
      </c>
      <c r="E692" s="2" t="s">
        <v>15</v>
      </c>
      <c r="F692" s="2" t="s">
        <v>31</v>
      </c>
      <c r="G692" s="4">
        <v>22900</v>
      </c>
      <c r="H692" s="5">
        <v>5.0299999999999997E-2</v>
      </c>
      <c r="I692" s="2">
        <v>48</v>
      </c>
      <c r="J692" s="2" t="s">
        <v>16</v>
      </c>
      <c r="K692" s="2" t="s">
        <v>17</v>
      </c>
      <c r="L692" s="3">
        <v>46175</v>
      </c>
      <c r="M692" s="2" t="str">
        <f>_xlfn.XLOOKUP(Deals[[#This Row],[CustomerID]],Customers!A:A,Customers!F:F)</f>
        <v>Mass</v>
      </c>
      <c r="N692" s="2" t="str">
        <f>_xlfn.XLOOKUP(Deals[[#This Row],[CustomerID]],Customers!A:A,Customers!E:E)</f>
        <v>Kuwaiti</v>
      </c>
      <c r="O692" s="2">
        <f>2026-_xlfn.XLOOKUP(Deals[[#This Row],[CustomerID]],Customers!A:A,Customers!D:D)</f>
        <v>24</v>
      </c>
      <c r="P692" s="2" t="str" cm="1">
        <f t="array" ref="P692">_xlfn.IFS(Deals[[#This Row],[Age]]&lt;30,"Under 30",Deals[[#This Row],[Age]]&lt;45,"30-44",TRUE,"45+")</f>
        <v>Under 30</v>
      </c>
      <c r="Q692" s="21">
        <f>IF(Deals[[#This Row],[Status]]="Pending","",Deals[[#This Row],[DecisionDate]]-Deals[[#This Row],[ApplicationDate]])</f>
        <v>0</v>
      </c>
      <c r="R692" s="21">
        <f>IF(Deals[[#This Row],[Status]]="Approved",1,0)</f>
        <v>1</v>
      </c>
      <c r="S692" s="21">
        <f>IF(Deals[[#This Row],[IsApproved]]=1,Deals[[#This Row],[Amount]],0)</f>
        <v>22900</v>
      </c>
      <c r="T692" s="21">
        <f>Deals[[#This Row],[ApprovedAmount]]*Deals[[#This Row],[ProfitRate]]</f>
        <v>1151.8699999999999</v>
      </c>
    </row>
    <row r="693" spans="1:20">
      <c r="A693" s="2" t="s">
        <v>1274</v>
      </c>
      <c r="B693" s="3">
        <v>46175</v>
      </c>
      <c r="C693" s="2" t="s">
        <v>1275</v>
      </c>
      <c r="D693" s="2" t="s">
        <v>25</v>
      </c>
      <c r="E693" s="2" t="s">
        <v>21</v>
      </c>
      <c r="F693" s="2" t="s">
        <v>31</v>
      </c>
      <c r="G693" s="4">
        <v>108600</v>
      </c>
      <c r="H693" s="5">
        <v>3.5700000000000003E-2</v>
      </c>
      <c r="I693" s="2">
        <v>120</v>
      </c>
      <c r="J693" s="2" t="s">
        <v>181</v>
      </c>
      <c r="K693" s="2" t="s">
        <v>45</v>
      </c>
      <c r="L693" s="3">
        <v>46204</v>
      </c>
      <c r="M693" s="2" t="str">
        <f>_xlfn.XLOOKUP(Deals[[#This Row],[CustomerID]],Customers!A:A,Customers!F:F)</f>
        <v>Affluent</v>
      </c>
      <c r="N693" s="2" t="str">
        <f>_xlfn.XLOOKUP(Deals[[#This Row],[CustomerID]],Customers!A:A,Customers!E:E)</f>
        <v>Non-Kuwaiti</v>
      </c>
      <c r="O693" s="2">
        <f>2026-_xlfn.XLOOKUP(Deals[[#This Row],[CustomerID]],Customers!A:A,Customers!D:D)</f>
        <v>48</v>
      </c>
      <c r="P693" s="2" t="str" cm="1">
        <f t="array" ref="P693">_xlfn.IFS(Deals[[#This Row],[Age]]&lt;30,"Under 30",Deals[[#This Row],[Age]]&lt;45,"30-44",TRUE,"45+")</f>
        <v>45+</v>
      </c>
      <c r="Q693" s="21">
        <f>IF(Deals[[#This Row],[Status]]="Pending","",Deals[[#This Row],[DecisionDate]]-Deals[[#This Row],[ApplicationDate]])</f>
        <v>29</v>
      </c>
      <c r="R693" s="21">
        <f>IF(Deals[[#This Row],[Status]]="Approved",1,0)</f>
        <v>0</v>
      </c>
      <c r="S693" s="21">
        <f>IF(Deals[[#This Row],[IsApproved]]=1,Deals[[#This Row],[Amount]],0)</f>
        <v>0</v>
      </c>
      <c r="T693" s="21">
        <f>Deals[[#This Row],[ApprovedAmount]]*Deals[[#This Row],[ProfitRate]]</f>
        <v>0</v>
      </c>
    </row>
    <row r="694" spans="1:20">
      <c r="A694" s="2" t="s">
        <v>1276</v>
      </c>
      <c r="B694" s="3">
        <v>46176</v>
      </c>
      <c r="C694" s="2" t="s">
        <v>1277</v>
      </c>
      <c r="D694" s="2" t="s">
        <v>14</v>
      </c>
      <c r="E694" s="2" t="s">
        <v>30</v>
      </c>
      <c r="F694" s="2" t="s">
        <v>31</v>
      </c>
      <c r="G694" s="4">
        <v>12400</v>
      </c>
      <c r="H694" s="5">
        <v>4.5400000000000003E-2</v>
      </c>
      <c r="I694" s="2">
        <v>48</v>
      </c>
      <c r="J694" s="2" t="s">
        <v>16</v>
      </c>
      <c r="K694" s="2" t="s">
        <v>17</v>
      </c>
      <c r="L694" s="3">
        <v>46177</v>
      </c>
      <c r="M694" s="2" t="str">
        <f>_xlfn.XLOOKUP(Deals[[#This Row],[CustomerID]],Customers!A:A,Customers!F:F)</f>
        <v>Mass</v>
      </c>
      <c r="N694" s="2" t="str">
        <f>_xlfn.XLOOKUP(Deals[[#This Row],[CustomerID]],Customers!A:A,Customers!E:E)</f>
        <v>Kuwaiti</v>
      </c>
      <c r="O694" s="2">
        <f>2026-_xlfn.XLOOKUP(Deals[[#This Row],[CustomerID]],Customers!A:A,Customers!D:D)</f>
        <v>48</v>
      </c>
      <c r="P694" s="2" t="str" cm="1">
        <f t="array" ref="P694">_xlfn.IFS(Deals[[#This Row],[Age]]&lt;30,"Under 30",Deals[[#This Row],[Age]]&lt;45,"30-44",TRUE,"45+")</f>
        <v>45+</v>
      </c>
      <c r="Q694" s="21">
        <f>IF(Deals[[#This Row],[Status]]="Pending","",Deals[[#This Row],[DecisionDate]]-Deals[[#This Row],[ApplicationDate]])</f>
        <v>1</v>
      </c>
      <c r="R694" s="21">
        <f>IF(Deals[[#This Row],[Status]]="Approved",1,0)</f>
        <v>1</v>
      </c>
      <c r="S694" s="21">
        <f>IF(Deals[[#This Row],[IsApproved]]=1,Deals[[#This Row],[Amount]],0)</f>
        <v>12400</v>
      </c>
      <c r="T694" s="21">
        <f>Deals[[#This Row],[ApprovedAmount]]*Deals[[#This Row],[ProfitRate]]</f>
        <v>562.96</v>
      </c>
    </row>
    <row r="695" spans="1:20">
      <c r="A695" s="2" t="s">
        <v>1278</v>
      </c>
      <c r="B695" s="3">
        <v>46176</v>
      </c>
      <c r="C695" s="2" t="s">
        <v>292</v>
      </c>
      <c r="D695" s="2" t="s">
        <v>29</v>
      </c>
      <c r="E695" s="2" t="s">
        <v>43</v>
      </c>
      <c r="F695" s="2" t="s">
        <v>3</v>
      </c>
      <c r="G695" s="4">
        <v>71000</v>
      </c>
      <c r="H695" s="5">
        <v>5.6500000000000002E-2</v>
      </c>
      <c r="I695" s="2">
        <v>24</v>
      </c>
      <c r="J695" s="2" t="s">
        <v>123</v>
      </c>
      <c r="K695" s="2" t="s">
        <v>45</v>
      </c>
      <c r="L695" s="3">
        <v>46194</v>
      </c>
      <c r="M695" s="2" t="str">
        <f>_xlfn.XLOOKUP(Deals[[#This Row],[CustomerID]],Customers!A:A,Customers!F:F)</f>
        <v>Affluent</v>
      </c>
      <c r="N695" s="2" t="str">
        <f>_xlfn.XLOOKUP(Deals[[#This Row],[CustomerID]],Customers!A:A,Customers!E:E)</f>
        <v>Non-Kuwaiti</v>
      </c>
      <c r="O695" s="2">
        <f>2026-_xlfn.XLOOKUP(Deals[[#This Row],[CustomerID]],Customers!A:A,Customers!D:D)</f>
        <v>28</v>
      </c>
      <c r="P695" s="2" t="str" cm="1">
        <f t="array" ref="P695">_xlfn.IFS(Deals[[#This Row],[Age]]&lt;30,"Under 30",Deals[[#This Row],[Age]]&lt;45,"30-44",TRUE,"45+")</f>
        <v>Under 30</v>
      </c>
      <c r="Q695" s="21">
        <f>IF(Deals[[#This Row],[Status]]="Pending","",Deals[[#This Row],[DecisionDate]]-Deals[[#This Row],[ApplicationDate]])</f>
        <v>18</v>
      </c>
      <c r="R695" s="21">
        <f>IF(Deals[[#This Row],[Status]]="Approved",1,0)</f>
        <v>0</v>
      </c>
      <c r="S695" s="21">
        <f>IF(Deals[[#This Row],[IsApproved]]=1,Deals[[#This Row],[Amount]],0)</f>
        <v>0</v>
      </c>
      <c r="T695" s="21">
        <f>Deals[[#This Row],[ApprovedAmount]]*Deals[[#This Row],[ProfitRate]]</f>
        <v>0</v>
      </c>
    </row>
    <row r="696" spans="1:20">
      <c r="A696" s="2" t="s">
        <v>1279</v>
      </c>
      <c r="B696" s="3">
        <v>46177</v>
      </c>
      <c r="C696" s="2" t="s">
        <v>458</v>
      </c>
      <c r="D696" s="2" t="s">
        <v>25</v>
      </c>
      <c r="E696" s="2" t="s">
        <v>30</v>
      </c>
      <c r="F696" s="2" t="s">
        <v>3</v>
      </c>
      <c r="G696" s="4">
        <v>7300</v>
      </c>
      <c r="H696" s="5">
        <v>4.2999999999999997E-2</v>
      </c>
      <c r="I696" s="2">
        <v>48</v>
      </c>
      <c r="J696" s="2" t="s">
        <v>26</v>
      </c>
      <c r="K696" s="2" t="s">
        <v>17</v>
      </c>
      <c r="L696" s="3">
        <v>46182</v>
      </c>
      <c r="M696" s="2" t="str">
        <f>_xlfn.XLOOKUP(Deals[[#This Row],[CustomerID]],Customers!A:A,Customers!F:F)</f>
        <v>Mass</v>
      </c>
      <c r="N696" s="2" t="str">
        <f>_xlfn.XLOOKUP(Deals[[#This Row],[CustomerID]],Customers!A:A,Customers!E:E)</f>
        <v>Non-Kuwaiti</v>
      </c>
      <c r="O696" s="2">
        <f>2026-_xlfn.XLOOKUP(Deals[[#This Row],[CustomerID]],Customers!A:A,Customers!D:D)</f>
        <v>56</v>
      </c>
      <c r="P696" s="2" t="str" cm="1">
        <f t="array" ref="P696">_xlfn.IFS(Deals[[#This Row],[Age]]&lt;30,"Under 30",Deals[[#This Row],[Age]]&lt;45,"30-44",TRUE,"45+")</f>
        <v>45+</v>
      </c>
      <c r="Q696" s="21">
        <f>IF(Deals[[#This Row],[Status]]="Pending","",Deals[[#This Row],[DecisionDate]]-Deals[[#This Row],[ApplicationDate]])</f>
        <v>5</v>
      </c>
      <c r="R696" s="21">
        <f>IF(Deals[[#This Row],[Status]]="Approved",1,0)</f>
        <v>1</v>
      </c>
      <c r="S696" s="21">
        <f>IF(Deals[[#This Row],[IsApproved]]=1,Deals[[#This Row],[Amount]],0)</f>
        <v>7300</v>
      </c>
      <c r="T696" s="21">
        <f>Deals[[#This Row],[ApprovedAmount]]*Deals[[#This Row],[ProfitRate]]</f>
        <v>313.89999999999998</v>
      </c>
    </row>
    <row r="697" spans="1:20">
      <c r="A697" s="2" t="s">
        <v>1280</v>
      </c>
      <c r="B697" s="3">
        <v>46177</v>
      </c>
      <c r="C697" s="2" t="s">
        <v>326</v>
      </c>
      <c r="D697" s="2" t="s">
        <v>25</v>
      </c>
      <c r="E697" s="2" t="s">
        <v>43</v>
      </c>
      <c r="F697" s="2" t="s">
        <v>3</v>
      </c>
      <c r="G697" s="4">
        <v>133700</v>
      </c>
      <c r="H697" s="5">
        <v>6.6199999999999995E-2</v>
      </c>
      <c r="I697" s="2">
        <v>84</v>
      </c>
      <c r="J697" s="2" t="s">
        <v>181</v>
      </c>
      <c r="K697" s="2" t="s">
        <v>45</v>
      </c>
      <c r="L697" s="3">
        <v>46191</v>
      </c>
      <c r="M697" s="2" t="str">
        <f>_xlfn.XLOOKUP(Deals[[#This Row],[CustomerID]],Customers!A:A,Customers!F:F)</f>
        <v>Mass</v>
      </c>
      <c r="N697" s="2" t="str">
        <f>_xlfn.XLOOKUP(Deals[[#This Row],[CustomerID]],Customers!A:A,Customers!E:E)</f>
        <v>Kuwaiti</v>
      </c>
      <c r="O697" s="2">
        <f>2026-_xlfn.XLOOKUP(Deals[[#This Row],[CustomerID]],Customers!A:A,Customers!D:D)</f>
        <v>27</v>
      </c>
      <c r="P697" s="2" t="str" cm="1">
        <f t="array" ref="P697">_xlfn.IFS(Deals[[#This Row],[Age]]&lt;30,"Under 30",Deals[[#This Row],[Age]]&lt;45,"30-44",TRUE,"45+")</f>
        <v>Under 30</v>
      </c>
      <c r="Q697" s="21">
        <f>IF(Deals[[#This Row],[Status]]="Pending","",Deals[[#This Row],[DecisionDate]]-Deals[[#This Row],[ApplicationDate]])</f>
        <v>14</v>
      </c>
      <c r="R697" s="21">
        <f>IF(Deals[[#This Row],[Status]]="Approved",1,0)</f>
        <v>0</v>
      </c>
      <c r="S697" s="21">
        <f>IF(Deals[[#This Row],[IsApproved]]=1,Deals[[#This Row],[Amount]],0)</f>
        <v>0</v>
      </c>
      <c r="T697" s="21">
        <f>Deals[[#This Row],[ApprovedAmount]]*Deals[[#This Row],[ProfitRate]]</f>
        <v>0</v>
      </c>
    </row>
    <row r="698" spans="1:20">
      <c r="A698" s="2" t="s">
        <v>1281</v>
      </c>
      <c r="B698" s="3">
        <v>46177</v>
      </c>
      <c r="C698" s="2" t="s">
        <v>625</v>
      </c>
      <c r="D698" s="2" t="s">
        <v>14</v>
      </c>
      <c r="E698" s="2" t="s">
        <v>43</v>
      </c>
      <c r="F698" s="2" t="s">
        <v>31</v>
      </c>
      <c r="G698" s="4">
        <v>120800</v>
      </c>
      <c r="H698" s="5">
        <v>5.6099999999999997E-2</v>
      </c>
      <c r="I698" s="2">
        <v>36</v>
      </c>
      <c r="J698" s="2" t="s">
        <v>40</v>
      </c>
      <c r="K698" s="2" t="s">
        <v>45</v>
      </c>
      <c r="L698" s="3">
        <v>46192</v>
      </c>
      <c r="M698" s="2" t="str">
        <f>_xlfn.XLOOKUP(Deals[[#This Row],[CustomerID]],Customers!A:A,Customers!F:F)</f>
        <v>Mass</v>
      </c>
      <c r="N698" s="2" t="str">
        <f>_xlfn.XLOOKUP(Deals[[#This Row],[CustomerID]],Customers!A:A,Customers!E:E)</f>
        <v>Kuwaiti</v>
      </c>
      <c r="O698" s="2">
        <f>2026-_xlfn.XLOOKUP(Deals[[#This Row],[CustomerID]],Customers!A:A,Customers!D:D)</f>
        <v>49</v>
      </c>
      <c r="P698" s="2" t="str" cm="1">
        <f t="array" ref="P698">_xlfn.IFS(Deals[[#This Row],[Age]]&lt;30,"Under 30",Deals[[#This Row],[Age]]&lt;45,"30-44",TRUE,"45+")</f>
        <v>45+</v>
      </c>
      <c r="Q698" s="21">
        <f>IF(Deals[[#This Row],[Status]]="Pending","",Deals[[#This Row],[DecisionDate]]-Deals[[#This Row],[ApplicationDate]])</f>
        <v>15</v>
      </c>
      <c r="R698" s="21">
        <f>IF(Deals[[#This Row],[Status]]="Approved",1,0)</f>
        <v>0</v>
      </c>
      <c r="S698" s="21">
        <f>IF(Deals[[#This Row],[IsApproved]]=1,Deals[[#This Row],[Amount]],0)</f>
        <v>0</v>
      </c>
      <c r="T698" s="21">
        <f>Deals[[#This Row],[ApprovedAmount]]*Deals[[#This Row],[ProfitRate]]</f>
        <v>0</v>
      </c>
    </row>
    <row r="699" spans="1:20">
      <c r="A699" s="2" t="s">
        <v>1282</v>
      </c>
      <c r="B699" s="3">
        <v>46177</v>
      </c>
      <c r="C699" s="2" t="s">
        <v>1283</v>
      </c>
      <c r="D699" s="2" t="s">
        <v>14</v>
      </c>
      <c r="E699" s="2" t="s">
        <v>30</v>
      </c>
      <c r="F699" s="2" t="s">
        <v>31</v>
      </c>
      <c r="G699" s="4">
        <v>9000</v>
      </c>
      <c r="H699" s="5">
        <v>4.9099999999999998E-2</v>
      </c>
      <c r="I699" s="2">
        <v>48</v>
      </c>
      <c r="J699" s="2" t="s">
        <v>48</v>
      </c>
      <c r="K699" s="2" t="s">
        <v>17</v>
      </c>
      <c r="L699" s="3">
        <v>46177</v>
      </c>
      <c r="M699" s="2" t="str">
        <f>_xlfn.XLOOKUP(Deals[[#This Row],[CustomerID]],Customers!A:A,Customers!F:F)</f>
        <v>Affluent</v>
      </c>
      <c r="N699" s="2" t="str">
        <f>_xlfn.XLOOKUP(Deals[[#This Row],[CustomerID]],Customers!A:A,Customers!E:E)</f>
        <v>Non-Kuwaiti</v>
      </c>
      <c r="O699" s="2">
        <f>2026-_xlfn.XLOOKUP(Deals[[#This Row],[CustomerID]],Customers!A:A,Customers!D:D)</f>
        <v>44</v>
      </c>
      <c r="P699" s="2" t="str" cm="1">
        <f t="array" ref="P699">_xlfn.IFS(Deals[[#This Row],[Age]]&lt;30,"Under 30",Deals[[#This Row],[Age]]&lt;45,"30-44",TRUE,"45+")</f>
        <v>30-44</v>
      </c>
      <c r="Q699" s="21">
        <f>IF(Deals[[#This Row],[Status]]="Pending","",Deals[[#This Row],[DecisionDate]]-Deals[[#This Row],[ApplicationDate]])</f>
        <v>0</v>
      </c>
      <c r="R699" s="21">
        <f>IF(Deals[[#This Row],[Status]]="Approved",1,0)</f>
        <v>1</v>
      </c>
      <c r="S699" s="21">
        <f>IF(Deals[[#This Row],[IsApproved]]=1,Deals[[#This Row],[Amount]],0)</f>
        <v>9000</v>
      </c>
      <c r="T699" s="21">
        <f>Deals[[#This Row],[ApprovedAmount]]*Deals[[#This Row],[ProfitRate]]</f>
        <v>441.9</v>
      </c>
    </row>
    <row r="700" spans="1:20">
      <c r="A700" s="2" t="s">
        <v>1284</v>
      </c>
      <c r="B700" s="3">
        <v>46177</v>
      </c>
      <c r="C700" s="2" t="s">
        <v>1285</v>
      </c>
      <c r="D700" s="2" t="s">
        <v>20</v>
      </c>
      <c r="E700" s="2" t="s">
        <v>15</v>
      </c>
      <c r="F700" s="2" t="s">
        <v>3</v>
      </c>
      <c r="G700" s="4">
        <v>14300</v>
      </c>
      <c r="H700" s="5">
        <v>6.4699999999999994E-2</v>
      </c>
      <c r="I700" s="2">
        <v>36</v>
      </c>
      <c r="J700" s="2" t="s">
        <v>37</v>
      </c>
      <c r="K700" s="2" t="s">
        <v>17</v>
      </c>
      <c r="L700" s="3">
        <v>46183</v>
      </c>
      <c r="M700" s="2" t="str">
        <f>_xlfn.XLOOKUP(Deals[[#This Row],[CustomerID]],Customers!A:A,Customers!F:F)</f>
        <v>Mass</v>
      </c>
      <c r="N700" s="2" t="str">
        <f>_xlfn.XLOOKUP(Deals[[#This Row],[CustomerID]],Customers!A:A,Customers!E:E)</f>
        <v>Kuwaiti</v>
      </c>
      <c r="O700" s="2">
        <f>2026-_xlfn.XLOOKUP(Deals[[#This Row],[CustomerID]],Customers!A:A,Customers!D:D)</f>
        <v>44</v>
      </c>
      <c r="P700" s="2" t="str" cm="1">
        <f t="array" ref="P700">_xlfn.IFS(Deals[[#This Row],[Age]]&lt;30,"Under 30",Deals[[#This Row],[Age]]&lt;45,"30-44",TRUE,"45+")</f>
        <v>30-44</v>
      </c>
      <c r="Q700" s="21">
        <f>IF(Deals[[#This Row],[Status]]="Pending","",Deals[[#This Row],[DecisionDate]]-Deals[[#This Row],[ApplicationDate]])</f>
        <v>6</v>
      </c>
      <c r="R700" s="21">
        <f>IF(Deals[[#This Row],[Status]]="Approved",1,0)</f>
        <v>1</v>
      </c>
      <c r="S700" s="21">
        <f>IF(Deals[[#This Row],[IsApproved]]=1,Deals[[#This Row],[Amount]],0)</f>
        <v>14300</v>
      </c>
      <c r="T700" s="21">
        <f>Deals[[#This Row],[ApprovedAmount]]*Deals[[#This Row],[ProfitRate]]</f>
        <v>925.20999999999992</v>
      </c>
    </row>
    <row r="701" spans="1:20">
      <c r="A701" s="2" t="s">
        <v>1286</v>
      </c>
      <c r="B701" s="3">
        <v>46178</v>
      </c>
      <c r="C701" s="2" t="s">
        <v>1287</v>
      </c>
      <c r="D701" s="2" t="s">
        <v>14</v>
      </c>
      <c r="E701" s="2" t="s">
        <v>15</v>
      </c>
      <c r="F701" s="2" t="s">
        <v>55</v>
      </c>
      <c r="G701" s="4">
        <v>3600</v>
      </c>
      <c r="H701" s="5">
        <v>6.8000000000000005E-2</v>
      </c>
      <c r="I701" s="2">
        <v>12</v>
      </c>
      <c r="J701" s="2" t="s">
        <v>48</v>
      </c>
      <c r="K701" s="2" t="s">
        <v>17</v>
      </c>
      <c r="L701" s="3">
        <v>46181</v>
      </c>
      <c r="M701" s="2" t="str">
        <f>_xlfn.XLOOKUP(Deals[[#This Row],[CustomerID]],Customers!A:A,Customers!F:F)</f>
        <v>Mass</v>
      </c>
      <c r="N701" s="2" t="str">
        <f>_xlfn.XLOOKUP(Deals[[#This Row],[CustomerID]],Customers!A:A,Customers!E:E)</f>
        <v>Kuwaiti</v>
      </c>
      <c r="O701" s="2">
        <f>2026-_xlfn.XLOOKUP(Deals[[#This Row],[CustomerID]],Customers!A:A,Customers!D:D)</f>
        <v>62</v>
      </c>
      <c r="P701" s="2" t="str" cm="1">
        <f t="array" ref="P701">_xlfn.IFS(Deals[[#This Row],[Age]]&lt;30,"Under 30",Deals[[#This Row],[Age]]&lt;45,"30-44",TRUE,"45+")</f>
        <v>45+</v>
      </c>
      <c r="Q701" s="21">
        <f>IF(Deals[[#This Row],[Status]]="Pending","",Deals[[#This Row],[DecisionDate]]-Deals[[#This Row],[ApplicationDate]])</f>
        <v>3</v>
      </c>
      <c r="R701" s="21">
        <f>IF(Deals[[#This Row],[Status]]="Approved",1,0)</f>
        <v>1</v>
      </c>
      <c r="S701" s="21">
        <f>IF(Deals[[#This Row],[IsApproved]]=1,Deals[[#This Row],[Amount]],0)</f>
        <v>3600</v>
      </c>
      <c r="T701" s="21">
        <f>Deals[[#This Row],[ApprovedAmount]]*Deals[[#This Row],[ProfitRate]]</f>
        <v>244.8</v>
      </c>
    </row>
    <row r="702" spans="1:20">
      <c r="A702" s="2" t="s">
        <v>1288</v>
      </c>
      <c r="B702" s="3">
        <v>46178</v>
      </c>
      <c r="C702" s="2" t="s">
        <v>1289</v>
      </c>
      <c r="D702" s="2" t="s">
        <v>25</v>
      </c>
      <c r="E702" s="2" t="s">
        <v>15</v>
      </c>
      <c r="F702" s="2" t="s">
        <v>55</v>
      </c>
      <c r="G702" s="4">
        <v>8400</v>
      </c>
      <c r="H702" s="5">
        <v>6.9099999999999995E-2</v>
      </c>
      <c r="I702" s="2">
        <v>12</v>
      </c>
      <c r="J702" s="2" t="s">
        <v>66</v>
      </c>
      <c r="K702" s="2" t="s">
        <v>17</v>
      </c>
      <c r="L702" s="3">
        <v>46180</v>
      </c>
      <c r="M702" s="2" t="str">
        <f>_xlfn.XLOOKUP(Deals[[#This Row],[CustomerID]],Customers!A:A,Customers!F:F)</f>
        <v>Mass</v>
      </c>
      <c r="N702" s="2" t="str">
        <f>_xlfn.XLOOKUP(Deals[[#This Row],[CustomerID]],Customers!A:A,Customers!E:E)</f>
        <v>Kuwaiti</v>
      </c>
      <c r="O702" s="2">
        <f>2026-_xlfn.XLOOKUP(Deals[[#This Row],[CustomerID]],Customers!A:A,Customers!D:D)</f>
        <v>47</v>
      </c>
      <c r="P702" s="2" t="str" cm="1">
        <f t="array" ref="P702">_xlfn.IFS(Deals[[#This Row],[Age]]&lt;30,"Under 30",Deals[[#This Row],[Age]]&lt;45,"30-44",TRUE,"45+")</f>
        <v>45+</v>
      </c>
      <c r="Q702" s="21">
        <f>IF(Deals[[#This Row],[Status]]="Pending","",Deals[[#This Row],[DecisionDate]]-Deals[[#This Row],[ApplicationDate]])</f>
        <v>2</v>
      </c>
      <c r="R702" s="21">
        <f>IF(Deals[[#This Row],[Status]]="Approved",1,0)</f>
        <v>1</v>
      </c>
      <c r="S702" s="21">
        <f>IF(Deals[[#This Row],[IsApproved]]=1,Deals[[#This Row],[Amount]],0)</f>
        <v>8400</v>
      </c>
      <c r="T702" s="21">
        <f>Deals[[#This Row],[ApprovedAmount]]*Deals[[#This Row],[ProfitRate]]</f>
        <v>580.43999999999994</v>
      </c>
    </row>
    <row r="703" spans="1:20">
      <c r="A703" s="2" t="s">
        <v>1290</v>
      </c>
      <c r="B703" s="3">
        <v>46178</v>
      </c>
      <c r="C703" s="2" t="s">
        <v>230</v>
      </c>
      <c r="D703" s="2" t="s">
        <v>71</v>
      </c>
      <c r="E703" s="2" t="s">
        <v>21</v>
      </c>
      <c r="F703" s="2" t="s">
        <v>3</v>
      </c>
      <c r="G703" s="4">
        <v>263000</v>
      </c>
      <c r="H703" s="5">
        <v>4.48E-2</v>
      </c>
      <c r="I703" s="2">
        <v>240</v>
      </c>
      <c r="J703" s="2" t="s">
        <v>101</v>
      </c>
      <c r="K703" s="2" t="s">
        <v>17</v>
      </c>
      <c r="L703" s="3">
        <v>46209</v>
      </c>
      <c r="M703" s="2" t="str">
        <f>_xlfn.XLOOKUP(Deals[[#This Row],[CustomerID]],Customers!A:A,Customers!F:F)</f>
        <v>Affluent</v>
      </c>
      <c r="N703" s="2" t="str">
        <f>_xlfn.XLOOKUP(Deals[[#This Row],[CustomerID]],Customers!A:A,Customers!E:E)</f>
        <v>Kuwaiti</v>
      </c>
      <c r="O703" s="2">
        <f>2026-_xlfn.XLOOKUP(Deals[[#This Row],[CustomerID]],Customers!A:A,Customers!D:D)</f>
        <v>24</v>
      </c>
      <c r="P703" s="2" t="str" cm="1">
        <f t="array" ref="P703">_xlfn.IFS(Deals[[#This Row],[Age]]&lt;30,"Under 30",Deals[[#This Row],[Age]]&lt;45,"30-44",TRUE,"45+")</f>
        <v>Under 30</v>
      </c>
      <c r="Q703" s="21">
        <f>IF(Deals[[#This Row],[Status]]="Pending","",Deals[[#This Row],[DecisionDate]]-Deals[[#This Row],[ApplicationDate]])</f>
        <v>31</v>
      </c>
      <c r="R703" s="21">
        <f>IF(Deals[[#This Row],[Status]]="Approved",1,0)</f>
        <v>1</v>
      </c>
      <c r="S703" s="21">
        <f>IF(Deals[[#This Row],[IsApproved]]=1,Deals[[#This Row],[Amount]],0)</f>
        <v>263000</v>
      </c>
      <c r="T703" s="21">
        <f>Deals[[#This Row],[ApprovedAmount]]*Deals[[#This Row],[ProfitRate]]</f>
        <v>11782.4</v>
      </c>
    </row>
    <row r="704" spans="1:20">
      <c r="A704" s="2" t="s">
        <v>1291</v>
      </c>
      <c r="B704" s="3">
        <v>46178</v>
      </c>
      <c r="C704" s="2" t="s">
        <v>1292</v>
      </c>
      <c r="D704" s="2" t="s">
        <v>71</v>
      </c>
      <c r="E704" s="2" t="s">
        <v>15</v>
      </c>
      <c r="F704" s="2" t="s">
        <v>3</v>
      </c>
      <c r="G704" s="4">
        <v>24800</v>
      </c>
      <c r="H704" s="5">
        <v>5.3199999999999997E-2</v>
      </c>
      <c r="I704" s="2">
        <v>24</v>
      </c>
      <c r="J704" s="2" t="s">
        <v>72</v>
      </c>
      <c r="K704" s="2" t="s">
        <v>45</v>
      </c>
      <c r="L704" s="3">
        <v>46188</v>
      </c>
      <c r="M704" s="2" t="str">
        <f>_xlfn.XLOOKUP(Deals[[#This Row],[CustomerID]],Customers!A:A,Customers!F:F)</f>
        <v>Mass</v>
      </c>
      <c r="N704" s="2" t="str">
        <f>_xlfn.XLOOKUP(Deals[[#This Row],[CustomerID]],Customers!A:A,Customers!E:E)</f>
        <v>Non-Kuwaiti</v>
      </c>
      <c r="O704" s="2">
        <f>2026-_xlfn.XLOOKUP(Deals[[#This Row],[CustomerID]],Customers!A:A,Customers!D:D)</f>
        <v>61</v>
      </c>
      <c r="P704" s="2" t="str" cm="1">
        <f t="array" ref="P704">_xlfn.IFS(Deals[[#This Row],[Age]]&lt;30,"Under 30",Deals[[#This Row],[Age]]&lt;45,"30-44",TRUE,"45+")</f>
        <v>45+</v>
      </c>
      <c r="Q704" s="21">
        <f>IF(Deals[[#This Row],[Status]]="Pending","",Deals[[#This Row],[DecisionDate]]-Deals[[#This Row],[ApplicationDate]])</f>
        <v>10</v>
      </c>
      <c r="R704" s="21">
        <f>IF(Deals[[#This Row],[Status]]="Approved",1,0)</f>
        <v>0</v>
      </c>
      <c r="S704" s="21">
        <f>IF(Deals[[#This Row],[IsApproved]]=1,Deals[[#This Row],[Amount]],0)</f>
        <v>0</v>
      </c>
      <c r="T704" s="21">
        <f>Deals[[#This Row],[ApprovedAmount]]*Deals[[#This Row],[ProfitRate]]</f>
        <v>0</v>
      </c>
    </row>
    <row r="705" spans="1:20">
      <c r="A705" s="2" t="s">
        <v>1293</v>
      </c>
      <c r="B705" s="3">
        <v>46179</v>
      </c>
      <c r="C705" s="2" t="s">
        <v>1294</v>
      </c>
      <c r="D705" s="2" t="s">
        <v>14</v>
      </c>
      <c r="E705" s="2" t="s">
        <v>15</v>
      </c>
      <c r="F705" s="2" t="s">
        <v>31</v>
      </c>
      <c r="G705" s="4">
        <v>25000</v>
      </c>
      <c r="H705" s="5">
        <v>6.4000000000000001E-2</v>
      </c>
      <c r="I705" s="2">
        <v>24</v>
      </c>
      <c r="J705" s="2" t="s">
        <v>48</v>
      </c>
      <c r="K705" s="2" t="s">
        <v>45</v>
      </c>
      <c r="L705" s="3">
        <v>46180</v>
      </c>
      <c r="M705" s="2" t="str">
        <f>_xlfn.XLOOKUP(Deals[[#This Row],[CustomerID]],Customers!A:A,Customers!F:F)</f>
        <v>Affluent</v>
      </c>
      <c r="N705" s="2" t="str">
        <f>_xlfn.XLOOKUP(Deals[[#This Row],[CustomerID]],Customers!A:A,Customers!E:E)</f>
        <v>Non-Kuwaiti</v>
      </c>
      <c r="O705" s="2">
        <f>2026-_xlfn.XLOOKUP(Deals[[#This Row],[CustomerID]],Customers!A:A,Customers!D:D)</f>
        <v>23</v>
      </c>
      <c r="P705" s="2" t="str" cm="1">
        <f t="array" ref="P705">_xlfn.IFS(Deals[[#This Row],[Age]]&lt;30,"Under 30",Deals[[#This Row],[Age]]&lt;45,"30-44",TRUE,"45+")</f>
        <v>Under 30</v>
      </c>
      <c r="Q705" s="21">
        <f>IF(Deals[[#This Row],[Status]]="Pending","",Deals[[#This Row],[DecisionDate]]-Deals[[#This Row],[ApplicationDate]])</f>
        <v>1</v>
      </c>
      <c r="R705" s="21">
        <f>IF(Deals[[#This Row],[Status]]="Approved",1,0)</f>
        <v>0</v>
      </c>
      <c r="S705" s="21">
        <f>IF(Deals[[#This Row],[IsApproved]]=1,Deals[[#This Row],[Amount]],0)</f>
        <v>0</v>
      </c>
      <c r="T705" s="21">
        <f>Deals[[#This Row],[ApprovedAmount]]*Deals[[#This Row],[ProfitRate]]</f>
        <v>0</v>
      </c>
    </row>
    <row r="706" spans="1:20">
      <c r="A706" s="2" t="s">
        <v>1295</v>
      </c>
      <c r="B706" s="3">
        <v>46179</v>
      </c>
      <c r="C706" s="2" t="s">
        <v>460</v>
      </c>
      <c r="D706" s="2" t="s">
        <v>25</v>
      </c>
      <c r="E706" s="2" t="s">
        <v>15</v>
      </c>
      <c r="F706" s="2" t="s">
        <v>3</v>
      </c>
      <c r="G706" s="4">
        <v>13800</v>
      </c>
      <c r="H706" s="5">
        <v>6.0999999999999999E-2</v>
      </c>
      <c r="I706" s="2">
        <v>36</v>
      </c>
      <c r="J706" s="2" t="s">
        <v>181</v>
      </c>
      <c r="K706" s="2" t="s">
        <v>17</v>
      </c>
      <c r="L706" s="3">
        <v>46182</v>
      </c>
      <c r="M706" s="2" t="str">
        <f>_xlfn.XLOOKUP(Deals[[#This Row],[CustomerID]],Customers!A:A,Customers!F:F)</f>
        <v>Mass</v>
      </c>
      <c r="N706" s="2" t="str">
        <f>_xlfn.XLOOKUP(Deals[[#This Row],[CustomerID]],Customers!A:A,Customers!E:E)</f>
        <v>Kuwaiti</v>
      </c>
      <c r="O706" s="2">
        <f>2026-_xlfn.XLOOKUP(Deals[[#This Row],[CustomerID]],Customers!A:A,Customers!D:D)</f>
        <v>29</v>
      </c>
      <c r="P706" s="2" t="str" cm="1">
        <f t="array" ref="P706">_xlfn.IFS(Deals[[#This Row],[Age]]&lt;30,"Under 30",Deals[[#This Row],[Age]]&lt;45,"30-44",TRUE,"45+")</f>
        <v>Under 30</v>
      </c>
      <c r="Q706" s="21">
        <f>IF(Deals[[#This Row],[Status]]="Pending","",Deals[[#This Row],[DecisionDate]]-Deals[[#This Row],[ApplicationDate]])</f>
        <v>3</v>
      </c>
      <c r="R706" s="21">
        <f>IF(Deals[[#This Row],[Status]]="Approved",1,0)</f>
        <v>1</v>
      </c>
      <c r="S706" s="21">
        <f>IF(Deals[[#This Row],[IsApproved]]=1,Deals[[#This Row],[Amount]],0)</f>
        <v>13800</v>
      </c>
      <c r="T706" s="21">
        <f>Deals[[#This Row],[ApprovedAmount]]*Deals[[#This Row],[ProfitRate]]</f>
        <v>841.8</v>
      </c>
    </row>
    <row r="707" spans="1:20">
      <c r="A707" s="2" t="s">
        <v>1296</v>
      </c>
      <c r="B707" s="3">
        <v>46179</v>
      </c>
      <c r="C707" s="2" t="s">
        <v>1297</v>
      </c>
      <c r="D707" s="2" t="s">
        <v>25</v>
      </c>
      <c r="E707" s="2" t="s">
        <v>43</v>
      </c>
      <c r="F707" s="2" t="s">
        <v>31</v>
      </c>
      <c r="G707" s="4">
        <v>153500</v>
      </c>
      <c r="H707" s="5">
        <v>7.3599999999999999E-2</v>
      </c>
      <c r="I707" s="2">
        <v>84</v>
      </c>
      <c r="J707" s="2" t="s">
        <v>66</v>
      </c>
      <c r="K707" s="2" t="s">
        <v>17</v>
      </c>
      <c r="L707" s="3">
        <v>46197</v>
      </c>
      <c r="M707" s="2" t="str">
        <f>_xlfn.XLOOKUP(Deals[[#This Row],[CustomerID]],Customers!A:A,Customers!F:F)</f>
        <v>Premium</v>
      </c>
      <c r="N707" s="2" t="str">
        <f>_xlfn.XLOOKUP(Deals[[#This Row],[CustomerID]],Customers!A:A,Customers!E:E)</f>
        <v>Non-Kuwaiti</v>
      </c>
      <c r="O707" s="2">
        <f>2026-_xlfn.XLOOKUP(Deals[[#This Row],[CustomerID]],Customers!A:A,Customers!D:D)</f>
        <v>31</v>
      </c>
      <c r="P707" s="2" t="str" cm="1">
        <f t="array" ref="P707">_xlfn.IFS(Deals[[#This Row],[Age]]&lt;30,"Under 30",Deals[[#This Row],[Age]]&lt;45,"30-44",TRUE,"45+")</f>
        <v>30-44</v>
      </c>
      <c r="Q707" s="21">
        <f>IF(Deals[[#This Row],[Status]]="Pending","",Deals[[#This Row],[DecisionDate]]-Deals[[#This Row],[ApplicationDate]])</f>
        <v>18</v>
      </c>
      <c r="R707" s="21">
        <f>IF(Deals[[#This Row],[Status]]="Approved",1,0)</f>
        <v>1</v>
      </c>
      <c r="S707" s="21">
        <f>IF(Deals[[#This Row],[IsApproved]]=1,Deals[[#This Row],[Amount]],0)</f>
        <v>153500</v>
      </c>
      <c r="T707" s="21">
        <f>Deals[[#This Row],[ApprovedAmount]]*Deals[[#This Row],[ProfitRate]]</f>
        <v>11297.6</v>
      </c>
    </row>
    <row r="708" spans="1:20">
      <c r="A708" s="2" t="s">
        <v>1298</v>
      </c>
      <c r="B708" s="3">
        <v>46179</v>
      </c>
      <c r="C708" s="2" t="s">
        <v>156</v>
      </c>
      <c r="D708" s="2" t="s">
        <v>29</v>
      </c>
      <c r="E708" s="2" t="s">
        <v>15</v>
      </c>
      <c r="F708" s="2" t="s">
        <v>31</v>
      </c>
      <c r="G708" s="4">
        <v>8500</v>
      </c>
      <c r="H708" s="5">
        <v>6.3500000000000001E-2</v>
      </c>
      <c r="I708" s="2">
        <v>60</v>
      </c>
      <c r="J708" s="2" t="s">
        <v>61</v>
      </c>
      <c r="K708" s="2" t="s">
        <v>45</v>
      </c>
      <c r="L708" s="3">
        <v>46181</v>
      </c>
      <c r="M708" s="2" t="str">
        <f>_xlfn.XLOOKUP(Deals[[#This Row],[CustomerID]],Customers!A:A,Customers!F:F)</f>
        <v>Mass</v>
      </c>
      <c r="N708" s="2" t="str">
        <f>_xlfn.XLOOKUP(Deals[[#This Row],[CustomerID]],Customers!A:A,Customers!E:E)</f>
        <v>Kuwaiti</v>
      </c>
      <c r="O708" s="2">
        <f>2026-_xlfn.XLOOKUP(Deals[[#This Row],[CustomerID]],Customers!A:A,Customers!D:D)</f>
        <v>36</v>
      </c>
      <c r="P708" s="2" t="str" cm="1">
        <f t="array" ref="P708">_xlfn.IFS(Deals[[#This Row],[Age]]&lt;30,"Under 30",Deals[[#This Row],[Age]]&lt;45,"30-44",TRUE,"45+")</f>
        <v>30-44</v>
      </c>
      <c r="Q708" s="21">
        <f>IF(Deals[[#This Row],[Status]]="Pending","",Deals[[#This Row],[DecisionDate]]-Deals[[#This Row],[ApplicationDate]])</f>
        <v>2</v>
      </c>
      <c r="R708" s="21">
        <f>IF(Deals[[#This Row],[Status]]="Approved",1,0)</f>
        <v>0</v>
      </c>
      <c r="S708" s="21">
        <f>IF(Deals[[#This Row],[IsApproved]]=1,Deals[[#This Row],[Amount]],0)</f>
        <v>0</v>
      </c>
      <c r="T708" s="21">
        <f>Deals[[#This Row],[ApprovedAmount]]*Deals[[#This Row],[ProfitRate]]</f>
        <v>0</v>
      </c>
    </row>
    <row r="709" spans="1:20">
      <c r="A709" s="2" t="s">
        <v>1299</v>
      </c>
      <c r="B709" s="3">
        <v>46179</v>
      </c>
      <c r="C709" s="2" t="s">
        <v>1300</v>
      </c>
      <c r="D709" s="2" t="s">
        <v>14</v>
      </c>
      <c r="E709" s="2" t="s">
        <v>15</v>
      </c>
      <c r="F709" s="2" t="s">
        <v>31</v>
      </c>
      <c r="G709" s="4">
        <v>23100</v>
      </c>
      <c r="H709" s="5">
        <v>6.83E-2</v>
      </c>
      <c r="I709" s="2">
        <v>12</v>
      </c>
      <c r="J709" s="2" t="s">
        <v>40</v>
      </c>
      <c r="K709" s="2" t="s">
        <v>17</v>
      </c>
      <c r="L709" s="3">
        <v>46184</v>
      </c>
      <c r="M709" s="2" t="str">
        <f>_xlfn.XLOOKUP(Deals[[#This Row],[CustomerID]],Customers!A:A,Customers!F:F)</f>
        <v>Mass</v>
      </c>
      <c r="N709" s="2" t="str">
        <f>_xlfn.XLOOKUP(Deals[[#This Row],[CustomerID]],Customers!A:A,Customers!E:E)</f>
        <v>Kuwaiti</v>
      </c>
      <c r="O709" s="2">
        <f>2026-_xlfn.XLOOKUP(Deals[[#This Row],[CustomerID]],Customers!A:A,Customers!D:D)</f>
        <v>25</v>
      </c>
      <c r="P709" s="2" t="str" cm="1">
        <f t="array" ref="P709">_xlfn.IFS(Deals[[#This Row],[Age]]&lt;30,"Under 30",Deals[[#This Row],[Age]]&lt;45,"30-44",TRUE,"45+")</f>
        <v>Under 30</v>
      </c>
      <c r="Q709" s="21">
        <f>IF(Deals[[#This Row],[Status]]="Pending","",Deals[[#This Row],[DecisionDate]]-Deals[[#This Row],[ApplicationDate]])</f>
        <v>5</v>
      </c>
      <c r="R709" s="21">
        <f>IF(Deals[[#This Row],[Status]]="Approved",1,0)</f>
        <v>1</v>
      </c>
      <c r="S709" s="21">
        <f>IF(Deals[[#This Row],[IsApproved]]=1,Deals[[#This Row],[Amount]],0)</f>
        <v>23100</v>
      </c>
      <c r="T709" s="21">
        <f>Deals[[#This Row],[ApprovedAmount]]*Deals[[#This Row],[ProfitRate]]</f>
        <v>1577.73</v>
      </c>
    </row>
    <row r="710" spans="1:20">
      <c r="A710" s="2" t="s">
        <v>1301</v>
      </c>
      <c r="B710" s="3">
        <v>46179</v>
      </c>
      <c r="C710" s="2" t="s">
        <v>1302</v>
      </c>
      <c r="D710" s="2" t="s">
        <v>20</v>
      </c>
      <c r="E710" s="2" t="s">
        <v>30</v>
      </c>
      <c r="F710" s="2" t="s">
        <v>3</v>
      </c>
      <c r="G710" s="4">
        <v>10100</v>
      </c>
      <c r="H710" s="5">
        <v>4.2000000000000003E-2</v>
      </c>
      <c r="I710" s="2">
        <v>48</v>
      </c>
      <c r="J710" s="2" t="s">
        <v>44</v>
      </c>
      <c r="K710" s="2" t="s">
        <v>45</v>
      </c>
      <c r="L710" s="3">
        <v>46181</v>
      </c>
      <c r="M710" s="2" t="str">
        <f>_xlfn.XLOOKUP(Deals[[#This Row],[CustomerID]],Customers!A:A,Customers!F:F)</f>
        <v>Affluent</v>
      </c>
      <c r="N710" s="2" t="str">
        <f>_xlfn.XLOOKUP(Deals[[#This Row],[CustomerID]],Customers!A:A,Customers!E:E)</f>
        <v>Kuwaiti</v>
      </c>
      <c r="O710" s="2">
        <f>2026-_xlfn.XLOOKUP(Deals[[#This Row],[CustomerID]],Customers!A:A,Customers!D:D)</f>
        <v>31</v>
      </c>
      <c r="P710" s="2" t="str" cm="1">
        <f t="array" ref="P710">_xlfn.IFS(Deals[[#This Row],[Age]]&lt;30,"Under 30",Deals[[#This Row],[Age]]&lt;45,"30-44",TRUE,"45+")</f>
        <v>30-44</v>
      </c>
      <c r="Q710" s="21">
        <f>IF(Deals[[#This Row],[Status]]="Pending","",Deals[[#This Row],[DecisionDate]]-Deals[[#This Row],[ApplicationDate]])</f>
        <v>2</v>
      </c>
      <c r="R710" s="21">
        <f>IF(Deals[[#This Row],[Status]]="Approved",1,0)</f>
        <v>0</v>
      </c>
      <c r="S710" s="21">
        <f>IF(Deals[[#This Row],[IsApproved]]=1,Deals[[#This Row],[Amount]],0)</f>
        <v>0</v>
      </c>
      <c r="T710" s="21">
        <f>Deals[[#This Row],[ApprovedAmount]]*Deals[[#This Row],[ProfitRate]]</f>
        <v>0</v>
      </c>
    </row>
    <row r="711" spans="1:20">
      <c r="A711" s="2" t="s">
        <v>1303</v>
      </c>
      <c r="B711" s="3">
        <v>46179</v>
      </c>
      <c r="C711" s="2" t="s">
        <v>127</v>
      </c>
      <c r="D711" s="2" t="s">
        <v>20</v>
      </c>
      <c r="E711" s="2" t="s">
        <v>15</v>
      </c>
      <c r="F711" s="2" t="s">
        <v>55</v>
      </c>
      <c r="G711" s="4">
        <v>25000</v>
      </c>
      <c r="H711" s="5">
        <v>5.0799999999999998E-2</v>
      </c>
      <c r="I711" s="2">
        <v>36</v>
      </c>
      <c r="J711" s="2" t="s">
        <v>22</v>
      </c>
      <c r="K711" s="2" t="s">
        <v>17</v>
      </c>
      <c r="L711" s="3">
        <v>46182</v>
      </c>
      <c r="M711" s="2" t="str">
        <f>_xlfn.XLOOKUP(Deals[[#This Row],[CustomerID]],Customers!A:A,Customers!F:F)</f>
        <v>Affluent</v>
      </c>
      <c r="N711" s="2" t="str">
        <f>_xlfn.XLOOKUP(Deals[[#This Row],[CustomerID]],Customers!A:A,Customers!E:E)</f>
        <v>Non-Kuwaiti</v>
      </c>
      <c r="O711" s="2">
        <f>2026-_xlfn.XLOOKUP(Deals[[#This Row],[CustomerID]],Customers!A:A,Customers!D:D)</f>
        <v>25</v>
      </c>
      <c r="P711" s="2" t="str" cm="1">
        <f t="array" ref="P711">_xlfn.IFS(Deals[[#This Row],[Age]]&lt;30,"Under 30",Deals[[#This Row],[Age]]&lt;45,"30-44",TRUE,"45+")</f>
        <v>Under 30</v>
      </c>
      <c r="Q711" s="21">
        <f>IF(Deals[[#This Row],[Status]]="Pending","",Deals[[#This Row],[DecisionDate]]-Deals[[#This Row],[ApplicationDate]])</f>
        <v>3</v>
      </c>
      <c r="R711" s="21">
        <f>IF(Deals[[#This Row],[Status]]="Approved",1,0)</f>
        <v>1</v>
      </c>
      <c r="S711" s="21">
        <f>IF(Deals[[#This Row],[IsApproved]]=1,Deals[[#This Row],[Amount]],0)</f>
        <v>25000</v>
      </c>
      <c r="T711" s="21">
        <f>Deals[[#This Row],[ApprovedAmount]]*Deals[[#This Row],[ProfitRate]]</f>
        <v>1270</v>
      </c>
    </row>
    <row r="712" spans="1:20">
      <c r="A712" s="2" t="s">
        <v>1304</v>
      </c>
      <c r="B712" s="3">
        <v>46179</v>
      </c>
      <c r="C712" s="2" t="s">
        <v>1305</v>
      </c>
      <c r="D712" s="2" t="s">
        <v>25</v>
      </c>
      <c r="E712" s="2" t="s">
        <v>43</v>
      </c>
      <c r="F712" s="2" t="s">
        <v>55</v>
      </c>
      <c r="G712" s="4">
        <v>57900</v>
      </c>
      <c r="H712" s="5">
        <v>6.2899999999999998E-2</v>
      </c>
      <c r="I712" s="2">
        <v>36</v>
      </c>
      <c r="J712" s="2" t="s">
        <v>26</v>
      </c>
      <c r="K712" s="2" t="s">
        <v>45</v>
      </c>
      <c r="L712" s="3">
        <v>46196</v>
      </c>
      <c r="M712" s="2" t="str">
        <f>_xlfn.XLOOKUP(Deals[[#This Row],[CustomerID]],Customers!A:A,Customers!F:F)</f>
        <v>Mass</v>
      </c>
      <c r="N712" s="2" t="str">
        <f>_xlfn.XLOOKUP(Deals[[#This Row],[CustomerID]],Customers!A:A,Customers!E:E)</f>
        <v>Kuwaiti</v>
      </c>
      <c r="O712" s="2">
        <f>2026-_xlfn.XLOOKUP(Deals[[#This Row],[CustomerID]],Customers!A:A,Customers!D:D)</f>
        <v>43</v>
      </c>
      <c r="P712" s="2" t="str" cm="1">
        <f t="array" ref="P712">_xlfn.IFS(Deals[[#This Row],[Age]]&lt;30,"Under 30",Deals[[#This Row],[Age]]&lt;45,"30-44",TRUE,"45+")</f>
        <v>30-44</v>
      </c>
      <c r="Q712" s="21">
        <f>IF(Deals[[#This Row],[Status]]="Pending","",Deals[[#This Row],[DecisionDate]]-Deals[[#This Row],[ApplicationDate]])</f>
        <v>17</v>
      </c>
      <c r="R712" s="21">
        <f>IF(Deals[[#This Row],[Status]]="Approved",1,0)</f>
        <v>0</v>
      </c>
      <c r="S712" s="21">
        <f>IF(Deals[[#This Row],[IsApproved]]=1,Deals[[#This Row],[Amount]],0)</f>
        <v>0</v>
      </c>
      <c r="T712" s="21">
        <f>Deals[[#This Row],[ApprovedAmount]]*Deals[[#This Row],[ProfitRate]]</f>
        <v>0</v>
      </c>
    </row>
    <row r="713" spans="1:20">
      <c r="A713" s="2" t="s">
        <v>1306</v>
      </c>
      <c r="B713" s="3">
        <v>46179</v>
      </c>
      <c r="C713" s="2" t="s">
        <v>940</v>
      </c>
      <c r="D713" s="2" t="s">
        <v>71</v>
      </c>
      <c r="E713" s="2" t="s">
        <v>30</v>
      </c>
      <c r="F713" s="2" t="s">
        <v>3</v>
      </c>
      <c r="G713" s="4">
        <v>13400</v>
      </c>
      <c r="H713" s="5">
        <v>4.6399999999999997E-2</v>
      </c>
      <c r="I713" s="2">
        <v>36</v>
      </c>
      <c r="J713" s="2" t="s">
        <v>94</v>
      </c>
      <c r="K713" s="2" t="s">
        <v>17</v>
      </c>
      <c r="L713" s="3">
        <v>46184</v>
      </c>
      <c r="M713" s="2" t="str">
        <f>_xlfn.XLOOKUP(Deals[[#This Row],[CustomerID]],Customers!A:A,Customers!F:F)</f>
        <v>Mass</v>
      </c>
      <c r="N713" s="2" t="str">
        <f>_xlfn.XLOOKUP(Deals[[#This Row],[CustomerID]],Customers!A:A,Customers!E:E)</f>
        <v>Non-Kuwaiti</v>
      </c>
      <c r="O713" s="2">
        <f>2026-_xlfn.XLOOKUP(Deals[[#This Row],[CustomerID]],Customers!A:A,Customers!D:D)</f>
        <v>25</v>
      </c>
      <c r="P713" s="2" t="str" cm="1">
        <f t="array" ref="P713">_xlfn.IFS(Deals[[#This Row],[Age]]&lt;30,"Under 30",Deals[[#This Row],[Age]]&lt;45,"30-44",TRUE,"45+")</f>
        <v>Under 30</v>
      </c>
      <c r="Q713" s="21">
        <f>IF(Deals[[#This Row],[Status]]="Pending","",Deals[[#This Row],[DecisionDate]]-Deals[[#This Row],[ApplicationDate]])</f>
        <v>5</v>
      </c>
      <c r="R713" s="21">
        <f>IF(Deals[[#This Row],[Status]]="Approved",1,0)</f>
        <v>1</v>
      </c>
      <c r="S713" s="21">
        <f>IF(Deals[[#This Row],[IsApproved]]=1,Deals[[#This Row],[Amount]],0)</f>
        <v>13400</v>
      </c>
      <c r="T713" s="21">
        <f>Deals[[#This Row],[ApprovedAmount]]*Deals[[#This Row],[ProfitRate]]</f>
        <v>621.76</v>
      </c>
    </row>
    <row r="714" spans="1:20">
      <c r="A714" s="2" t="s">
        <v>1307</v>
      </c>
      <c r="B714" s="3">
        <v>46180</v>
      </c>
      <c r="C714" s="2" t="s">
        <v>1308</v>
      </c>
      <c r="D714" s="2" t="s">
        <v>20</v>
      </c>
      <c r="E714" s="2" t="s">
        <v>15</v>
      </c>
      <c r="F714" s="2" t="s">
        <v>55</v>
      </c>
      <c r="G714" s="4">
        <v>16200</v>
      </c>
      <c r="H714" s="5">
        <v>5.1999999999999998E-2</v>
      </c>
      <c r="I714" s="2">
        <v>60</v>
      </c>
      <c r="J714" s="2" t="s">
        <v>44</v>
      </c>
      <c r="K714" s="2" t="s">
        <v>17</v>
      </c>
      <c r="L714" s="3">
        <v>46181</v>
      </c>
      <c r="M714" s="2" t="str">
        <f>_xlfn.XLOOKUP(Deals[[#This Row],[CustomerID]],Customers!A:A,Customers!F:F)</f>
        <v>Mass</v>
      </c>
      <c r="N714" s="2" t="str">
        <f>_xlfn.XLOOKUP(Deals[[#This Row],[CustomerID]],Customers!A:A,Customers!E:E)</f>
        <v>Non-Kuwaiti</v>
      </c>
      <c r="O714" s="2">
        <f>2026-_xlfn.XLOOKUP(Deals[[#This Row],[CustomerID]],Customers!A:A,Customers!D:D)</f>
        <v>47</v>
      </c>
      <c r="P714" s="2" t="str" cm="1">
        <f t="array" ref="P714">_xlfn.IFS(Deals[[#This Row],[Age]]&lt;30,"Under 30",Deals[[#This Row],[Age]]&lt;45,"30-44",TRUE,"45+")</f>
        <v>45+</v>
      </c>
      <c r="Q714" s="21">
        <f>IF(Deals[[#This Row],[Status]]="Pending","",Deals[[#This Row],[DecisionDate]]-Deals[[#This Row],[ApplicationDate]])</f>
        <v>1</v>
      </c>
      <c r="R714" s="21">
        <f>IF(Deals[[#This Row],[Status]]="Approved",1,0)</f>
        <v>1</v>
      </c>
      <c r="S714" s="21">
        <f>IF(Deals[[#This Row],[IsApproved]]=1,Deals[[#This Row],[Amount]],0)</f>
        <v>16200</v>
      </c>
      <c r="T714" s="21">
        <f>Deals[[#This Row],[ApprovedAmount]]*Deals[[#This Row],[ProfitRate]]</f>
        <v>842.4</v>
      </c>
    </row>
    <row r="715" spans="1:20">
      <c r="A715" s="2" t="s">
        <v>1309</v>
      </c>
      <c r="B715" s="3">
        <v>46180</v>
      </c>
      <c r="C715" s="2" t="s">
        <v>1310</v>
      </c>
      <c r="D715" s="2" t="s">
        <v>20</v>
      </c>
      <c r="E715" s="2" t="s">
        <v>15</v>
      </c>
      <c r="F715" s="2" t="s">
        <v>55</v>
      </c>
      <c r="G715" s="4">
        <v>10600</v>
      </c>
      <c r="H715" s="5">
        <v>5.79E-2</v>
      </c>
      <c r="I715" s="2">
        <v>48</v>
      </c>
      <c r="J715" s="2" t="s">
        <v>37</v>
      </c>
      <c r="K715" s="2" t="s">
        <v>45</v>
      </c>
      <c r="L715" s="3">
        <v>46181</v>
      </c>
      <c r="M715" s="2" t="str">
        <f>_xlfn.XLOOKUP(Deals[[#This Row],[CustomerID]],Customers!A:A,Customers!F:F)</f>
        <v>Mass</v>
      </c>
      <c r="N715" s="2" t="str">
        <f>_xlfn.XLOOKUP(Deals[[#This Row],[CustomerID]],Customers!A:A,Customers!E:E)</f>
        <v>Kuwaiti</v>
      </c>
      <c r="O715" s="2">
        <f>2026-_xlfn.XLOOKUP(Deals[[#This Row],[CustomerID]],Customers!A:A,Customers!D:D)</f>
        <v>55</v>
      </c>
      <c r="P715" s="2" t="str" cm="1">
        <f t="array" ref="P715">_xlfn.IFS(Deals[[#This Row],[Age]]&lt;30,"Under 30",Deals[[#This Row],[Age]]&lt;45,"30-44",TRUE,"45+")</f>
        <v>45+</v>
      </c>
      <c r="Q715" s="21">
        <f>IF(Deals[[#This Row],[Status]]="Pending","",Deals[[#This Row],[DecisionDate]]-Deals[[#This Row],[ApplicationDate]])</f>
        <v>1</v>
      </c>
      <c r="R715" s="21">
        <f>IF(Deals[[#This Row],[Status]]="Approved",1,0)</f>
        <v>0</v>
      </c>
      <c r="S715" s="21">
        <f>IF(Deals[[#This Row],[IsApproved]]=1,Deals[[#This Row],[Amount]],0)</f>
        <v>0</v>
      </c>
      <c r="T715" s="21">
        <f>Deals[[#This Row],[ApprovedAmount]]*Deals[[#This Row],[ProfitRate]]</f>
        <v>0</v>
      </c>
    </row>
    <row r="716" spans="1:20">
      <c r="A716" s="2" t="s">
        <v>1311</v>
      </c>
      <c r="B716" s="3">
        <v>46180</v>
      </c>
      <c r="C716" s="2" t="s">
        <v>185</v>
      </c>
      <c r="D716" s="2" t="s">
        <v>14</v>
      </c>
      <c r="E716" s="2" t="s">
        <v>15</v>
      </c>
      <c r="F716" s="2" t="s">
        <v>55</v>
      </c>
      <c r="G716" s="4">
        <v>10200</v>
      </c>
      <c r="H716" s="5">
        <v>5.6099999999999997E-2</v>
      </c>
      <c r="I716" s="2">
        <v>36</v>
      </c>
      <c r="J716" s="2" t="s">
        <v>48</v>
      </c>
      <c r="K716" s="2" t="s">
        <v>17</v>
      </c>
      <c r="L716" s="3">
        <v>46183</v>
      </c>
      <c r="M716" s="2" t="str">
        <f>_xlfn.XLOOKUP(Deals[[#This Row],[CustomerID]],Customers!A:A,Customers!F:F)</f>
        <v>Affluent</v>
      </c>
      <c r="N716" s="2" t="str">
        <f>_xlfn.XLOOKUP(Deals[[#This Row],[CustomerID]],Customers!A:A,Customers!E:E)</f>
        <v>Non-Kuwaiti</v>
      </c>
      <c r="O716" s="2">
        <f>2026-_xlfn.XLOOKUP(Deals[[#This Row],[CustomerID]],Customers!A:A,Customers!D:D)</f>
        <v>53</v>
      </c>
      <c r="P716" s="2" t="str" cm="1">
        <f t="array" ref="P716">_xlfn.IFS(Deals[[#This Row],[Age]]&lt;30,"Under 30",Deals[[#This Row],[Age]]&lt;45,"30-44",TRUE,"45+")</f>
        <v>45+</v>
      </c>
      <c r="Q716" s="21">
        <f>IF(Deals[[#This Row],[Status]]="Pending","",Deals[[#This Row],[DecisionDate]]-Deals[[#This Row],[ApplicationDate]])</f>
        <v>3</v>
      </c>
      <c r="R716" s="21">
        <f>IF(Deals[[#This Row],[Status]]="Approved",1,0)</f>
        <v>1</v>
      </c>
      <c r="S716" s="21">
        <f>IF(Deals[[#This Row],[IsApproved]]=1,Deals[[#This Row],[Amount]],0)</f>
        <v>10200</v>
      </c>
      <c r="T716" s="21">
        <f>Deals[[#This Row],[ApprovedAmount]]*Deals[[#This Row],[ProfitRate]]</f>
        <v>572.21999999999991</v>
      </c>
    </row>
    <row r="717" spans="1:20">
      <c r="A717" s="2" t="s">
        <v>1312</v>
      </c>
      <c r="B717" s="3">
        <v>46180</v>
      </c>
      <c r="C717" s="2" t="s">
        <v>590</v>
      </c>
      <c r="D717" s="2" t="s">
        <v>14</v>
      </c>
      <c r="E717" s="2" t="s">
        <v>15</v>
      </c>
      <c r="F717" s="2" t="s">
        <v>3</v>
      </c>
      <c r="G717" s="4">
        <v>8200</v>
      </c>
      <c r="H717" s="5">
        <v>5.9900000000000002E-2</v>
      </c>
      <c r="I717" s="2">
        <v>60</v>
      </c>
      <c r="J717" s="2" t="s">
        <v>48</v>
      </c>
      <c r="K717" s="2" t="s">
        <v>17</v>
      </c>
      <c r="L717" s="3">
        <v>46183</v>
      </c>
      <c r="M717" s="2" t="str">
        <f>_xlfn.XLOOKUP(Deals[[#This Row],[CustomerID]],Customers!A:A,Customers!F:F)</f>
        <v>Mass</v>
      </c>
      <c r="N717" s="2" t="str">
        <f>_xlfn.XLOOKUP(Deals[[#This Row],[CustomerID]],Customers!A:A,Customers!E:E)</f>
        <v>Kuwaiti</v>
      </c>
      <c r="O717" s="2">
        <f>2026-_xlfn.XLOOKUP(Deals[[#This Row],[CustomerID]],Customers!A:A,Customers!D:D)</f>
        <v>26</v>
      </c>
      <c r="P717" s="2" t="str" cm="1">
        <f t="array" ref="P717">_xlfn.IFS(Deals[[#This Row],[Age]]&lt;30,"Under 30",Deals[[#This Row],[Age]]&lt;45,"30-44",TRUE,"45+")</f>
        <v>Under 30</v>
      </c>
      <c r="Q717" s="21">
        <f>IF(Deals[[#This Row],[Status]]="Pending","",Deals[[#This Row],[DecisionDate]]-Deals[[#This Row],[ApplicationDate]])</f>
        <v>3</v>
      </c>
      <c r="R717" s="21">
        <f>IF(Deals[[#This Row],[Status]]="Approved",1,0)</f>
        <v>1</v>
      </c>
      <c r="S717" s="21">
        <f>IF(Deals[[#This Row],[IsApproved]]=1,Deals[[#This Row],[Amount]],0)</f>
        <v>8200</v>
      </c>
      <c r="T717" s="21">
        <f>Deals[[#This Row],[ApprovedAmount]]*Deals[[#This Row],[ProfitRate]]</f>
        <v>491.18</v>
      </c>
    </row>
    <row r="718" spans="1:20">
      <c r="A718" s="2" t="s">
        <v>1313</v>
      </c>
      <c r="B718" s="3">
        <v>46180</v>
      </c>
      <c r="C718" s="2" t="s">
        <v>1314</v>
      </c>
      <c r="D718" s="2" t="s">
        <v>25</v>
      </c>
      <c r="E718" s="2" t="s">
        <v>43</v>
      </c>
      <c r="F718" s="2" t="s">
        <v>31</v>
      </c>
      <c r="G718" s="4">
        <v>141700</v>
      </c>
      <c r="H718" s="5">
        <v>6.8099999999999994E-2</v>
      </c>
      <c r="I718" s="2">
        <v>24</v>
      </c>
      <c r="J718" s="2" t="s">
        <v>181</v>
      </c>
      <c r="K718" s="2" t="s">
        <v>17</v>
      </c>
      <c r="L718" s="3">
        <v>46198</v>
      </c>
      <c r="M718" s="2" t="str">
        <f>_xlfn.XLOOKUP(Deals[[#This Row],[CustomerID]],Customers!A:A,Customers!F:F)</f>
        <v>Affluent</v>
      </c>
      <c r="N718" s="2" t="str">
        <f>_xlfn.XLOOKUP(Deals[[#This Row],[CustomerID]],Customers!A:A,Customers!E:E)</f>
        <v>Kuwaiti</v>
      </c>
      <c r="O718" s="2">
        <f>2026-_xlfn.XLOOKUP(Deals[[#This Row],[CustomerID]],Customers!A:A,Customers!D:D)</f>
        <v>36</v>
      </c>
      <c r="P718" s="2" t="str" cm="1">
        <f t="array" ref="P718">_xlfn.IFS(Deals[[#This Row],[Age]]&lt;30,"Under 30",Deals[[#This Row],[Age]]&lt;45,"30-44",TRUE,"45+")</f>
        <v>30-44</v>
      </c>
      <c r="Q718" s="21">
        <f>IF(Deals[[#This Row],[Status]]="Pending","",Deals[[#This Row],[DecisionDate]]-Deals[[#This Row],[ApplicationDate]])</f>
        <v>18</v>
      </c>
      <c r="R718" s="21">
        <f>IF(Deals[[#This Row],[Status]]="Approved",1,0)</f>
        <v>1</v>
      </c>
      <c r="S718" s="21">
        <f>IF(Deals[[#This Row],[IsApproved]]=1,Deals[[#This Row],[Amount]],0)</f>
        <v>141700</v>
      </c>
      <c r="T718" s="21">
        <f>Deals[[#This Row],[ApprovedAmount]]*Deals[[#This Row],[ProfitRate]]</f>
        <v>9649.7699999999986</v>
      </c>
    </row>
    <row r="719" spans="1:20">
      <c r="A719" s="2" t="s">
        <v>1315</v>
      </c>
      <c r="B719" s="3">
        <v>46180</v>
      </c>
      <c r="C719" s="2" t="s">
        <v>758</v>
      </c>
      <c r="D719" s="2" t="s">
        <v>54</v>
      </c>
      <c r="E719" s="2" t="s">
        <v>15</v>
      </c>
      <c r="F719" s="2" t="s">
        <v>3</v>
      </c>
      <c r="G719" s="4">
        <v>22100</v>
      </c>
      <c r="H719" s="5">
        <v>6.8900000000000003E-2</v>
      </c>
      <c r="I719" s="2">
        <v>12</v>
      </c>
      <c r="J719" s="2" t="s">
        <v>56</v>
      </c>
      <c r="K719" s="2" t="s">
        <v>17</v>
      </c>
      <c r="L719" s="3">
        <v>46183</v>
      </c>
      <c r="M719" s="2" t="str">
        <f>_xlfn.XLOOKUP(Deals[[#This Row],[CustomerID]],Customers!A:A,Customers!F:F)</f>
        <v>Mass</v>
      </c>
      <c r="N719" s="2" t="str">
        <f>_xlfn.XLOOKUP(Deals[[#This Row],[CustomerID]],Customers!A:A,Customers!E:E)</f>
        <v>Kuwaiti</v>
      </c>
      <c r="O719" s="2">
        <f>2026-_xlfn.XLOOKUP(Deals[[#This Row],[CustomerID]],Customers!A:A,Customers!D:D)</f>
        <v>39</v>
      </c>
      <c r="P719" s="2" t="str" cm="1">
        <f t="array" ref="P719">_xlfn.IFS(Deals[[#This Row],[Age]]&lt;30,"Under 30",Deals[[#This Row],[Age]]&lt;45,"30-44",TRUE,"45+")</f>
        <v>30-44</v>
      </c>
      <c r="Q719" s="21">
        <f>IF(Deals[[#This Row],[Status]]="Pending","",Deals[[#This Row],[DecisionDate]]-Deals[[#This Row],[ApplicationDate]])</f>
        <v>3</v>
      </c>
      <c r="R719" s="21">
        <f>IF(Deals[[#This Row],[Status]]="Approved",1,0)</f>
        <v>1</v>
      </c>
      <c r="S719" s="21">
        <f>IF(Deals[[#This Row],[IsApproved]]=1,Deals[[#This Row],[Amount]],0)</f>
        <v>22100</v>
      </c>
      <c r="T719" s="21">
        <f>Deals[[#This Row],[ApprovedAmount]]*Deals[[#This Row],[ProfitRate]]</f>
        <v>1522.69</v>
      </c>
    </row>
    <row r="720" spans="1:20">
      <c r="A720" s="2" t="s">
        <v>1316</v>
      </c>
      <c r="B720" s="3">
        <v>46181</v>
      </c>
      <c r="C720" s="2" t="s">
        <v>755</v>
      </c>
      <c r="D720" s="2" t="s">
        <v>54</v>
      </c>
      <c r="E720" s="2" t="s">
        <v>15</v>
      </c>
      <c r="F720" s="2" t="s">
        <v>31</v>
      </c>
      <c r="G720" s="4">
        <v>15800</v>
      </c>
      <c r="H720" s="5">
        <v>6.5799999999999997E-2</v>
      </c>
      <c r="I720" s="2">
        <v>48</v>
      </c>
      <c r="J720" s="2" t="s">
        <v>148</v>
      </c>
      <c r="K720" s="2" t="s">
        <v>17</v>
      </c>
      <c r="L720" s="3">
        <v>46185</v>
      </c>
      <c r="M720" s="2" t="str">
        <f>_xlfn.XLOOKUP(Deals[[#This Row],[CustomerID]],Customers!A:A,Customers!F:F)</f>
        <v>Mass</v>
      </c>
      <c r="N720" s="2" t="str">
        <f>_xlfn.XLOOKUP(Deals[[#This Row],[CustomerID]],Customers!A:A,Customers!E:E)</f>
        <v>Kuwaiti</v>
      </c>
      <c r="O720" s="2">
        <f>2026-_xlfn.XLOOKUP(Deals[[#This Row],[CustomerID]],Customers!A:A,Customers!D:D)</f>
        <v>38</v>
      </c>
      <c r="P720" s="2" t="str" cm="1">
        <f t="array" ref="P720">_xlfn.IFS(Deals[[#This Row],[Age]]&lt;30,"Under 30",Deals[[#This Row],[Age]]&lt;45,"30-44",TRUE,"45+")</f>
        <v>30-44</v>
      </c>
      <c r="Q720" s="21">
        <f>IF(Deals[[#This Row],[Status]]="Pending","",Deals[[#This Row],[DecisionDate]]-Deals[[#This Row],[ApplicationDate]])</f>
        <v>4</v>
      </c>
      <c r="R720" s="21">
        <f>IF(Deals[[#This Row],[Status]]="Approved",1,0)</f>
        <v>1</v>
      </c>
      <c r="S720" s="21">
        <f>IF(Deals[[#This Row],[IsApproved]]=1,Deals[[#This Row],[Amount]],0)</f>
        <v>15800</v>
      </c>
      <c r="T720" s="21">
        <f>Deals[[#This Row],[ApprovedAmount]]*Deals[[#This Row],[ProfitRate]]</f>
        <v>1039.6399999999999</v>
      </c>
    </row>
    <row r="721" spans="1:20">
      <c r="A721" s="2" t="s">
        <v>1317</v>
      </c>
      <c r="B721" s="3">
        <v>46181</v>
      </c>
      <c r="C721" s="2" t="s">
        <v>776</v>
      </c>
      <c r="D721" s="2" t="s">
        <v>54</v>
      </c>
      <c r="E721" s="2" t="s">
        <v>30</v>
      </c>
      <c r="F721" s="2" t="s">
        <v>3</v>
      </c>
      <c r="G721" s="4">
        <v>15200</v>
      </c>
      <c r="H721" s="5">
        <v>4.99E-2</v>
      </c>
      <c r="I721" s="2">
        <v>36</v>
      </c>
      <c r="J721" s="2" t="s">
        <v>186</v>
      </c>
      <c r="K721" s="2" t="s">
        <v>17</v>
      </c>
      <c r="L721" s="3">
        <v>46185</v>
      </c>
      <c r="M721" s="2" t="str">
        <f>_xlfn.XLOOKUP(Deals[[#This Row],[CustomerID]],Customers!A:A,Customers!F:F)</f>
        <v>Affluent</v>
      </c>
      <c r="N721" s="2" t="str">
        <f>_xlfn.XLOOKUP(Deals[[#This Row],[CustomerID]],Customers!A:A,Customers!E:E)</f>
        <v>Kuwaiti</v>
      </c>
      <c r="O721" s="2">
        <f>2026-_xlfn.XLOOKUP(Deals[[#This Row],[CustomerID]],Customers!A:A,Customers!D:D)</f>
        <v>26</v>
      </c>
      <c r="P721" s="2" t="str" cm="1">
        <f t="array" ref="P721">_xlfn.IFS(Deals[[#This Row],[Age]]&lt;30,"Under 30",Deals[[#This Row],[Age]]&lt;45,"30-44",TRUE,"45+")</f>
        <v>Under 30</v>
      </c>
      <c r="Q721" s="21">
        <f>IF(Deals[[#This Row],[Status]]="Pending","",Deals[[#This Row],[DecisionDate]]-Deals[[#This Row],[ApplicationDate]])</f>
        <v>4</v>
      </c>
      <c r="R721" s="21">
        <f>IF(Deals[[#This Row],[Status]]="Approved",1,0)</f>
        <v>1</v>
      </c>
      <c r="S721" s="21">
        <f>IF(Deals[[#This Row],[IsApproved]]=1,Deals[[#This Row],[Amount]],0)</f>
        <v>15200</v>
      </c>
      <c r="T721" s="21">
        <f>Deals[[#This Row],[ApprovedAmount]]*Deals[[#This Row],[ProfitRate]]</f>
        <v>758.48</v>
      </c>
    </row>
    <row r="722" spans="1:20">
      <c r="A722" s="2" t="s">
        <v>1318</v>
      </c>
      <c r="B722" s="3">
        <v>46181</v>
      </c>
      <c r="C722" s="2" t="s">
        <v>1319</v>
      </c>
      <c r="D722" s="2" t="s">
        <v>14</v>
      </c>
      <c r="E722" s="2" t="s">
        <v>15</v>
      </c>
      <c r="F722" s="2" t="s">
        <v>3</v>
      </c>
      <c r="G722" s="4">
        <v>20300</v>
      </c>
      <c r="H722" s="5">
        <v>5.5199999999999999E-2</v>
      </c>
      <c r="I722" s="2">
        <v>36</v>
      </c>
      <c r="J722" s="2" t="s">
        <v>48</v>
      </c>
      <c r="K722" s="2" t="s">
        <v>17</v>
      </c>
      <c r="L722" s="3">
        <v>46185</v>
      </c>
      <c r="M722" s="2" t="str">
        <f>_xlfn.XLOOKUP(Deals[[#This Row],[CustomerID]],Customers!A:A,Customers!F:F)</f>
        <v>Premium</v>
      </c>
      <c r="N722" s="2" t="str">
        <f>_xlfn.XLOOKUP(Deals[[#This Row],[CustomerID]],Customers!A:A,Customers!E:E)</f>
        <v>Kuwaiti</v>
      </c>
      <c r="O722" s="2">
        <f>2026-_xlfn.XLOOKUP(Deals[[#This Row],[CustomerID]],Customers!A:A,Customers!D:D)</f>
        <v>52</v>
      </c>
      <c r="P722" s="2" t="str" cm="1">
        <f t="array" ref="P722">_xlfn.IFS(Deals[[#This Row],[Age]]&lt;30,"Under 30",Deals[[#This Row],[Age]]&lt;45,"30-44",TRUE,"45+")</f>
        <v>45+</v>
      </c>
      <c r="Q722" s="21">
        <f>IF(Deals[[#This Row],[Status]]="Pending","",Deals[[#This Row],[DecisionDate]]-Deals[[#This Row],[ApplicationDate]])</f>
        <v>4</v>
      </c>
      <c r="R722" s="21">
        <f>IF(Deals[[#This Row],[Status]]="Approved",1,0)</f>
        <v>1</v>
      </c>
      <c r="S722" s="21">
        <f>IF(Deals[[#This Row],[IsApproved]]=1,Deals[[#This Row],[Amount]],0)</f>
        <v>20300</v>
      </c>
      <c r="T722" s="21">
        <f>Deals[[#This Row],[ApprovedAmount]]*Deals[[#This Row],[ProfitRate]]</f>
        <v>1120.56</v>
      </c>
    </row>
    <row r="723" spans="1:20">
      <c r="A723" s="2" t="s">
        <v>1320</v>
      </c>
      <c r="B723" s="3">
        <v>46181</v>
      </c>
      <c r="C723" s="2" t="s">
        <v>1321</v>
      </c>
      <c r="D723" s="2" t="s">
        <v>71</v>
      </c>
      <c r="E723" s="2" t="s">
        <v>30</v>
      </c>
      <c r="F723" s="2" t="s">
        <v>3</v>
      </c>
      <c r="G723" s="4">
        <v>12000</v>
      </c>
      <c r="H723" s="5">
        <v>3.5499999999999997E-2</v>
      </c>
      <c r="I723" s="2">
        <v>36</v>
      </c>
      <c r="J723" s="2" t="s">
        <v>72</v>
      </c>
      <c r="K723" s="2" t="s">
        <v>45</v>
      </c>
      <c r="L723" s="3">
        <v>46186</v>
      </c>
      <c r="M723" s="2" t="str">
        <f>_xlfn.XLOOKUP(Deals[[#This Row],[CustomerID]],Customers!A:A,Customers!F:F)</f>
        <v>Affluent</v>
      </c>
      <c r="N723" s="2" t="str">
        <f>_xlfn.XLOOKUP(Deals[[#This Row],[CustomerID]],Customers!A:A,Customers!E:E)</f>
        <v>Non-Kuwaiti</v>
      </c>
      <c r="O723" s="2">
        <f>2026-_xlfn.XLOOKUP(Deals[[#This Row],[CustomerID]],Customers!A:A,Customers!D:D)</f>
        <v>22</v>
      </c>
      <c r="P723" s="2" t="str" cm="1">
        <f t="array" ref="P723">_xlfn.IFS(Deals[[#This Row],[Age]]&lt;30,"Under 30",Deals[[#This Row],[Age]]&lt;45,"30-44",TRUE,"45+")</f>
        <v>Under 30</v>
      </c>
      <c r="Q723" s="21">
        <f>IF(Deals[[#This Row],[Status]]="Pending","",Deals[[#This Row],[DecisionDate]]-Deals[[#This Row],[ApplicationDate]])</f>
        <v>5</v>
      </c>
      <c r="R723" s="21">
        <f>IF(Deals[[#This Row],[Status]]="Approved",1,0)</f>
        <v>0</v>
      </c>
      <c r="S723" s="21">
        <f>IF(Deals[[#This Row],[IsApproved]]=1,Deals[[#This Row],[Amount]],0)</f>
        <v>0</v>
      </c>
      <c r="T723" s="21">
        <f>Deals[[#This Row],[ApprovedAmount]]*Deals[[#This Row],[ProfitRate]]</f>
        <v>0</v>
      </c>
    </row>
    <row r="724" spans="1:20">
      <c r="A724" s="2" t="s">
        <v>1322</v>
      </c>
      <c r="B724" s="3">
        <v>46181</v>
      </c>
      <c r="C724" s="2" t="s">
        <v>1323</v>
      </c>
      <c r="D724" s="2" t="s">
        <v>71</v>
      </c>
      <c r="E724" s="2" t="s">
        <v>15</v>
      </c>
      <c r="F724" s="2" t="s">
        <v>3</v>
      </c>
      <c r="G724" s="4">
        <v>18700</v>
      </c>
      <c r="H724" s="5">
        <v>6.0900000000000003E-2</v>
      </c>
      <c r="I724" s="2">
        <v>12</v>
      </c>
      <c r="J724" s="2" t="s">
        <v>72</v>
      </c>
      <c r="K724" s="2" t="s">
        <v>17</v>
      </c>
      <c r="L724" s="3">
        <v>46187</v>
      </c>
      <c r="M724" s="2" t="str">
        <f>_xlfn.XLOOKUP(Deals[[#This Row],[CustomerID]],Customers!A:A,Customers!F:F)</f>
        <v>Mass</v>
      </c>
      <c r="N724" s="2" t="str">
        <f>_xlfn.XLOOKUP(Deals[[#This Row],[CustomerID]],Customers!A:A,Customers!E:E)</f>
        <v>Kuwaiti</v>
      </c>
      <c r="O724" s="2">
        <f>2026-_xlfn.XLOOKUP(Deals[[#This Row],[CustomerID]],Customers!A:A,Customers!D:D)</f>
        <v>54</v>
      </c>
      <c r="P724" s="2" t="str" cm="1">
        <f t="array" ref="P724">_xlfn.IFS(Deals[[#This Row],[Age]]&lt;30,"Under 30",Deals[[#This Row],[Age]]&lt;45,"30-44",TRUE,"45+")</f>
        <v>45+</v>
      </c>
      <c r="Q724" s="21">
        <f>IF(Deals[[#This Row],[Status]]="Pending","",Deals[[#This Row],[DecisionDate]]-Deals[[#This Row],[ApplicationDate]])</f>
        <v>6</v>
      </c>
      <c r="R724" s="21">
        <f>IF(Deals[[#This Row],[Status]]="Approved",1,0)</f>
        <v>1</v>
      </c>
      <c r="S724" s="21">
        <f>IF(Deals[[#This Row],[IsApproved]]=1,Deals[[#This Row],[Amount]],0)</f>
        <v>18700</v>
      </c>
      <c r="T724" s="21">
        <f>Deals[[#This Row],[ApprovedAmount]]*Deals[[#This Row],[ProfitRate]]</f>
        <v>1138.8300000000002</v>
      </c>
    </row>
    <row r="725" spans="1:20">
      <c r="A725" s="2" t="s">
        <v>1324</v>
      </c>
      <c r="B725" s="3">
        <v>46182</v>
      </c>
      <c r="C725" s="2" t="s">
        <v>464</v>
      </c>
      <c r="D725" s="2" t="s">
        <v>14</v>
      </c>
      <c r="E725" s="2" t="s">
        <v>30</v>
      </c>
      <c r="F725" s="2" t="s">
        <v>31</v>
      </c>
      <c r="G725" s="4">
        <v>7200</v>
      </c>
      <c r="H725" s="5">
        <v>4.36E-2</v>
      </c>
      <c r="I725" s="2">
        <v>48</v>
      </c>
      <c r="J725" s="2" t="s">
        <v>16</v>
      </c>
      <c r="K725" s="2" t="s">
        <v>17</v>
      </c>
      <c r="L725" s="3">
        <v>46186</v>
      </c>
      <c r="M725" s="2" t="str">
        <f>_xlfn.XLOOKUP(Deals[[#This Row],[CustomerID]],Customers!A:A,Customers!F:F)</f>
        <v>Affluent</v>
      </c>
      <c r="N725" s="2" t="str">
        <f>_xlfn.XLOOKUP(Deals[[#This Row],[CustomerID]],Customers!A:A,Customers!E:E)</f>
        <v>Non-Kuwaiti</v>
      </c>
      <c r="O725" s="2">
        <f>2026-_xlfn.XLOOKUP(Deals[[#This Row],[CustomerID]],Customers!A:A,Customers!D:D)</f>
        <v>50</v>
      </c>
      <c r="P725" s="2" t="str" cm="1">
        <f t="array" ref="P725">_xlfn.IFS(Deals[[#This Row],[Age]]&lt;30,"Under 30",Deals[[#This Row],[Age]]&lt;45,"30-44",TRUE,"45+")</f>
        <v>45+</v>
      </c>
      <c r="Q725" s="21">
        <f>IF(Deals[[#This Row],[Status]]="Pending","",Deals[[#This Row],[DecisionDate]]-Deals[[#This Row],[ApplicationDate]])</f>
        <v>4</v>
      </c>
      <c r="R725" s="21">
        <f>IF(Deals[[#This Row],[Status]]="Approved",1,0)</f>
        <v>1</v>
      </c>
      <c r="S725" s="21">
        <f>IF(Deals[[#This Row],[IsApproved]]=1,Deals[[#This Row],[Amount]],0)</f>
        <v>7200</v>
      </c>
      <c r="T725" s="21">
        <f>Deals[[#This Row],[ApprovedAmount]]*Deals[[#This Row],[ProfitRate]]</f>
        <v>313.92</v>
      </c>
    </row>
    <row r="726" spans="1:20">
      <c r="A726" s="2" t="s">
        <v>1325</v>
      </c>
      <c r="B726" s="3">
        <v>46182</v>
      </c>
      <c r="C726" s="2" t="s">
        <v>1326</v>
      </c>
      <c r="D726" s="2" t="s">
        <v>14</v>
      </c>
      <c r="E726" s="2" t="s">
        <v>15</v>
      </c>
      <c r="F726" s="2" t="s">
        <v>31</v>
      </c>
      <c r="G726" s="4">
        <v>18800</v>
      </c>
      <c r="H726" s="5">
        <v>6.5000000000000002E-2</v>
      </c>
      <c r="I726" s="2">
        <v>24</v>
      </c>
      <c r="J726" s="2" t="s">
        <v>40</v>
      </c>
      <c r="K726" s="2" t="s">
        <v>17</v>
      </c>
      <c r="L726" s="3">
        <v>46187</v>
      </c>
      <c r="M726" s="2" t="str">
        <f>_xlfn.XLOOKUP(Deals[[#This Row],[CustomerID]],Customers!A:A,Customers!F:F)</f>
        <v>Affluent</v>
      </c>
      <c r="N726" s="2" t="str">
        <f>_xlfn.XLOOKUP(Deals[[#This Row],[CustomerID]],Customers!A:A,Customers!E:E)</f>
        <v>Kuwaiti</v>
      </c>
      <c r="O726" s="2">
        <f>2026-_xlfn.XLOOKUP(Deals[[#This Row],[CustomerID]],Customers!A:A,Customers!D:D)</f>
        <v>30</v>
      </c>
      <c r="P726" s="2" t="str" cm="1">
        <f t="array" ref="P726">_xlfn.IFS(Deals[[#This Row],[Age]]&lt;30,"Under 30",Deals[[#This Row],[Age]]&lt;45,"30-44",TRUE,"45+")</f>
        <v>30-44</v>
      </c>
      <c r="Q726" s="21">
        <f>IF(Deals[[#This Row],[Status]]="Pending","",Deals[[#This Row],[DecisionDate]]-Deals[[#This Row],[ApplicationDate]])</f>
        <v>5</v>
      </c>
      <c r="R726" s="21">
        <f>IF(Deals[[#This Row],[Status]]="Approved",1,0)</f>
        <v>1</v>
      </c>
      <c r="S726" s="21">
        <f>IF(Deals[[#This Row],[IsApproved]]=1,Deals[[#This Row],[Amount]],0)</f>
        <v>18800</v>
      </c>
      <c r="T726" s="21">
        <f>Deals[[#This Row],[ApprovedAmount]]*Deals[[#This Row],[ProfitRate]]</f>
        <v>1222</v>
      </c>
    </row>
    <row r="727" spans="1:20">
      <c r="A727" s="2" t="s">
        <v>1327</v>
      </c>
      <c r="B727" s="3">
        <v>46182</v>
      </c>
      <c r="C727" s="2" t="s">
        <v>153</v>
      </c>
      <c r="D727" s="2" t="s">
        <v>71</v>
      </c>
      <c r="E727" s="2" t="s">
        <v>30</v>
      </c>
      <c r="F727" s="2" t="s">
        <v>31</v>
      </c>
      <c r="G727" s="4">
        <v>14100</v>
      </c>
      <c r="H727" s="5">
        <v>4.4200000000000003E-2</v>
      </c>
      <c r="I727" s="2">
        <v>60</v>
      </c>
      <c r="J727" s="2" t="s">
        <v>94</v>
      </c>
      <c r="K727" s="2" t="s">
        <v>45</v>
      </c>
      <c r="L727" s="3">
        <v>46189</v>
      </c>
      <c r="M727" s="2" t="str">
        <f>_xlfn.XLOOKUP(Deals[[#This Row],[CustomerID]],Customers!A:A,Customers!F:F)</f>
        <v>Mass</v>
      </c>
      <c r="N727" s="2" t="str">
        <f>_xlfn.XLOOKUP(Deals[[#This Row],[CustomerID]],Customers!A:A,Customers!E:E)</f>
        <v>Kuwaiti</v>
      </c>
      <c r="O727" s="2">
        <f>2026-_xlfn.XLOOKUP(Deals[[#This Row],[CustomerID]],Customers!A:A,Customers!D:D)</f>
        <v>32</v>
      </c>
      <c r="P727" s="2" t="str" cm="1">
        <f t="array" ref="P727">_xlfn.IFS(Deals[[#This Row],[Age]]&lt;30,"Under 30",Deals[[#This Row],[Age]]&lt;45,"30-44",TRUE,"45+")</f>
        <v>30-44</v>
      </c>
      <c r="Q727" s="21">
        <f>IF(Deals[[#This Row],[Status]]="Pending","",Deals[[#This Row],[DecisionDate]]-Deals[[#This Row],[ApplicationDate]])</f>
        <v>7</v>
      </c>
      <c r="R727" s="21">
        <f>IF(Deals[[#This Row],[Status]]="Approved",1,0)</f>
        <v>0</v>
      </c>
      <c r="S727" s="21">
        <f>IF(Deals[[#This Row],[IsApproved]]=1,Deals[[#This Row],[Amount]],0)</f>
        <v>0</v>
      </c>
      <c r="T727" s="21">
        <f>Deals[[#This Row],[ApprovedAmount]]*Deals[[#This Row],[ProfitRate]]</f>
        <v>0</v>
      </c>
    </row>
    <row r="728" spans="1:20">
      <c r="A728" s="2" t="s">
        <v>1328</v>
      </c>
      <c r="B728" s="3">
        <v>46183</v>
      </c>
      <c r="C728" s="2" t="s">
        <v>845</v>
      </c>
      <c r="D728" s="2" t="s">
        <v>54</v>
      </c>
      <c r="E728" s="2" t="s">
        <v>43</v>
      </c>
      <c r="F728" s="2" t="s">
        <v>3</v>
      </c>
      <c r="G728" s="4">
        <v>30200</v>
      </c>
      <c r="H728" s="5">
        <v>7.6200000000000004E-2</v>
      </c>
      <c r="I728" s="2">
        <v>60</v>
      </c>
      <c r="J728" s="2" t="s">
        <v>56</v>
      </c>
      <c r="K728" s="2" t="s">
        <v>45</v>
      </c>
      <c r="L728" s="3">
        <v>46202</v>
      </c>
      <c r="M728" s="2" t="str">
        <f>_xlfn.XLOOKUP(Deals[[#This Row],[CustomerID]],Customers!A:A,Customers!F:F)</f>
        <v>Affluent</v>
      </c>
      <c r="N728" s="2" t="str">
        <f>_xlfn.XLOOKUP(Deals[[#This Row],[CustomerID]],Customers!A:A,Customers!E:E)</f>
        <v>Non-Kuwaiti</v>
      </c>
      <c r="O728" s="2">
        <f>2026-_xlfn.XLOOKUP(Deals[[#This Row],[CustomerID]],Customers!A:A,Customers!D:D)</f>
        <v>58</v>
      </c>
      <c r="P728" s="2" t="str" cm="1">
        <f t="array" ref="P728">_xlfn.IFS(Deals[[#This Row],[Age]]&lt;30,"Under 30",Deals[[#This Row],[Age]]&lt;45,"30-44",TRUE,"45+")</f>
        <v>45+</v>
      </c>
      <c r="Q728" s="21">
        <f>IF(Deals[[#This Row],[Status]]="Pending","",Deals[[#This Row],[DecisionDate]]-Deals[[#This Row],[ApplicationDate]])</f>
        <v>19</v>
      </c>
      <c r="R728" s="21">
        <f>IF(Deals[[#This Row],[Status]]="Approved",1,0)</f>
        <v>0</v>
      </c>
      <c r="S728" s="21">
        <f>IF(Deals[[#This Row],[IsApproved]]=1,Deals[[#This Row],[Amount]],0)</f>
        <v>0</v>
      </c>
      <c r="T728" s="21">
        <f>Deals[[#This Row],[ApprovedAmount]]*Deals[[#This Row],[ProfitRate]]</f>
        <v>0</v>
      </c>
    </row>
    <row r="729" spans="1:20">
      <c r="A729" s="2" t="s">
        <v>1329</v>
      </c>
      <c r="B729" s="3">
        <v>46183</v>
      </c>
      <c r="C729" s="2" t="s">
        <v>413</v>
      </c>
      <c r="D729" s="2" t="s">
        <v>25</v>
      </c>
      <c r="E729" s="2" t="s">
        <v>43</v>
      </c>
      <c r="F729" s="2" t="s">
        <v>3</v>
      </c>
      <c r="G729" s="4">
        <v>58900</v>
      </c>
      <c r="H729" s="5">
        <v>7.6100000000000001E-2</v>
      </c>
      <c r="I729" s="2">
        <v>36</v>
      </c>
      <c r="J729" s="2" t="s">
        <v>66</v>
      </c>
      <c r="K729" s="2" t="s">
        <v>45</v>
      </c>
      <c r="L729" s="3">
        <v>46193</v>
      </c>
      <c r="M729" s="2" t="str">
        <f>_xlfn.XLOOKUP(Deals[[#This Row],[CustomerID]],Customers!A:A,Customers!F:F)</f>
        <v>Mass</v>
      </c>
      <c r="N729" s="2" t="str">
        <f>_xlfn.XLOOKUP(Deals[[#This Row],[CustomerID]],Customers!A:A,Customers!E:E)</f>
        <v>Kuwaiti</v>
      </c>
      <c r="O729" s="2">
        <f>2026-_xlfn.XLOOKUP(Deals[[#This Row],[CustomerID]],Customers!A:A,Customers!D:D)</f>
        <v>39</v>
      </c>
      <c r="P729" s="2" t="str" cm="1">
        <f t="array" ref="P729">_xlfn.IFS(Deals[[#This Row],[Age]]&lt;30,"Under 30",Deals[[#This Row],[Age]]&lt;45,"30-44",TRUE,"45+")</f>
        <v>30-44</v>
      </c>
      <c r="Q729" s="21">
        <f>IF(Deals[[#This Row],[Status]]="Pending","",Deals[[#This Row],[DecisionDate]]-Deals[[#This Row],[ApplicationDate]])</f>
        <v>10</v>
      </c>
      <c r="R729" s="21">
        <f>IF(Deals[[#This Row],[Status]]="Approved",1,0)</f>
        <v>0</v>
      </c>
      <c r="S729" s="21">
        <f>IF(Deals[[#This Row],[IsApproved]]=1,Deals[[#This Row],[Amount]],0)</f>
        <v>0</v>
      </c>
      <c r="T729" s="21">
        <f>Deals[[#This Row],[ApprovedAmount]]*Deals[[#This Row],[ProfitRate]]</f>
        <v>0</v>
      </c>
    </row>
    <row r="730" spans="1:20">
      <c r="A730" s="2" t="s">
        <v>1330</v>
      </c>
      <c r="B730" s="3">
        <v>46184</v>
      </c>
      <c r="C730" s="2" t="s">
        <v>1168</v>
      </c>
      <c r="D730" s="2" t="s">
        <v>25</v>
      </c>
      <c r="E730" s="2" t="s">
        <v>15</v>
      </c>
      <c r="F730" s="2" t="s">
        <v>3</v>
      </c>
      <c r="G730" s="4">
        <v>16900</v>
      </c>
      <c r="H730" s="5">
        <v>5.8000000000000003E-2</v>
      </c>
      <c r="I730" s="2">
        <v>48</v>
      </c>
      <c r="J730" s="2" t="s">
        <v>181</v>
      </c>
      <c r="K730" s="2" t="s">
        <v>17</v>
      </c>
      <c r="L730" s="3">
        <v>46189</v>
      </c>
      <c r="M730" s="2" t="str">
        <f>_xlfn.XLOOKUP(Deals[[#This Row],[CustomerID]],Customers!A:A,Customers!F:F)</f>
        <v>Mass</v>
      </c>
      <c r="N730" s="2" t="str">
        <f>_xlfn.XLOOKUP(Deals[[#This Row],[CustomerID]],Customers!A:A,Customers!E:E)</f>
        <v>Kuwaiti</v>
      </c>
      <c r="O730" s="2">
        <f>2026-_xlfn.XLOOKUP(Deals[[#This Row],[CustomerID]],Customers!A:A,Customers!D:D)</f>
        <v>27</v>
      </c>
      <c r="P730" s="2" t="str" cm="1">
        <f t="array" ref="P730">_xlfn.IFS(Deals[[#This Row],[Age]]&lt;30,"Under 30",Deals[[#This Row],[Age]]&lt;45,"30-44",TRUE,"45+")</f>
        <v>Under 30</v>
      </c>
      <c r="Q730" s="21">
        <f>IF(Deals[[#This Row],[Status]]="Pending","",Deals[[#This Row],[DecisionDate]]-Deals[[#This Row],[ApplicationDate]])</f>
        <v>5</v>
      </c>
      <c r="R730" s="21">
        <f>IF(Deals[[#This Row],[Status]]="Approved",1,0)</f>
        <v>1</v>
      </c>
      <c r="S730" s="21">
        <f>IF(Deals[[#This Row],[IsApproved]]=1,Deals[[#This Row],[Amount]],0)</f>
        <v>16900</v>
      </c>
      <c r="T730" s="21">
        <f>Deals[[#This Row],[ApprovedAmount]]*Deals[[#This Row],[ProfitRate]]</f>
        <v>980.2</v>
      </c>
    </row>
    <row r="731" spans="1:20">
      <c r="A731" s="2" t="s">
        <v>1331</v>
      </c>
      <c r="B731" s="3">
        <v>46184</v>
      </c>
      <c r="C731" s="2" t="s">
        <v>828</v>
      </c>
      <c r="D731" s="2" t="s">
        <v>29</v>
      </c>
      <c r="E731" s="2" t="s">
        <v>30</v>
      </c>
      <c r="F731" s="2" t="s">
        <v>3</v>
      </c>
      <c r="G731" s="4">
        <v>6700</v>
      </c>
      <c r="H731" s="5">
        <v>4.7399999999999998E-2</v>
      </c>
      <c r="I731" s="2">
        <v>60</v>
      </c>
      <c r="J731" s="2" t="s">
        <v>123</v>
      </c>
      <c r="K731" s="2" t="s">
        <v>17</v>
      </c>
      <c r="L731" s="3">
        <v>46186</v>
      </c>
      <c r="M731" s="2" t="str">
        <f>_xlfn.XLOOKUP(Deals[[#This Row],[CustomerID]],Customers!A:A,Customers!F:F)</f>
        <v>Premium</v>
      </c>
      <c r="N731" s="2" t="str">
        <f>_xlfn.XLOOKUP(Deals[[#This Row],[CustomerID]],Customers!A:A,Customers!E:E)</f>
        <v>Kuwaiti</v>
      </c>
      <c r="O731" s="2">
        <f>2026-_xlfn.XLOOKUP(Deals[[#This Row],[CustomerID]],Customers!A:A,Customers!D:D)</f>
        <v>37</v>
      </c>
      <c r="P731" s="2" t="str" cm="1">
        <f t="array" ref="P731">_xlfn.IFS(Deals[[#This Row],[Age]]&lt;30,"Under 30",Deals[[#This Row],[Age]]&lt;45,"30-44",TRUE,"45+")</f>
        <v>30-44</v>
      </c>
      <c r="Q731" s="21">
        <f>IF(Deals[[#This Row],[Status]]="Pending","",Deals[[#This Row],[DecisionDate]]-Deals[[#This Row],[ApplicationDate]])</f>
        <v>2</v>
      </c>
      <c r="R731" s="21">
        <f>IF(Deals[[#This Row],[Status]]="Approved",1,0)</f>
        <v>1</v>
      </c>
      <c r="S731" s="21">
        <f>IF(Deals[[#This Row],[IsApproved]]=1,Deals[[#This Row],[Amount]],0)</f>
        <v>6700</v>
      </c>
      <c r="T731" s="21">
        <f>Deals[[#This Row],[ApprovedAmount]]*Deals[[#This Row],[ProfitRate]]</f>
        <v>317.58</v>
      </c>
    </row>
    <row r="732" spans="1:20">
      <c r="A732" s="2" t="s">
        <v>1332</v>
      </c>
      <c r="B732" s="3">
        <v>46184</v>
      </c>
      <c r="C732" s="2" t="s">
        <v>1333</v>
      </c>
      <c r="D732" s="2" t="s">
        <v>14</v>
      </c>
      <c r="E732" s="2" t="s">
        <v>43</v>
      </c>
      <c r="F732" s="2" t="s">
        <v>3</v>
      </c>
      <c r="G732" s="4">
        <v>154500</v>
      </c>
      <c r="H732" s="5">
        <v>5.7599999999999998E-2</v>
      </c>
      <c r="I732" s="2">
        <v>24</v>
      </c>
      <c r="J732" s="2" t="s">
        <v>48</v>
      </c>
      <c r="K732" s="2" t="s">
        <v>17</v>
      </c>
      <c r="L732" s="3">
        <v>46205</v>
      </c>
      <c r="M732" s="2" t="str">
        <f>_xlfn.XLOOKUP(Deals[[#This Row],[CustomerID]],Customers!A:A,Customers!F:F)</f>
        <v>Affluent</v>
      </c>
      <c r="N732" s="2" t="str">
        <f>_xlfn.XLOOKUP(Deals[[#This Row],[CustomerID]],Customers!A:A,Customers!E:E)</f>
        <v>Kuwaiti</v>
      </c>
      <c r="O732" s="2">
        <f>2026-_xlfn.XLOOKUP(Deals[[#This Row],[CustomerID]],Customers!A:A,Customers!D:D)</f>
        <v>56</v>
      </c>
      <c r="P732" s="2" t="str" cm="1">
        <f t="array" ref="P732">_xlfn.IFS(Deals[[#This Row],[Age]]&lt;30,"Under 30",Deals[[#This Row],[Age]]&lt;45,"30-44",TRUE,"45+")</f>
        <v>45+</v>
      </c>
      <c r="Q732" s="21">
        <f>IF(Deals[[#This Row],[Status]]="Pending","",Deals[[#This Row],[DecisionDate]]-Deals[[#This Row],[ApplicationDate]])</f>
        <v>21</v>
      </c>
      <c r="R732" s="21">
        <f>IF(Deals[[#This Row],[Status]]="Approved",1,0)</f>
        <v>1</v>
      </c>
      <c r="S732" s="21">
        <f>IF(Deals[[#This Row],[IsApproved]]=1,Deals[[#This Row],[Amount]],0)</f>
        <v>154500</v>
      </c>
      <c r="T732" s="21">
        <f>Deals[[#This Row],[ApprovedAmount]]*Deals[[#This Row],[ProfitRate]]</f>
        <v>8899.1999999999989</v>
      </c>
    </row>
    <row r="733" spans="1:20">
      <c r="A733" s="2" t="s">
        <v>1334</v>
      </c>
      <c r="B733" s="3">
        <v>46184</v>
      </c>
      <c r="C733" s="2" t="s">
        <v>1335</v>
      </c>
      <c r="D733" s="2" t="s">
        <v>14</v>
      </c>
      <c r="E733" s="2" t="s">
        <v>15</v>
      </c>
      <c r="F733" s="2" t="s">
        <v>55</v>
      </c>
      <c r="G733" s="4">
        <v>14600</v>
      </c>
      <c r="H733" s="5">
        <v>6.5500000000000003E-2</v>
      </c>
      <c r="I733" s="2">
        <v>48</v>
      </c>
      <c r="J733" s="2" t="s">
        <v>40</v>
      </c>
      <c r="K733" s="2" t="s">
        <v>17</v>
      </c>
      <c r="L733" s="3">
        <v>46191</v>
      </c>
      <c r="M733" s="2" t="str">
        <f>_xlfn.XLOOKUP(Deals[[#This Row],[CustomerID]],Customers!A:A,Customers!F:F)</f>
        <v>Mass</v>
      </c>
      <c r="N733" s="2" t="str">
        <f>_xlfn.XLOOKUP(Deals[[#This Row],[CustomerID]],Customers!A:A,Customers!E:E)</f>
        <v>Kuwaiti</v>
      </c>
      <c r="O733" s="2">
        <f>2026-_xlfn.XLOOKUP(Deals[[#This Row],[CustomerID]],Customers!A:A,Customers!D:D)</f>
        <v>47</v>
      </c>
      <c r="P733" s="2" t="str" cm="1">
        <f t="array" ref="P733">_xlfn.IFS(Deals[[#This Row],[Age]]&lt;30,"Under 30",Deals[[#This Row],[Age]]&lt;45,"30-44",TRUE,"45+")</f>
        <v>45+</v>
      </c>
      <c r="Q733" s="21">
        <f>IF(Deals[[#This Row],[Status]]="Pending","",Deals[[#This Row],[DecisionDate]]-Deals[[#This Row],[ApplicationDate]])</f>
        <v>7</v>
      </c>
      <c r="R733" s="21">
        <f>IF(Deals[[#This Row],[Status]]="Approved",1,0)</f>
        <v>1</v>
      </c>
      <c r="S733" s="21">
        <f>IF(Deals[[#This Row],[IsApproved]]=1,Deals[[#This Row],[Amount]],0)</f>
        <v>14600</v>
      </c>
      <c r="T733" s="21">
        <f>Deals[[#This Row],[ApprovedAmount]]*Deals[[#This Row],[ProfitRate]]</f>
        <v>956.30000000000007</v>
      </c>
    </row>
    <row r="734" spans="1:20">
      <c r="A734" s="2" t="s">
        <v>1336</v>
      </c>
      <c r="B734" s="3">
        <v>46184</v>
      </c>
      <c r="C734" s="2" t="s">
        <v>1194</v>
      </c>
      <c r="D734" s="2" t="s">
        <v>71</v>
      </c>
      <c r="E734" s="2" t="s">
        <v>43</v>
      </c>
      <c r="F734" s="2" t="s">
        <v>3</v>
      </c>
      <c r="G734" s="4">
        <v>117500</v>
      </c>
      <c r="H734" s="5">
        <v>5.8599999999999999E-2</v>
      </c>
      <c r="I734" s="2">
        <v>36</v>
      </c>
      <c r="J734" s="2" t="s">
        <v>94</v>
      </c>
      <c r="K734" s="2" t="s">
        <v>45</v>
      </c>
      <c r="L734" s="3">
        <v>46197</v>
      </c>
      <c r="M734" s="2" t="str">
        <f>_xlfn.XLOOKUP(Deals[[#This Row],[CustomerID]],Customers!A:A,Customers!F:F)</f>
        <v>Affluent</v>
      </c>
      <c r="N734" s="2" t="str">
        <f>_xlfn.XLOOKUP(Deals[[#This Row],[CustomerID]],Customers!A:A,Customers!E:E)</f>
        <v>Kuwaiti</v>
      </c>
      <c r="O734" s="2">
        <f>2026-_xlfn.XLOOKUP(Deals[[#This Row],[CustomerID]],Customers!A:A,Customers!D:D)</f>
        <v>30</v>
      </c>
      <c r="P734" s="2" t="str" cm="1">
        <f t="array" ref="P734">_xlfn.IFS(Deals[[#This Row],[Age]]&lt;30,"Under 30",Deals[[#This Row],[Age]]&lt;45,"30-44",TRUE,"45+")</f>
        <v>30-44</v>
      </c>
      <c r="Q734" s="21">
        <f>IF(Deals[[#This Row],[Status]]="Pending","",Deals[[#This Row],[DecisionDate]]-Deals[[#This Row],[ApplicationDate]])</f>
        <v>13</v>
      </c>
      <c r="R734" s="21">
        <f>IF(Deals[[#This Row],[Status]]="Approved",1,0)</f>
        <v>0</v>
      </c>
      <c r="S734" s="21">
        <f>IF(Deals[[#This Row],[IsApproved]]=1,Deals[[#This Row],[Amount]],0)</f>
        <v>0</v>
      </c>
      <c r="T734" s="21">
        <f>Deals[[#This Row],[ApprovedAmount]]*Deals[[#This Row],[ProfitRate]]</f>
        <v>0</v>
      </c>
    </row>
    <row r="735" spans="1:20">
      <c r="A735" s="2" t="s">
        <v>1337</v>
      </c>
      <c r="B735" s="3">
        <v>46184</v>
      </c>
      <c r="C735" s="2" t="s">
        <v>715</v>
      </c>
      <c r="D735" s="2" t="s">
        <v>20</v>
      </c>
      <c r="E735" s="2" t="s">
        <v>15</v>
      </c>
      <c r="F735" s="2" t="s">
        <v>31</v>
      </c>
      <c r="G735" s="4">
        <v>25000</v>
      </c>
      <c r="H735" s="5">
        <v>5.8799999999999998E-2</v>
      </c>
      <c r="I735" s="2">
        <v>60</v>
      </c>
      <c r="J735" s="2" t="s">
        <v>22</v>
      </c>
      <c r="K735" s="2" t="s">
        <v>17</v>
      </c>
      <c r="L735" s="3">
        <v>46186</v>
      </c>
      <c r="M735" s="2" t="str">
        <f>_xlfn.XLOOKUP(Deals[[#This Row],[CustomerID]],Customers!A:A,Customers!F:F)</f>
        <v>Premium</v>
      </c>
      <c r="N735" s="2" t="str">
        <f>_xlfn.XLOOKUP(Deals[[#This Row],[CustomerID]],Customers!A:A,Customers!E:E)</f>
        <v>Non-Kuwaiti</v>
      </c>
      <c r="O735" s="2">
        <f>2026-_xlfn.XLOOKUP(Deals[[#This Row],[CustomerID]],Customers!A:A,Customers!D:D)</f>
        <v>33</v>
      </c>
      <c r="P735" s="2" t="str" cm="1">
        <f t="array" ref="P735">_xlfn.IFS(Deals[[#This Row],[Age]]&lt;30,"Under 30",Deals[[#This Row],[Age]]&lt;45,"30-44",TRUE,"45+")</f>
        <v>30-44</v>
      </c>
      <c r="Q735" s="21">
        <f>IF(Deals[[#This Row],[Status]]="Pending","",Deals[[#This Row],[DecisionDate]]-Deals[[#This Row],[ApplicationDate]])</f>
        <v>2</v>
      </c>
      <c r="R735" s="21">
        <f>IF(Deals[[#This Row],[Status]]="Approved",1,0)</f>
        <v>1</v>
      </c>
      <c r="S735" s="21">
        <f>IF(Deals[[#This Row],[IsApproved]]=1,Deals[[#This Row],[Amount]],0)</f>
        <v>25000</v>
      </c>
      <c r="T735" s="21">
        <f>Deals[[#This Row],[ApprovedAmount]]*Deals[[#This Row],[ProfitRate]]</f>
        <v>1470</v>
      </c>
    </row>
    <row r="736" spans="1:20">
      <c r="A736" s="2" t="s">
        <v>1338</v>
      </c>
      <c r="B736" s="3">
        <v>46184</v>
      </c>
      <c r="C736" s="2" t="s">
        <v>1339</v>
      </c>
      <c r="D736" s="2" t="s">
        <v>71</v>
      </c>
      <c r="E736" s="2" t="s">
        <v>30</v>
      </c>
      <c r="F736" s="2" t="s">
        <v>31</v>
      </c>
      <c r="G736" s="4">
        <v>9300</v>
      </c>
      <c r="H736" s="5">
        <v>4.2299999999999997E-2</v>
      </c>
      <c r="I736" s="2">
        <v>36</v>
      </c>
      <c r="J736" s="2" t="s">
        <v>72</v>
      </c>
      <c r="K736" s="2" t="s">
        <v>45</v>
      </c>
      <c r="L736" s="3">
        <v>46188</v>
      </c>
      <c r="M736" s="2" t="str">
        <f>_xlfn.XLOOKUP(Deals[[#This Row],[CustomerID]],Customers!A:A,Customers!F:F)</f>
        <v>Mass</v>
      </c>
      <c r="N736" s="2" t="str">
        <f>_xlfn.XLOOKUP(Deals[[#This Row],[CustomerID]],Customers!A:A,Customers!E:E)</f>
        <v>Kuwaiti</v>
      </c>
      <c r="O736" s="2">
        <f>2026-_xlfn.XLOOKUP(Deals[[#This Row],[CustomerID]],Customers!A:A,Customers!D:D)</f>
        <v>26</v>
      </c>
      <c r="P736" s="2" t="str" cm="1">
        <f t="array" ref="P736">_xlfn.IFS(Deals[[#This Row],[Age]]&lt;30,"Under 30",Deals[[#This Row],[Age]]&lt;45,"30-44",TRUE,"45+")</f>
        <v>Under 30</v>
      </c>
      <c r="Q736" s="21">
        <f>IF(Deals[[#This Row],[Status]]="Pending","",Deals[[#This Row],[DecisionDate]]-Deals[[#This Row],[ApplicationDate]])</f>
        <v>4</v>
      </c>
      <c r="R736" s="21">
        <f>IF(Deals[[#This Row],[Status]]="Approved",1,0)</f>
        <v>0</v>
      </c>
      <c r="S736" s="21">
        <f>IF(Deals[[#This Row],[IsApproved]]=1,Deals[[#This Row],[Amount]],0)</f>
        <v>0</v>
      </c>
      <c r="T736" s="21">
        <f>Deals[[#This Row],[ApprovedAmount]]*Deals[[#This Row],[ProfitRate]]</f>
        <v>0</v>
      </c>
    </row>
    <row r="737" spans="1:20">
      <c r="A737" s="2" t="s">
        <v>1340</v>
      </c>
      <c r="B737" s="3">
        <v>46184</v>
      </c>
      <c r="C737" s="2" t="s">
        <v>89</v>
      </c>
      <c r="D737" s="2" t="s">
        <v>14</v>
      </c>
      <c r="E737" s="2" t="s">
        <v>15</v>
      </c>
      <c r="F737" s="2" t="s">
        <v>3</v>
      </c>
      <c r="G737" s="4">
        <v>23300</v>
      </c>
      <c r="H737" s="5">
        <v>5.62E-2</v>
      </c>
      <c r="I737" s="2">
        <v>60</v>
      </c>
      <c r="J737" s="2" t="s">
        <v>48</v>
      </c>
      <c r="K737" s="2" t="s">
        <v>17</v>
      </c>
      <c r="L737" s="3">
        <v>46188</v>
      </c>
      <c r="M737" s="2" t="str">
        <f>_xlfn.XLOOKUP(Deals[[#This Row],[CustomerID]],Customers!A:A,Customers!F:F)</f>
        <v>Affluent</v>
      </c>
      <c r="N737" s="2" t="str">
        <f>_xlfn.XLOOKUP(Deals[[#This Row],[CustomerID]],Customers!A:A,Customers!E:E)</f>
        <v>Kuwaiti</v>
      </c>
      <c r="O737" s="2">
        <f>2026-_xlfn.XLOOKUP(Deals[[#This Row],[CustomerID]],Customers!A:A,Customers!D:D)</f>
        <v>33</v>
      </c>
      <c r="P737" s="2" t="str" cm="1">
        <f t="array" ref="P737">_xlfn.IFS(Deals[[#This Row],[Age]]&lt;30,"Under 30",Deals[[#This Row],[Age]]&lt;45,"30-44",TRUE,"45+")</f>
        <v>30-44</v>
      </c>
      <c r="Q737" s="21">
        <f>IF(Deals[[#This Row],[Status]]="Pending","",Deals[[#This Row],[DecisionDate]]-Deals[[#This Row],[ApplicationDate]])</f>
        <v>4</v>
      </c>
      <c r="R737" s="21">
        <f>IF(Deals[[#This Row],[Status]]="Approved",1,0)</f>
        <v>1</v>
      </c>
      <c r="S737" s="21">
        <f>IF(Deals[[#This Row],[IsApproved]]=1,Deals[[#This Row],[Amount]],0)</f>
        <v>23300</v>
      </c>
      <c r="T737" s="21">
        <f>Deals[[#This Row],[ApprovedAmount]]*Deals[[#This Row],[ProfitRate]]</f>
        <v>1309.46</v>
      </c>
    </row>
    <row r="738" spans="1:20">
      <c r="A738" s="2" t="s">
        <v>1341</v>
      </c>
      <c r="B738" s="3">
        <v>46185</v>
      </c>
      <c r="C738" s="2" t="s">
        <v>1229</v>
      </c>
      <c r="D738" s="2" t="s">
        <v>29</v>
      </c>
      <c r="E738" s="2" t="s">
        <v>15</v>
      </c>
      <c r="F738" s="2" t="s">
        <v>3</v>
      </c>
      <c r="G738" s="4">
        <v>17700</v>
      </c>
      <c r="H738" s="5">
        <v>6.3200000000000006E-2</v>
      </c>
      <c r="I738" s="2">
        <v>24</v>
      </c>
      <c r="J738" s="2" t="s">
        <v>123</v>
      </c>
      <c r="K738" s="2" t="s">
        <v>17</v>
      </c>
      <c r="L738" s="3">
        <v>46186</v>
      </c>
      <c r="M738" s="2" t="str">
        <f>_xlfn.XLOOKUP(Deals[[#This Row],[CustomerID]],Customers!A:A,Customers!F:F)</f>
        <v>Mass</v>
      </c>
      <c r="N738" s="2" t="str">
        <f>_xlfn.XLOOKUP(Deals[[#This Row],[CustomerID]],Customers!A:A,Customers!E:E)</f>
        <v>Non-Kuwaiti</v>
      </c>
      <c r="O738" s="2">
        <f>2026-_xlfn.XLOOKUP(Deals[[#This Row],[CustomerID]],Customers!A:A,Customers!D:D)</f>
        <v>34</v>
      </c>
      <c r="P738" s="2" t="str" cm="1">
        <f t="array" ref="P738">_xlfn.IFS(Deals[[#This Row],[Age]]&lt;30,"Under 30",Deals[[#This Row],[Age]]&lt;45,"30-44",TRUE,"45+")</f>
        <v>30-44</v>
      </c>
      <c r="Q738" s="21">
        <f>IF(Deals[[#This Row],[Status]]="Pending","",Deals[[#This Row],[DecisionDate]]-Deals[[#This Row],[ApplicationDate]])</f>
        <v>1</v>
      </c>
      <c r="R738" s="21">
        <f>IF(Deals[[#This Row],[Status]]="Approved",1,0)</f>
        <v>1</v>
      </c>
      <c r="S738" s="21">
        <f>IF(Deals[[#This Row],[IsApproved]]=1,Deals[[#This Row],[Amount]],0)</f>
        <v>17700</v>
      </c>
      <c r="T738" s="21">
        <f>Deals[[#This Row],[ApprovedAmount]]*Deals[[#This Row],[ProfitRate]]</f>
        <v>1118.6400000000001</v>
      </c>
    </row>
    <row r="739" spans="1:20">
      <c r="A739" s="2" t="s">
        <v>1342</v>
      </c>
      <c r="B739" s="3">
        <v>46185</v>
      </c>
      <c r="C739" s="2" t="s">
        <v>1343</v>
      </c>
      <c r="D739" s="2" t="s">
        <v>20</v>
      </c>
      <c r="E739" s="2" t="s">
        <v>30</v>
      </c>
      <c r="F739" s="2" t="s">
        <v>31</v>
      </c>
      <c r="G739" s="4">
        <v>10100</v>
      </c>
      <c r="H739" s="5">
        <v>4.5100000000000001E-2</v>
      </c>
      <c r="I739" s="2">
        <v>36</v>
      </c>
      <c r="J739" s="2" t="s">
        <v>22</v>
      </c>
      <c r="K739" s="2" t="s">
        <v>17</v>
      </c>
      <c r="L739" s="3">
        <v>46188</v>
      </c>
      <c r="M739" s="2" t="str">
        <f>_xlfn.XLOOKUP(Deals[[#This Row],[CustomerID]],Customers!A:A,Customers!F:F)</f>
        <v>Affluent</v>
      </c>
      <c r="N739" s="2" t="str">
        <f>_xlfn.XLOOKUP(Deals[[#This Row],[CustomerID]],Customers!A:A,Customers!E:E)</f>
        <v>Kuwaiti</v>
      </c>
      <c r="O739" s="2">
        <f>2026-_xlfn.XLOOKUP(Deals[[#This Row],[CustomerID]],Customers!A:A,Customers!D:D)</f>
        <v>38</v>
      </c>
      <c r="P739" s="2" t="str" cm="1">
        <f t="array" ref="P739">_xlfn.IFS(Deals[[#This Row],[Age]]&lt;30,"Under 30",Deals[[#This Row],[Age]]&lt;45,"30-44",TRUE,"45+")</f>
        <v>30-44</v>
      </c>
      <c r="Q739" s="21">
        <f>IF(Deals[[#This Row],[Status]]="Pending","",Deals[[#This Row],[DecisionDate]]-Deals[[#This Row],[ApplicationDate]])</f>
        <v>3</v>
      </c>
      <c r="R739" s="21">
        <f>IF(Deals[[#This Row],[Status]]="Approved",1,0)</f>
        <v>1</v>
      </c>
      <c r="S739" s="21">
        <f>IF(Deals[[#This Row],[IsApproved]]=1,Deals[[#This Row],[Amount]],0)</f>
        <v>10100</v>
      </c>
      <c r="T739" s="21">
        <f>Deals[[#This Row],[ApprovedAmount]]*Deals[[#This Row],[ProfitRate]]</f>
        <v>455.51</v>
      </c>
    </row>
    <row r="740" spans="1:20">
      <c r="A740" s="2" t="s">
        <v>1344</v>
      </c>
      <c r="B740" s="3">
        <v>46185</v>
      </c>
      <c r="C740" s="2" t="s">
        <v>1345</v>
      </c>
      <c r="D740" s="2" t="s">
        <v>14</v>
      </c>
      <c r="E740" s="2" t="s">
        <v>43</v>
      </c>
      <c r="F740" s="2" t="s">
        <v>3</v>
      </c>
      <c r="G740" s="4">
        <v>92600</v>
      </c>
      <c r="H740" s="5">
        <v>7.6200000000000004E-2</v>
      </c>
      <c r="I740" s="2">
        <v>84</v>
      </c>
      <c r="J740" s="2" t="s">
        <v>48</v>
      </c>
      <c r="K740" s="2" t="s">
        <v>17</v>
      </c>
      <c r="L740" s="3">
        <v>46196</v>
      </c>
      <c r="M740" s="2" t="str">
        <f>_xlfn.XLOOKUP(Deals[[#This Row],[CustomerID]],Customers!A:A,Customers!F:F)</f>
        <v>Affluent</v>
      </c>
      <c r="N740" s="2" t="str">
        <f>_xlfn.XLOOKUP(Deals[[#This Row],[CustomerID]],Customers!A:A,Customers!E:E)</f>
        <v>Kuwaiti</v>
      </c>
      <c r="O740" s="2">
        <f>2026-_xlfn.XLOOKUP(Deals[[#This Row],[CustomerID]],Customers!A:A,Customers!D:D)</f>
        <v>44</v>
      </c>
      <c r="P740" s="2" t="str" cm="1">
        <f t="array" ref="P740">_xlfn.IFS(Deals[[#This Row],[Age]]&lt;30,"Under 30",Deals[[#This Row],[Age]]&lt;45,"30-44",TRUE,"45+")</f>
        <v>30-44</v>
      </c>
      <c r="Q740" s="21">
        <f>IF(Deals[[#This Row],[Status]]="Pending","",Deals[[#This Row],[DecisionDate]]-Deals[[#This Row],[ApplicationDate]])</f>
        <v>11</v>
      </c>
      <c r="R740" s="21">
        <f>IF(Deals[[#This Row],[Status]]="Approved",1,0)</f>
        <v>1</v>
      </c>
      <c r="S740" s="21">
        <f>IF(Deals[[#This Row],[IsApproved]]=1,Deals[[#This Row],[Amount]],0)</f>
        <v>92600</v>
      </c>
      <c r="T740" s="21">
        <f>Deals[[#This Row],[ApprovedAmount]]*Deals[[#This Row],[ProfitRate]]</f>
        <v>7056.1200000000008</v>
      </c>
    </row>
    <row r="741" spans="1:20">
      <c r="A741" s="2" t="s">
        <v>1346</v>
      </c>
      <c r="B741" s="3">
        <v>46185</v>
      </c>
      <c r="C741" s="2" t="s">
        <v>819</v>
      </c>
      <c r="D741" s="2" t="s">
        <v>14</v>
      </c>
      <c r="E741" s="2" t="s">
        <v>43</v>
      </c>
      <c r="F741" s="2" t="s">
        <v>31</v>
      </c>
      <c r="G741" s="4">
        <v>60700</v>
      </c>
      <c r="H741" s="5">
        <v>6.8500000000000005E-2</v>
      </c>
      <c r="I741" s="2">
        <v>36</v>
      </c>
      <c r="J741" s="2" t="s">
        <v>16</v>
      </c>
      <c r="K741" s="2" t="s">
        <v>17</v>
      </c>
      <c r="L741" s="3">
        <v>46201</v>
      </c>
      <c r="M741" s="2" t="str">
        <f>_xlfn.XLOOKUP(Deals[[#This Row],[CustomerID]],Customers!A:A,Customers!F:F)</f>
        <v>Premium</v>
      </c>
      <c r="N741" s="2" t="str">
        <f>_xlfn.XLOOKUP(Deals[[#This Row],[CustomerID]],Customers!A:A,Customers!E:E)</f>
        <v>Kuwaiti</v>
      </c>
      <c r="O741" s="2">
        <f>2026-_xlfn.XLOOKUP(Deals[[#This Row],[CustomerID]],Customers!A:A,Customers!D:D)</f>
        <v>49</v>
      </c>
      <c r="P741" s="2" t="str" cm="1">
        <f t="array" ref="P741">_xlfn.IFS(Deals[[#This Row],[Age]]&lt;30,"Under 30",Deals[[#This Row],[Age]]&lt;45,"30-44",TRUE,"45+")</f>
        <v>45+</v>
      </c>
      <c r="Q741" s="21">
        <f>IF(Deals[[#This Row],[Status]]="Pending","",Deals[[#This Row],[DecisionDate]]-Deals[[#This Row],[ApplicationDate]])</f>
        <v>16</v>
      </c>
      <c r="R741" s="21">
        <f>IF(Deals[[#This Row],[Status]]="Approved",1,0)</f>
        <v>1</v>
      </c>
      <c r="S741" s="21">
        <f>IF(Deals[[#This Row],[IsApproved]]=1,Deals[[#This Row],[Amount]],0)</f>
        <v>60700</v>
      </c>
      <c r="T741" s="21">
        <f>Deals[[#This Row],[ApprovedAmount]]*Deals[[#This Row],[ProfitRate]]</f>
        <v>4157.9500000000007</v>
      </c>
    </row>
    <row r="742" spans="1:20">
      <c r="A742" s="2" t="s">
        <v>1347</v>
      </c>
      <c r="B742" s="3">
        <v>46186</v>
      </c>
      <c r="C742" s="2" t="s">
        <v>649</v>
      </c>
      <c r="D742" s="2" t="s">
        <v>14</v>
      </c>
      <c r="E742" s="2" t="s">
        <v>15</v>
      </c>
      <c r="F742" s="2" t="s">
        <v>3</v>
      </c>
      <c r="G742" s="4">
        <v>16200</v>
      </c>
      <c r="H742" s="5">
        <v>5.45E-2</v>
      </c>
      <c r="I742" s="2">
        <v>48</v>
      </c>
      <c r="J742" s="2" t="s">
        <v>48</v>
      </c>
      <c r="K742" s="2" t="s">
        <v>17</v>
      </c>
      <c r="L742" s="3">
        <v>46192</v>
      </c>
      <c r="M742" s="2" t="str">
        <f>_xlfn.XLOOKUP(Deals[[#This Row],[CustomerID]],Customers!A:A,Customers!F:F)</f>
        <v>Affluent</v>
      </c>
      <c r="N742" s="2" t="str">
        <f>_xlfn.XLOOKUP(Deals[[#This Row],[CustomerID]],Customers!A:A,Customers!E:E)</f>
        <v>Kuwaiti</v>
      </c>
      <c r="O742" s="2">
        <f>2026-_xlfn.XLOOKUP(Deals[[#This Row],[CustomerID]],Customers!A:A,Customers!D:D)</f>
        <v>54</v>
      </c>
      <c r="P742" s="2" t="str" cm="1">
        <f t="array" ref="P742">_xlfn.IFS(Deals[[#This Row],[Age]]&lt;30,"Under 30",Deals[[#This Row],[Age]]&lt;45,"30-44",TRUE,"45+")</f>
        <v>45+</v>
      </c>
      <c r="Q742" s="21">
        <f>IF(Deals[[#This Row],[Status]]="Pending","",Deals[[#This Row],[DecisionDate]]-Deals[[#This Row],[ApplicationDate]])</f>
        <v>6</v>
      </c>
      <c r="R742" s="21">
        <f>IF(Deals[[#This Row],[Status]]="Approved",1,0)</f>
        <v>1</v>
      </c>
      <c r="S742" s="21">
        <f>IF(Deals[[#This Row],[IsApproved]]=1,Deals[[#This Row],[Amount]],0)</f>
        <v>16200</v>
      </c>
      <c r="T742" s="21">
        <f>Deals[[#This Row],[ApprovedAmount]]*Deals[[#This Row],[ProfitRate]]</f>
        <v>882.9</v>
      </c>
    </row>
    <row r="743" spans="1:20">
      <c r="A743" s="2" t="s">
        <v>1348</v>
      </c>
      <c r="B743" s="3">
        <v>46186</v>
      </c>
      <c r="C743" s="2" t="s">
        <v>339</v>
      </c>
      <c r="D743" s="2" t="s">
        <v>20</v>
      </c>
      <c r="E743" s="2" t="s">
        <v>15</v>
      </c>
      <c r="F743" s="2" t="s">
        <v>3</v>
      </c>
      <c r="G743" s="4">
        <v>17000</v>
      </c>
      <c r="H743" s="5">
        <v>6.0400000000000002E-2</v>
      </c>
      <c r="I743" s="2">
        <v>60</v>
      </c>
      <c r="J743" s="2" t="s">
        <v>44</v>
      </c>
      <c r="K743" s="2" t="s">
        <v>17</v>
      </c>
      <c r="L743" s="3">
        <v>46193</v>
      </c>
      <c r="M743" s="2" t="str">
        <f>_xlfn.XLOOKUP(Deals[[#This Row],[CustomerID]],Customers!A:A,Customers!F:F)</f>
        <v>Mass</v>
      </c>
      <c r="N743" s="2" t="str">
        <f>_xlfn.XLOOKUP(Deals[[#This Row],[CustomerID]],Customers!A:A,Customers!E:E)</f>
        <v>Kuwaiti</v>
      </c>
      <c r="O743" s="2">
        <f>2026-_xlfn.XLOOKUP(Deals[[#This Row],[CustomerID]],Customers!A:A,Customers!D:D)</f>
        <v>22</v>
      </c>
      <c r="P743" s="2" t="str" cm="1">
        <f t="array" ref="P743">_xlfn.IFS(Deals[[#This Row],[Age]]&lt;30,"Under 30",Deals[[#This Row],[Age]]&lt;45,"30-44",TRUE,"45+")</f>
        <v>Under 30</v>
      </c>
      <c r="Q743" s="21">
        <f>IF(Deals[[#This Row],[Status]]="Pending","",Deals[[#This Row],[DecisionDate]]-Deals[[#This Row],[ApplicationDate]])</f>
        <v>7</v>
      </c>
      <c r="R743" s="21">
        <f>IF(Deals[[#This Row],[Status]]="Approved",1,0)</f>
        <v>1</v>
      </c>
      <c r="S743" s="21">
        <f>IF(Deals[[#This Row],[IsApproved]]=1,Deals[[#This Row],[Amount]],0)</f>
        <v>17000</v>
      </c>
      <c r="T743" s="21">
        <f>Deals[[#This Row],[ApprovedAmount]]*Deals[[#This Row],[ProfitRate]]</f>
        <v>1026.8</v>
      </c>
    </row>
    <row r="744" spans="1:20">
      <c r="A744" s="2" t="s">
        <v>1349</v>
      </c>
      <c r="B744" s="3">
        <v>46186</v>
      </c>
      <c r="C744" s="2" t="s">
        <v>1350</v>
      </c>
      <c r="D744" s="2" t="s">
        <v>20</v>
      </c>
      <c r="E744" s="2" t="s">
        <v>21</v>
      </c>
      <c r="F744" s="2" t="s">
        <v>31</v>
      </c>
      <c r="G744" s="4">
        <v>110400</v>
      </c>
      <c r="H744" s="5">
        <v>4.1000000000000002E-2</v>
      </c>
      <c r="I744" s="2">
        <v>300</v>
      </c>
      <c r="J744" s="2" t="s">
        <v>22</v>
      </c>
      <c r="K744" s="2" t="s">
        <v>45</v>
      </c>
      <c r="L744" s="3">
        <v>46195</v>
      </c>
      <c r="M744" s="2" t="str">
        <f>_xlfn.XLOOKUP(Deals[[#This Row],[CustomerID]],Customers!A:A,Customers!F:F)</f>
        <v>Mass</v>
      </c>
      <c r="N744" s="2" t="str">
        <f>_xlfn.XLOOKUP(Deals[[#This Row],[CustomerID]],Customers!A:A,Customers!E:E)</f>
        <v>Kuwaiti</v>
      </c>
      <c r="O744" s="2">
        <f>2026-_xlfn.XLOOKUP(Deals[[#This Row],[CustomerID]],Customers!A:A,Customers!D:D)</f>
        <v>41</v>
      </c>
      <c r="P744" s="2" t="str" cm="1">
        <f t="array" ref="P744">_xlfn.IFS(Deals[[#This Row],[Age]]&lt;30,"Under 30",Deals[[#This Row],[Age]]&lt;45,"30-44",TRUE,"45+")</f>
        <v>30-44</v>
      </c>
      <c r="Q744" s="21">
        <f>IF(Deals[[#This Row],[Status]]="Pending","",Deals[[#This Row],[DecisionDate]]-Deals[[#This Row],[ApplicationDate]])</f>
        <v>9</v>
      </c>
      <c r="R744" s="21">
        <f>IF(Deals[[#This Row],[Status]]="Approved",1,0)</f>
        <v>0</v>
      </c>
      <c r="S744" s="21">
        <f>IF(Deals[[#This Row],[IsApproved]]=1,Deals[[#This Row],[Amount]],0)</f>
        <v>0</v>
      </c>
      <c r="T744" s="21">
        <f>Deals[[#This Row],[ApprovedAmount]]*Deals[[#This Row],[ProfitRate]]</f>
        <v>0</v>
      </c>
    </row>
    <row r="745" spans="1:20">
      <c r="A745" s="2" t="s">
        <v>1351</v>
      </c>
      <c r="B745" s="3">
        <v>46186</v>
      </c>
      <c r="C745" s="2" t="s">
        <v>722</v>
      </c>
      <c r="D745" s="2" t="s">
        <v>29</v>
      </c>
      <c r="E745" s="2" t="s">
        <v>30</v>
      </c>
      <c r="F745" s="2" t="s">
        <v>31</v>
      </c>
      <c r="G745" s="4">
        <v>17800</v>
      </c>
      <c r="H745" s="5">
        <v>4.7300000000000002E-2</v>
      </c>
      <c r="I745" s="2">
        <v>48</v>
      </c>
      <c r="J745" s="2" t="s">
        <v>123</v>
      </c>
      <c r="K745" s="2" t="s">
        <v>17</v>
      </c>
      <c r="L745" s="3">
        <v>46190</v>
      </c>
      <c r="M745" s="2" t="str">
        <f>_xlfn.XLOOKUP(Deals[[#This Row],[CustomerID]],Customers!A:A,Customers!F:F)</f>
        <v>Premium</v>
      </c>
      <c r="N745" s="2" t="str">
        <f>_xlfn.XLOOKUP(Deals[[#This Row],[CustomerID]],Customers!A:A,Customers!E:E)</f>
        <v>Kuwaiti</v>
      </c>
      <c r="O745" s="2">
        <f>2026-_xlfn.XLOOKUP(Deals[[#This Row],[CustomerID]],Customers!A:A,Customers!D:D)</f>
        <v>35</v>
      </c>
      <c r="P745" s="2" t="str" cm="1">
        <f t="array" ref="P745">_xlfn.IFS(Deals[[#This Row],[Age]]&lt;30,"Under 30",Deals[[#This Row],[Age]]&lt;45,"30-44",TRUE,"45+")</f>
        <v>30-44</v>
      </c>
      <c r="Q745" s="21">
        <f>IF(Deals[[#This Row],[Status]]="Pending","",Deals[[#This Row],[DecisionDate]]-Deals[[#This Row],[ApplicationDate]])</f>
        <v>4</v>
      </c>
      <c r="R745" s="21">
        <f>IF(Deals[[#This Row],[Status]]="Approved",1,0)</f>
        <v>1</v>
      </c>
      <c r="S745" s="21">
        <f>IF(Deals[[#This Row],[IsApproved]]=1,Deals[[#This Row],[Amount]],0)</f>
        <v>17800</v>
      </c>
      <c r="T745" s="21">
        <f>Deals[[#This Row],[ApprovedAmount]]*Deals[[#This Row],[ProfitRate]]</f>
        <v>841.94</v>
      </c>
    </row>
    <row r="746" spans="1:20">
      <c r="A746" s="2" t="s">
        <v>1352</v>
      </c>
      <c r="B746" s="3">
        <v>46187</v>
      </c>
      <c r="C746" s="2" t="s">
        <v>1165</v>
      </c>
      <c r="D746" s="2" t="s">
        <v>20</v>
      </c>
      <c r="E746" s="2" t="s">
        <v>15</v>
      </c>
      <c r="F746" s="2" t="s">
        <v>3</v>
      </c>
      <c r="G746" s="4">
        <v>5700</v>
      </c>
      <c r="H746" s="5">
        <v>6.54E-2</v>
      </c>
      <c r="I746" s="2">
        <v>24</v>
      </c>
      <c r="J746" s="2" t="s">
        <v>22</v>
      </c>
      <c r="K746" s="2" t="s">
        <v>17</v>
      </c>
      <c r="L746" s="3">
        <v>46188</v>
      </c>
      <c r="M746" s="2" t="str">
        <f>_xlfn.XLOOKUP(Deals[[#This Row],[CustomerID]],Customers!A:A,Customers!F:F)</f>
        <v>Mass</v>
      </c>
      <c r="N746" s="2" t="str">
        <f>_xlfn.XLOOKUP(Deals[[#This Row],[CustomerID]],Customers!A:A,Customers!E:E)</f>
        <v>Kuwaiti</v>
      </c>
      <c r="O746" s="2">
        <f>2026-_xlfn.XLOOKUP(Deals[[#This Row],[CustomerID]],Customers!A:A,Customers!D:D)</f>
        <v>26</v>
      </c>
      <c r="P746" s="2" t="str" cm="1">
        <f t="array" ref="P746">_xlfn.IFS(Deals[[#This Row],[Age]]&lt;30,"Under 30",Deals[[#This Row],[Age]]&lt;45,"30-44",TRUE,"45+")</f>
        <v>Under 30</v>
      </c>
      <c r="Q746" s="21">
        <f>IF(Deals[[#This Row],[Status]]="Pending","",Deals[[#This Row],[DecisionDate]]-Deals[[#This Row],[ApplicationDate]])</f>
        <v>1</v>
      </c>
      <c r="R746" s="21">
        <f>IF(Deals[[#This Row],[Status]]="Approved",1,0)</f>
        <v>1</v>
      </c>
      <c r="S746" s="21">
        <f>IF(Deals[[#This Row],[IsApproved]]=1,Deals[[#This Row],[Amount]],0)</f>
        <v>5700</v>
      </c>
      <c r="T746" s="21">
        <f>Deals[[#This Row],[ApprovedAmount]]*Deals[[#This Row],[ProfitRate]]</f>
        <v>372.78</v>
      </c>
    </row>
    <row r="747" spans="1:20">
      <c r="A747" s="2" t="s">
        <v>1353</v>
      </c>
      <c r="B747" s="3">
        <v>46187</v>
      </c>
      <c r="C747" s="2" t="s">
        <v>967</v>
      </c>
      <c r="D747" s="2" t="s">
        <v>29</v>
      </c>
      <c r="E747" s="2" t="s">
        <v>30</v>
      </c>
      <c r="F747" s="2" t="s">
        <v>31</v>
      </c>
      <c r="G747" s="4">
        <v>10100</v>
      </c>
      <c r="H747" s="5">
        <v>3.7199999999999997E-2</v>
      </c>
      <c r="I747" s="2">
        <v>36</v>
      </c>
      <c r="J747" s="2" t="s">
        <v>32</v>
      </c>
      <c r="K747" s="2" t="s">
        <v>17</v>
      </c>
      <c r="L747" s="3">
        <v>46189</v>
      </c>
      <c r="M747" s="2" t="str">
        <f>_xlfn.XLOOKUP(Deals[[#This Row],[CustomerID]],Customers!A:A,Customers!F:F)</f>
        <v>Mass</v>
      </c>
      <c r="N747" s="2" t="str">
        <f>_xlfn.XLOOKUP(Deals[[#This Row],[CustomerID]],Customers!A:A,Customers!E:E)</f>
        <v>Kuwaiti</v>
      </c>
      <c r="O747" s="2">
        <f>2026-_xlfn.XLOOKUP(Deals[[#This Row],[CustomerID]],Customers!A:A,Customers!D:D)</f>
        <v>32</v>
      </c>
      <c r="P747" s="2" t="str" cm="1">
        <f t="array" ref="P747">_xlfn.IFS(Deals[[#This Row],[Age]]&lt;30,"Under 30",Deals[[#This Row],[Age]]&lt;45,"30-44",TRUE,"45+")</f>
        <v>30-44</v>
      </c>
      <c r="Q747" s="21">
        <f>IF(Deals[[#This Row],[Status]]="Pending","",Deals[[#This Row],[DecisionDate]]-Deals[[#This Row],[ApplicationDate]])</f>
        <v>2</v>
      </c>
      <c r="R747" s="21">
        <f>IF(Deals[[#This Row],[Status]]="Approved",1,0)</f>
        <v>1</v>
      </c>
      <c r="S747" s="21">
        <f>IF(Deals[[#This Row],[IsApproved]]=1,Deals[[#This Row],[Amount]],0)</f>
        <v>10100</v>
      </c>
      <c r="T747" s="21">
        <f>Deals[[#This Row],[ApprovedAmount]]*Deals[[#This Row],[ProfitRate]]</f>
        <v>375.71999999999997</v>
      </c>
    </row>
    <row r="748" spans="1:20">
      <c r="A748" s="2" t="s">
        <v>1354</v>
      </c>
      <c r="B748" s="3">
        <v>46187</v>
      </c>
      <c r="C748" s="2" t="s">
        <v>748</v>
      </c>
      <c r="D748" s="2" t="s">
        <v>71</v>
      </c>
      <c r="E748" s="2" t="s">
        <v>21</v>
      </c>
      <c r="F748" s="2" t="s">
        <v>3</v>
      </c>
      <c r="G748" s="4">
        <v>180400</v>
      </c>
      <c r="H748" s="5">
        <v>3.4500000000000003E-2</v>
      </c>
      <c r="I748" s="2">
        <v>300</v>
      </c>
      <c r="J748" s="2" t="s">
        <v>101</v>
      </c>
      <c r="K748" s="2" t="s">
        <v>17</v>
      </c>
      <c r="L748" s="3">
        <v>46212</v>
      </c>
      <c r="M748" s="2" t="str">
        <f>_xlfn.XLOOKUP(Deals[[#This Row],[CustomerID]],Customers!A:A,Customers!F:F)</f>
        <v>Mass</v>
      </c>
      <c r="N748" s="2" t="str">
        <f>_xlfn.XLOOKUP(Deals[[#This Row],[CustomerID]],Customers!A:A,Customers!E:E)</f>
        <v>Non-Kuwaiti</v>
      </c>
      <c r="O748" s="2">
        <f>2026-_xlfn.XLOOKUP(Deals[[#This Row],[CustomerID]],Customers!A:A,Customers!D:D)</f>
        <v>71</v>
      </c>
      <c r="P748" s="2" t="str" cm="1">
        <f t="array" ref="P748">_xlfn.IFS(Deals[[#This Row],[Age]]&lt;30,"Under 30",Deals[[#This Row],[Age]]&lt;45,"30-44",TRUE,"45+")</f>
        <v>45+</v>
      </c>
      <c r="Q748" s="21">
        <f>IF(Deals[[#This Row],[Status]]="Pending","",Deals[[#This Row],[DecisionDate]]-Deals[[#This Row],[ApplicationDate]])</f>
        <v>25</v>
      </c>
      <c r="R748" s="21">
        <f>IF(Deals[[#This Row],[Status]]="Approved",1,0)</f>
        <v>1</v>
      </c>
      <c r="S748" s="21">
        <f>IF(Deals[[#This Row],[IsApproved]]=1,Deals[[#This Row],[Amount]],0)</f>
        <v>180400</v>
      </c>
      <c r="T748" s="21">
        <f>Deals[[#This Row],[ApprovedAmount]]*Deals[[#This Row],[ProfitRate]]</f>
        <v>6223.8</v>
      </c>
    </row>
    <row r="749" spans="1:20">
      <c r="A749" s="2" t="s">
        <v>1355</v>
      </c>
      <c r="B749" s="3">
        <v>46188</v>
      </c>
      <c r="C749" s="2" t="s">
        <v>1209</v>
      </c>
      <c r="D749" s="2" t="s">
        <v>14</v>
      </c>
      <c r="E749" s="2" t="s">
        <v>15</v>
      </c>
      <c r="F749" s="2" t="s">
        <v>31</v>
      </c>
      <c r="G749" s="4">
        <v>25000</v>
      </c>
      <c r="H749" s="5">
        <v>6.2799999999999995E-2</v>
      </c>
      <c r="I749" s="2">
        <v>60</v>
      </c>
      <c r="J749" s="2" t="s">
        <v>48</v>
      </c>
      <c r="K749" s="2" t="s">
        <v>45</v>
      </c>
      <c r="L749" s="3">
        <v>46189</v>
      </c>
      <c r="M749" s="2" t="str">
        <f>_xlfn.XLOOKUP(Deals[[#This Row],[CustomerID]],Customers!A:A,Customers!F:F)</f>
        <v>Premium</v>
      </c>
      <c r="N749" s="2" t="str">
        <f>_xlfn.XLOOKUP(Deals[[#This Row],[CustomerID]],Customers!A:A,Customers!E:E)</f>
        <v>Kuwaiti</v>
      </c>
      <c r="O749" s="2">
        <f>2026-_xlfn.XLOOKUP(Deals[[#This Row],[CustomerID]],Customers!A:A,Customers!D:D)</f>
        <v>35</v>
      </c>
      <c r="P749" s="2" t="str" cm="1">
        <f t="array" ref="P749">_xlfn.IFS(Deals[[#This Row],[Age]]&lt;30,"Under 30",Deals[[#This Row],[Age]]&lt;45,"30-44",TRUE,"45+")</f>
        <v>30-44</v>
      </c>
      <c r="Q749" s="21">
        <f>IF(Deals[[#This Row],[Status]]="Pending","",Deals[[#This Row],[DecisionDate]]-Deals[[#This Row],[ApplicationDate]])</f>
        <v>1</v>
      </c>
      <c r="R749" s="21">
        <f>IF(Deals[[#This Row],[Status]]="Approved",1,0)</f>
        <v>0</v>
      </c>
      <c r="S749" s="21">
        <f>IF(Deals[[#This Row],[IsApproved]]=1,Deals[[#This Row],[Amount]],0)</f>
        <v>0</v>
      </c>
      <c r="T749" s="21">
        <f>Deals[[#This Row],[ApprovedAmount]]*Deals[[#This Row],[ProfitRate]]</f>
        <v>0</v>
      </c>
    </row>
    <row r="750" spans="1:20">
      <c r="A750" s="2" t="s">
        <v>1356</v>
      </c>
      <c r="B750" s="3">
        <v>46188</v>
      </c>
      <c r="C750" s="2" t="s">
        <v>1357</v>
      </c>
      <c r="D750" s="2" t="s">
        <v>14</v>
      </c>
      <c r="E750" s="2" t="s">
        <v>15</v>
      </c>
      <c r="F750" s="2" t="s">
        <v>3</v>
      </c>
      <c r="G750" s="4">
        <v>11200</v>
      </c>
      <c r="H750" s="5">
        <v>6.3799999999999996E-2</v>
      </c>
      <c r="I750" s="2">
        <v>60</v>
      </c>
      <c r="J750" s="2" t="s">
        <v>48</v>
      </c>
      <c r="K750" s="2" t="s">
        <v>17</v>
      </c>
      <c r="L750" s="3">
        <v>46195</v>
      </c>
      <c r="M750" s="2" t="str">
        <f>_xlfn.XLOOKUP(Deals[[#This Row],[CustomerID]],Customers!A:A,Customers!F:F)</f>
        <v>Mass</v>
      </c>
      <c r="N750" s="2" t="str">
        <f>_xlfn.XLOOKUP(Deals[[#This Row],[CustomerID]],Customers!A:A,Customers!E:E)</f>
        <v>Non-Kuwaiti</v>
      </c>
      <c r="O750" s="2">
        <f>2026-_xlfn.XLOOKUP(Deals[[#This Row],[CustomerID]],Customers!A:A,Customers!D:D)</f>
        <v>41</v>
      </c>
      <c r="P750" s="2" t="str" cm="1">
        <f t="array" ref="P750">_xlfn.IFS(Deals[[#This Row],[Age]]&lt;30,"Under 30",Deals[[#This Row],[Age]]&lt;45,"30-44",TRUE,"45+")</f>
        <v>30-44</v>
      </c>
      <c r="Q750" s="21">
        <f>IF(Deals[[#This Row],[Status]]="Pending","",Deals[[#This Row],[DecisionDate]]-Deals[[#This Row],[ApplicationDate]])</f>
        <v>7</v>
      </c>
      <c r="R750" s="21">
        <f>IF(Deals[[#This Row],[Status]]="Approved",1,0)</f>
        <v>1</v>
      </c>
      <c r="S750" s="21">
        <f>IF(Deals[[#This Row],[IsApproved]]=1,Deals[[#This Row],[Amount]],0)</f>
        <v>11200</v>
      </c>
      <c r="T750" s="21">
        <f>Deals[[#This Row],[ApprovedAmount]]*Deals[[#This Row],[ProfitRate]]</f>
        <v>714.56</v>
      </c>
    </row>
    <row r="751" spans="1:20">
      <c r="A751" s="2" t="s">
        <v>1358</v>
      </c>
      <c r="B751" s="3">
        <v>46188</v>
      </c>
      <c r="C751" s="2" t="s">
        <v>1359</v>
      </c>
      <c r="D751" s="2" t="s">
        <v>29</v>
      </c>
      <c r="E751" s="2" t="s">
        <v>30</v>
      </c>
      <c r="F751" s="2" t="s">
        <v>3</v>
      </c>
      <c r="G751" s="4">
        <v>16500</v>
      </c>
      <c r="H751" s="5">
        <v>4.24E-2</v>
      </c>
      <c r="I751" s="2">
        <v>48</v>
      </c>
      <c r="J751" s="2" t="s">
        <v>32</v>
      </c>
      <c r="K751" s="2" t="s">
        <v>17</v>
      </c>
      <c r="L751" s="3">
        <v>46189</v>
      </c>
      <c r="M751" s="2" t="str">
        <f>_xlfn.XLOOKUP(Deals[[#This Row],[CustomerID]],Customers!A:A,Customers!F:F)</f>
        <v>Affluent</v>
      </c>
      <c r="N751" s="2" t="str">
        <f>_xlfn.XLOOKUP(Deals[[#This Row],[CustomerID]],Customers!A:A,Customers!E:E)</f>
        <v>Non-Kuwaiti</v>
      </c>
      <c r="O751" s="2">
        <f>2026-_xlfn.XLOOKUP(Deals[[#This Row],[CustomerID]],Customers!A:A,Customers!D:D)</f>
        <v>43</v>
      </c>
      <c r="P751" s="2" t="str" cm="1">
        <f t="array" ref="P751">_xlfn.IFS(Deals[[#This Row],[Age]]&lt;30,"Under 30",Deals[[#This Row],[Age]]&lt;45,"30-44",TRUE,"45+")</f>
        <v>30-44</v>
      </c>
      <c r="Q751" s="21">
        <f>IF(Deals[[#This Row],[Status]]="Pending","",Deals[[#This Row],[DecisionDate]]-Deals[[#This Row],[ApplicationDate]])</f>
        <v>1</v>
      </c>
      <c r="R751" s="21">
        <f>IF(Deals[[#This Row],[Status]]="Approved",1,0)</f>
        <v>1</v>
      </c>
      <c r="S751" s="21">
        <f>IF(Deals[[#This Row],[IsApproved]]=1,Deals[[#This Row],[Amount]],0)</f>
        <v>16500</v>
      </c>
      <c r="T751" s="21">
        <f>Deals[[#This Row],[ApprovedAmount]]*Deals[[#This Row],[ProfitRate]]</f>
        <v>699.6</v>
      </c>
    </row>
    <row r="752" spans="1:20">
      <c r="A752" s="2" t="s">
        <v>1361</v>
      </c>
      <c r="B752" s="3">
        <v>46188</v>
      </c>
      <c r="C752" s="2" t="s">
        <v>443</v>
      </c>
      <c r="D752" s="2" t="s">
        <v>20</v>
      </c>
      <c r="E752" s="2" t="s">
        <v>30</v>
      </c>
      <c r="F752" s="2" t="s">
        <v>3</v>
      </c>
      <c r="G752" s="4">
        <v>13000</v>
      </c>
      <c r="H752" s="5">
        <v>4.3999999999999997E-2</v>
      </c>
      <c r="I752" s="2">
        <v>48</v>
      </c>
      <c r="J752" s="2" t="s">
        <v>44</v>
      </c>
      <c r="K752" s="2" t="s">
        <v>17</v>
      </c>
      <c r="L752" s="3">
        <v>46191</v>
      </c>
      <c r="M752" s="2" t="str">
        <f>_xlfn.XLOOKUP(Deals[[#This Row],[CustomerID]],Customers!A:A,Customers!F:F)</f>
        <v>Affluent</v>
      </c>
      <c r="N752" s="2" t="str">
        <f>_xlfn.XLOOKUP(Deals[[#This Row],[CustomerID]],Customers!A:A,Customers!E:E)</f>
        <v>Kuwaiti</v>
      </c>
      <c r="O752" s="2">
        <f>2026-_xlfn.XLOOKUP(Deals[[#This Row],[CustomerID]],Customers!A:A,Customers!D:D)</f>
        <v>52</v>
      </c>
      <c r="P752" s="2" t="str" cm="1">
        <f t="array" ref="P752">_xlfn.IFS(Deals[[#This Row],[Age]]&lt;30,"Under 30",Deals[[#This Row],[Age]]&lt;45,"30-44",TRUE,"45+")</f>
        <v>45+</v>
      </c>
      <c r="Q752" s="21">
        <f>IF(Deals[[#This Row],[Status]]="Pending","",Deals[[#This Row],[DecisionDate]]-Deals[[#This Row],[ApplicationDate]])</f>
        <v>3</v>
      </c>
      <c r="R752" s="21">
        <f>IF(Deals[[#This Row],[Status]]="Approved",1,0)</f>
        <v>1</v>
      </c>
      <c r="S752" s="21">
        <f>IF(Deals[[#This Row],[IsApproved]]=1,Deals[[#This Row],[Amount]],0)</f>
        <v>13000</v>
      </c>
      <c r="T752" s="21">
        <f>Deals[[#This Row],[ApprovedAmount]]*Deals[[#This Row],[ProfitRate]]</f>
        <v>572</v>
      </c>
    </row>
    <row r="753" spans="1:20">
      <c r="A753" s="2" t="s">
        <v>1362</v>
      </c>
      <c r="B753" s="3">
        <v>46189</v>
      </c>
      <c r="C753" s="2" t="s">
        <v>1363</v>
      </c>
      <c r="D753" s="2" t="s">
        <v>20</v>
      </c>
      <c r="E753" s="2" t="s">
        <v>15</v>
      </c>
      <c r="F753" s="2" t="s">
        <v>31</v>
      </c>
      <c r="G753" s="4">
        <v>13800</v>
      </c>
      <c r="H753" s="5">
        <v>5.3400000000000003E-2</v>
      </c>
      <c r="I753" s="2">
        <v>12</v>
      </c>
      <c r="J753" s="2" t="s">
        <v>22</v>
      </c>
      <c r="K753" s="2" t="s">
        <v>45</v>
      </c>
      <c r="L753" s="3">
        <v>46190</v>
      </c>
      <c r="M753" s="2" t="str">
        <f>_xlfn.XLOOKUP(Deals[[#This Row],[CustomerID]],Customers!A:A,Customers!F:F)</f>
        <v>Affluent</v>
      </c>
      <c r="N753" s="2" t="str">
        <f>_xlfn.XLOOKUP(Deals[[#This Row],[CustomerID]],Customers!A:A,Customers!E:E)</f>
        <v>Kuwaiti</v>
      </c>
      <c r="O753" s="2">
        <f>2026-_xlfn.XLOOKUP(Deals[[#This Row],[CustomerID]],Customers!A:A,Customers!D:D)</f>
        <v>50</v>
      </c>
      <c r="P753" s="2" t="str" cm="1">
        <f t="array" ref="P753">_xlfn.IFS(Deals[[#This Row],[Age]]&lt;30,"Under 30",Deals[[#This Row],[Age]]&lt;45,"30-44",TRUE,"45+")</f>
        <v>45+</v>
      </c>
      <c r="Q753" s="21">
        <f>IF(Deals[[#This Row],[Status]]="Pending","",Deals[[#This Row],[DecisionDate]]-Deals[[#This Row],[ApplicationDate]])</f>
        <v>1</v>
      </c>
      <c r="R753" s="21">
        <f>IF(Deals[[#This Row],[Status]]="Approved",1,0)</f>
        <v>0</v>
      </c>
      <c r="S753" s="21">
        <f>IF(Deals[[#This Row],[IsApproved]]=1,Deals[[#This Row],[Amount]],0)</f>
        <v>0</v>
      </c>
      <c r="T753" s="21">
        <f>Deals[[#This Row],[ApprovedAmount]]*Deals[[#This Row],[ProfitRate]]</f>
        <v>0</v>
      </c>
    </row>
    <row r="754" spans="1:20">
      <c r="A754" s="2" t="s">
        <v>1364</v>
      </c>
      <c r="B754" s="3">
        <v>46189</v>
      </c>
      <c r="C754" s="2" t="s">
        <v>783</v>
      </c>
      <c r="D754" s="2" t="s">
        <v>14</v>
      </c>
      <c r="E754" s="2" t="s">
        <v>15</v>
      </c>
      <c r="F754" s="2" t="s">
        <v>3</v>
      </c>
      <c r="G754" s="4">
        <v>4200</v>
      </c>
      <c r="H754" s="5">
        <v>6.6699999999999995E-2</v>
      </c>
      <c r="I754" s="2">
        <v>36</v>
      </c>
      <c r="J754" s="2" t="s">
        <v>16</v>
      </c>
      <c r="K754" s="2" t="s">
        <v>17</v>
      </c>
      <c r="L754" s="3">
        <v>46191</v>
      </c>
      <c r="M754" s="2" t="str">
        <f>_xlfn.XLOOKUP(Deals[[#This Row],[CustomerID]],Customers!A:A,Customers!F:F)</f>
        <v>Affluent</v>
      </c>
      <c r="N754" s="2" t="str">
        <f>_xlfn.XLOOKUP(Deals[[#This Row],[CustomerID]],Customers!A:A,Customers!E:E)</f>
        <v>Non-Kuwaiti</v>
      </c>
      <c r="O754" s="2">
        <f>2026-_xlfn.XLOOKUP(Deals[[#This Row],[CustomerID]],Customers!A:A,Customers!D:D)</f>
        <v>34</v>
      </c>
      <c r="P754" s="2" t="str" cm="1">
        <f t="array" ref="P754">_xlfn.IFS(Deals[[#This Row],[Age]]&lt;30,"Under 30",Deals[[#This Row],[Age]]&lt;45,"30-44",TRUE,"45+")</f>
        <v>30-44</v>
      </c>
      <c r="Q754" s="21">
        <f>IF(Deals[[#This Row],[Status]]="Pending","",Deals[[#This Row],[DecisionDate]]-Deals[[#This Row],[ApplicationDate]])</f>
        <v>2</v>
      </c>
      <c r="R754" s="21">
        <f>IF(Deals[[#This Row],[Status]]="Approved",1,0)</f>
        <v>1</v>
      </c>
      <c r="S754" s="21">
        <f>IF(Deals[[#This Row],[IsApproved]]=1,Deals[[#This Row],[Amount]],0)</f>
        <v>4200</v>
      </c>
      <c r="T754" s="21">
        <f>Deals[[#This Row],[ApprovedAmount]]*Deals[[#This Row],[ProfitRate]]</f>
        <v>280.14</v>
      </c>
    </row>
    <row r="755" spans="1:20">
      <c r="A755" s="2" t="s">
        <v>1365</v>
      </c>
      <c r="B755" s="3">
        <v>46189</v>
      </c>
      <c r="C755" s="2" t="s">
        <v>1063</v>
      </c>
      <c r="D755" s="2" t="s">
        <v>14</v>
      </c>
      <c r="E755" s="2" t="s">
        <v>21</v>
      </c>
      <c r="F755" s="2" t="s">
        <v>3</v>
      </c>
      <c r="G755" s="4">
        <v>123800</v>
      </c>
      <c r="H755" s="5">
        <v>4.1099999999999998E-2</v>
      </c>
      <c r="I755" s="2">
        <v>240</v>
      </c>
      <c r="J755" s="2" t="s">
        <v>48</v>
      </c>
      <c r="K755" s="2" t="s">
        <v>17</v>
      </c>
      <c r="L755" s="3">
        <v>46218</v>
      </c>
      <c r="M755" s="2" t="str">
        <f>_xlfn.XLOOKUP(Deals[[#This Row],[CustomerID]],Customers!A:A,Customers!F:F)</f>
        <v>Affluent</v>
      </c>
      <c r="N755" s="2" t="str">
        <f>_xlfn.XLOOKUP(Deals[[#This Row],[CustomerID]],Customers!A:A,Customers!E:E)</f>
        <v>Kuwaiti</v>
      </c>
      <c r="O755" s="2">
        <f>2026-_xlfn.XLOOKUP(Deals[[#This Row],[CustomerID]],Customers!A:A,Customers!D:D)</f>
        <v>46</v>
      </c>
      <c r="P755" s="2" t="str" cm="1">
        <f t="array" ref="P755">_xlfn.IFS(Deals[[#This Row],[Age]]&lt;30,"Under 30",Deals[[#This Row],[Age]]&lt;45,"30-44",TRUE,"45+")</f>
        <v>45+</v>
      </c>
      <c r="Q755" s="21">
        <f>IF(Deals[[#This Row],[Status]]="Pending","",Deals[[#This Row],[DecisionDate]]-Deals[[#This Row],[ApplicationDate]])</f>
        <v>29</v>
      </c>
      <c r="R755" s="21">
        <f>IF(Deals[[#This Row],[Status]]="Approved",1,0)</f>
        <v>1</v>
      </c>
      <c r="S755" s="21">
        <f>IF(Deals[[#This Row],[IsApproved]]=1,Deals[[#This Row],[Amount]],0)</f>
        <v>123800</v>
      </c>
      <c r="T755" s="21">
        <f>Deals[[#This Row],[ApprovedAmount]]*Deals[[#This Row],[ProfitRate]]</f>
        <v>5088.1799999999994</v>
      </c>
    </row>
    <row r="756" spans="1:20">
      <c r="A756" s="2" t="s">
        <v>1366</v>
      </c>
      <c r="B756" s="3">
        <v>46190</v>
      </c>
      <c r="C756" s="2" t="s">
        <v>1345</v>
      </c>
      <c r="D756" s="2" t="s">
        <v>71</v>
      </c>
      <c r="E756" s="2" t="s">
        <v>15</v>
      </c>
      <c r="F756" s="2" t="s">
        <v>3</v>
      </c>
      <c r="G756" s="4">
        <v>3700</v>
      </c>
      <c r="H756" s="5">
        <v>6.8699999999999997E-2</v>
      </c>
      <c r="I756" s="2">
        <v>12</v>
      </c>
      <c r="J756" s="2" t="s">
        <v>101</v>
      </c>
      <c r="K756" s="2" t="s">
        <v>17</v>
      </c>
      <c r="L756" s="3">
        <v>46198</v>
      </c>
      <c r="M756" s="2" t="str">
        <f>_xlfn.XLOOKUP(Deals[[#This Row],[CustomerID]],Customers!A:A,Customers!F:F)</f>
        <v>Affluent</v>
      </c>
      <c r="N756" s="2" t="str">
        <f>_xlfn.XLOOKUP(Deals[[#This Row],[CustomerID]],Customers!A:A,Customers!E:E)</f>
        <v>Kuwaiti</v>
      </c>
      <c r="O756" s="2">
        <f>2026-_xlfn.XLOOKUP(Deals[[#This Row],[CustomerID]],Customers!A:A,Customers!D:D)</f>
        <v>44</v>
      </c>
      <c r="P756" s="2" t="str" cm="1">
        <f t="array" ref="P756">_xlfn.IFS(Deals[[#This Row],[Age]]&lt;30,"Under 30",Deals[[#This Row],[Age]]&lt;45,"30-44",TRUE,"45+")</f>
        <v>30-44</v>
      </c>
      <c r="Q756" s="21">
        <f>IF(Deals[[#This Row],[Status]]="Pending","",Deals[[#This Row],[DecisionDate]]-Deals[[#This Row],[ApplicationDate]])</f>
        <v>8</v>
      </c>
      <c r="R756" s="21">
        <f>IF(Deals[[#This Row],[Status]]="Approved",1,0)</f>
        <v>1</v>
      </c>
      <c r="S756" s="21">
        <f>IF(Deals[[#This Row],[IsApproved]]=1,Deals[[#This Row],[Amount]],0)</f>
        <v>3700</v>
      </c>
      <c r="T756" s="21">
        <f>Deals[[#This Row],[ApprovedAmount]]*Deals[[#This Row],[ProfitRate]]</f>
        <v>254.19</v>
      </c>
    </row>
    <row r="757" spans="1:20">
      <c r="A757" s="2" t="s">
        <v>1367</v>
      </c>
      <c r="B757" s="3">
        <v>46190</v>
      </c>
      <c r="C757" s="2" t="s">
        <v>938</v>
      </c>
      <c r="D757" s="2" t="s">
        <v>71</v>
      </c>
      <c r="E757" s="2" t="s">
        <v>15</v>
      </c>
      <c r="F757" s="2" t="s">
        <v>3</v>
      </c>
      <c r="G757" s="4">
        <v>23400</v>
      </c>
      <c r="H757" s="5">
        <v>6.8400000000000002E-2</v>
      </c>
      <c r="I757" s="2">
        <v>36</v>
      </c>
      <c r="J757" s="2" t="s">
        <v>72</v>
      </c>
      <c r="K757" s="2" t="s">
        <v>45</v>
      </c>
      <c r="L757" s="3">
        <v>46197</v>
      </c>
      <c r="M757" s="2" t="str">
        <f>_xlfn.XLOOKUP(Deals[[#This Row],[CustomerID]],Customers!A:A,Customers!F:F)</f>
        <v>Mass</v>
      </c>
      <c r="N757" s="2" t="str">
        <f>_xlfn.XLOOKUP(Deals[[#This Row],[CustomerID]],Customers!A:A,Customers!E:E)</f>
        <v>Kuwaiti</v>
      </c>
      <c r="O757" s="2">
        <f>2026-_xlfn.XLOOKUP(Deals[[#This Row],[CustomerID]],Customers!A:A,Customers!D:D)</f>
        <v>31</v>
      </c>
      <c r="P757" s="2" t="str" cm="1">
        <f t="array" ref="P757">_xlfn.IFS(Deals[[#This Row],[Age]]&lt;30,"Under 30",Deals[[#This Row],[Age]]&lt;45,"30-44",TRUE,"45+")</f>
        <v>30-44</v>
      </c>
      <c r="Q757" s="21">
        <f>IF(Deals[[#This Row],[Status]]="Pending","",Deals[[#This Row],[DecisionDate]]-Deals[[#This Row],[ApplicationDate]])</f>
        <v>7</v>
      </c>
      <c r="R757" s="21">
        <f>IF(Deals[[#This Row],[Status]]="Approved",1,0)</f>
        <v>0</v>
      </c>
      <c r="S757" s="21">
        <f>IF(Deals[[#This Row],[IsApproved]]=1,Deals[[#This Row],[Amount]],0)</f>
        <v>0</v>
      </c>
      <c r="T757" s="21">
        <f>Deals[[#This Row],[ApprovedAmount]]*Deals[[#This Row],[ProfitRate]]</f>
        <v>0</v>
      </c>
    </row>
    <row r="758" spans="1:20">
      <c r="A758" s="2" t="s">
        <v>1368</v>
      </c>
      <c r="B758" s="3">
        <v>46190</v>
      </c>
      <c r="C758" s="2" t="s">
        <v>1369</v>
      </c>
      <c r="D758" s="2" t="s">
        <v>29</v>
      </c>
      <c r="E758" s="2" t="s">
        <v>43</v>
      </c>
      <c r="F758" s="2" t="s">
        <v>3</v>
      </c>
      <c r="G758" s="4">
        <v>64100</v>
      </c>
      <c r="H758" s="5">
        <v>6.08E-2</v>
      </c>
      <c r="I758" s="2">
        <v>36</v>
      </c>
      <c r="J758" s="2" t="s">
        <v>32</v>
      </c>
      <c r="K758" s="2" t="s">
        <v>45</v>
      </c>
      <c r="L758" s="3">
        <v>46204</v>
      </c>
      <c r="M758" s="2" t="str">
        <f>_xlfn.XLOOKUP(Deals[[#This Row],[CustomerID]],Customers!A:A,Customers!F:F)</f>
        <v>Mass</v>
      </c>
      <c r="N758" s="2" t="str">
        <f>_xlfn.XLOOKUP(Deals[[#This Row],[CustomerID]],Customers!A:A,Customers!E:E)</f>
        <v>Non-Kuwaiti</v>
      </c>
      <c r="O758" s="2">
        <f>2026-_xlfn.XLOOKUP(Deals[[#This Row],[CustomerID]],Customers!A:A,Customers!D:D)</f>
        <v>40</v>
      </c>
      <c r="P758" s="2" t="str" cm="1">
        <f t="array" ref="P758">_xlfn.IFS(Deals[[#This Row],[Age]]&lt;30,"Under 30",Deals[[#This Row],[Age]]&lt;45,"30-44",TRUE,"45+")</f>
        <v>30-44</v>
      </c>
      <c r="Q758" s="21">
        <f>IF(Deals[[#This Row],[Status]]="Pending","",Deals[[#This Row],[DecisionDate]]-Deals[[#This Row],[ApplicationDate]])</f>
        <v>14</v>
      </c>
      <c r="R758" s="21">
        <f>IF(Deals[[#This Row],[Status]]="Approved",1,0)</f>
        <v>0</v>
      </c>
      <c r="S758" s="21">
        <f>IF(Deals[[#This Row],[IsApproved]]=1,Deals[[#This Row],[Amount]],0)</f>
        <v>0</v>
      </c>
      <c r="T758" s="21">
        <f>Deals[[#This Row],[ApprovedAmount]]*Deals[[#This Row],[ProfitRate]]</f>
        <v>0</v>
      </c>
    </row>
    <row r="759" spans="1:20">
      <c r="A759" s="2" t="s">
        <v>1370</v>
      </c>
      <c r="B759" s="3">
        <v>46190</v>
      </c>
      <c r="C759" s="2" t="s">
        <v>1371</v>
      </c>
      <c r="D759" s="2" t="s">
        <v>29</v>
      </c>
      <c r="E759" s="2" t="s">
        <v>43</v>
      </c>
      <c r="F759" s="2" t="s">
        <v>3</v>
      </c>
      <c r="G759" s="4">
        <v>45600</v>
      </c>
      <c r="H759" s="5">
        <v>6.7299999999999999E-2</v>
      </c>
      <c r="I759" s="2">
        <v>60</v>
      </c>
      <c r="J759" s="2" t="s">
        <v>61</v>
      </c>
      <c r="K759" s="2" t="s">
        <v>45</v>
      </c>
      <c r="L759" s="3">
        <v>46200</v>
      </c>
      <c r="M759" s="2" t="str">
        <f>_xlfn.XLOOKUP(Deals[[#This Row],[CustomerID]],Customers!A:A,Customers!F:F)</f>
        <v>Affluent</v>
      </c>
      <c r="N759" s="2" t="str">
        <f>_xlfn.XLOOKUP(Deals[[#This Row],[CustomerID]],Customers!A:A,Customers!E:E)</f>
        <v>Kuwaiti</v>
      </c>
      <c r="O759" s="2">
        <f>2026-_xlfn.XLOOKUP(Deals[[#This Row],[CustomerID]],Customers!A:A,Customers!D:D)</f>
        <v>30</v>
      </c>
      <c r="P759" s="2" t="str" cm="1">
        <f t="array" ref="P759">_xlfn.IFS(Deals[[#This Row],[Age]]&lt;30,"Under 30",Deals[[#This Row],[Age]]&lt;45,"30-44",TRUE,"45+")</f>
        <v>30-44</v>
      </c>
      <c r="Q759" s="21">
        <f>IF(Deals[[#This Row],[Status]]="Pending","",Deals[[#This Row],[DecisionDate]]-Deals[[#This Row],[ApplicationDate]])</f>
        <v>10</v>
      </c>
      <c r="R759" s="21">
        <f>IF(Deals[[#This Row],[Status]]="Approved",1,0)</f>
        <v>0</v>
      </c>
      <c r="S759" s="21">
        <f>IF(Deals[[#This Row],[IsApproved]]=1,Deals[[#This Row],[Amount]],0)</f>
        <v>0</v>
      </c>
      <c r="T759" s="21">
        <f>Deals[[#This Row],[ApprovedAmount]]*Deals[[#This Row],[ProfitRate]]</f>
        <v>0</v>
      </c>
    </row>
    <row r="760" spans="1:20">
      <c r="A760" s="2" t="s">
        <v>1372</v>
      </c>
      <c r="B760" s="3">
        <v>46190</v>
      </c>
      <c r="C760" s="2" t="s">
        <v>993</v>
      </c>
      <c r="D760" s="2" t="s">
        <v>14</v>
      </c>
      <c r="E760" s="2" t="s">
        <v>30</v>
      </c>
      <c r="F760" s="2" t="s">
        <v>31</v>
      </c>
      <c r="G760" s="4">
        <v>16400</v>
      </c>
      <c r="H760" s="5">
        <v>3.6600000000000001E-2</v>
      </c>
      <c r="I760" s="2">
        <v>60</v>
      </c>
      <c r="J760" s="2" t="s">
        <v>48</v>
      </c>
      <c r="K760" s="2" t="s">
        <v>17</v>
      </c>
      <c r="L760" s="3">
        <v>46191</v>
      </c>
      <c r="M760" s="2" t="str">
        <f>_xlfn.XLOOKUP(Deals[[#This Row],[CustomerID]],Customers!A:A,Customers!F:F)</f>
        <v>Affluent</v>
      </c>
      <c r="N760" s="2" t="str">
        <f>_xlfn.XLOOKUP(Deals[[#This Row],[CustomerID]],Customers!A:A,Customers!E:E)</f>
        <v>Kuwaiti</v>
      </c>
      <c r="O760" s="2">
        <f>2026-_xlfn.XLOOKUP(Deals[[#This Row],[CustomerID]],Customers!A:A,Customers!D:D)</f>
        <v>30</v>
      </c>
      <c r="P760" s="2" t="str" cm="1">
        <f t="array" ref="P760">_xlfn.IFS(Deals[[#This Row],[Age]]&lt;30,"Under 30",Deals[[#This Row],[Age]]&lt;45,"30-44",TRUE,"45+")</f>
        <v>30-44</v>
      </c>
      <c r="Q760" s="21">
        <f>IF(Deals[[#This Row],[Status]]="Pending","",Deals[[#This Row],[DecisionDate]]-Deals[[#This Row],[ApplicationDate]])</f>
        <v>1</v>
      </c>
      <c r="R760" s="21">
        <f>IF(Deals[[#This Row],[Status]]="Approved",1,0)</f>
        <v>1</v>
      </c>
      <c r="S760" s="21">
        <f>IF(Deals[[#This Row],[IsApproved]]=1,Deals[[#This Row],[Amount]],0)</f>
        <v>16400</v>
      </c>
      <c r="T760" s="21">
        <f>Deals[[#This Row],[ApprovedAmount]]*Deals[[#This Row],[ProfitRate]]</f>
        <v>600.24</v>
      </c>
    </row>
    <row r="761" spans="1:20">
      <c r="A761" s="2" t="s">
        <v>1373</v>
      </c>
      <c r="B761" s="3">
        <v>46190</v>
      </c>
      <c r="C761" s="2" t="s">
        <v>1374</v>
      </c>
      <c r="D761" s="2" t="s">
        <v>71</v>
      </c>
      <c r="E761" s="2" t="s">
        <v>43</v>
      </c>
      <c r="F761" s="2" t="s">
        <v>3</v>
      </c>
      <c r="G761" s="4">
        <v>110200</v>
      </c>
      <c r="H761" s="5">
        <v>6.1699999999999998E-2</v>
      </c>
      <c r="I761" s="2">
        <v>84</v>
      </c>
      <c r="J761" s="2" t="s">
        <v>72</v>
      </c>
      <c r="K761" s="2" t="s">
        <v>45</v>
      </c>
      <c r="L761" s="3">
        <v>46213</v>
      </c>
      <c r="M761" s="2" t="str">
        <f>_xlfn.XLOOKUP(Deals[[#This Row],[CustomerID]],Customers!A:A,Customers!F:F)</f>
        <v>Mass</v>
      </c>
      <c r="N761" s="2" t="str">
        <f>_xlfn.XLOOKUP(Deals[[#This Row],[CustomerID]],Customers!A:A,Customers!E:E)</f>
        <v>Non-Kuwaiti</v>
      </c>
      <c r="O761" s="2">
        <f>2026-_xlfn.XLOOKUP(Deals[[#This Row],[CustomerID]],Customers!A:A,Customers!D:D)</f>
        <v>38</v>
      </c>
      <c r="P761" s="2" t="str" cm="1">
        <f t="array" ref="P761">_xlfn.IFS(Deals[[#This Row],[Age]]&lt;30,"Under 30",Deals[[#This Row],[Age]]&lt;45,"30-44",TRUE,"45+")</f>
        <v>30-44</v>
      </c>
      <c r="Q761" s="21">
        <f>IF(Deals[[#This Row],[Status]]="Pending","",Deals[[#This Row],[DecisionDate]]-Deals[[#This Row],[ApplicationDate]])</f>
        <v>23</v>
      </c>
      <c r="R761" s="21">
        <f>IF(Deals[[#This Row],[Status]]="Approved",1,0)</f>
        <v>0</v>
      </c>
      <c r="S761" s="21">
        <f>IF(Deals[[#This Row],[IsApproved]]=1,Deals[[#This Row],[Amount]],0)</f>
        <v>0</v>
      </c>
      <c r="T761" s="21">
        <f>Deals[[#This Row],[ApprovedAmount]]*Deals[[#This Row],[ProfitRate]]</f>
        <v>0</v>
      </c>
    </row>
    <row r="762" spans="1:20">
      <c r="A762" s="2" t="s">
        <v>1375</v>
      </c>
      <c r="B762" s="3">
        <v>46190</v>
      </c>
      <c r="C762" s="2" t="s">
        <v>1376</v>
      </c>
      <c r="D762" s="2" t="s">
        <v>20</v>
      </c>
      <c r="E762" s="2" t="s">
        <v>21</v>
      </c>
      <c r="F762" s="2" t="s">
        <v>3</v>
      </c>
      <c r="G762" s="4">
        <v>225400</v>
      </c>
      <c r="H762" s="5">
        <v>3.2399999999999998E-2</v>
      </c>
      <c r="I762" s="2">
        <v>300</v>
      </c>
      <c r="J762" s="2" t="s">
        <v>37</v>
      </c>
      <c r="K762" s="2" t="s">
        <v>17</v>
      </c>
      <c r="L762" s="3">
        <v>46220</v>
      </c>
      <c r="M762" s="2" t="str">
        <f>_xlfn.XLOOKUP(Deals[[#This Row],[CustomerID]],Customers!A:A,Customers!F:F)</f>
        <v>Affluent</v>
      </c>
      <c r="N762" s="2" t="str">
        <f>_xlfn.XLOOKUP(Deals[[#This Row],[CustomerID]],Customers!A:A,Customers!E:E)</f>
        <v>Non-Kuwaiti</v>
      </c>
      <c r="O762" s="2">
        <f>2026-_xlfn.XLOOKUP(Deals[[#This Row],[CustomerID]],Customers!A:A,Customers!D:D)</f>
        <v>24</v>
      </c>
      <c r="P762" s="2" t="str" cm="1">
        <f t="array" ref="P762">_xlfn.IFS(Deals[[#This Row],[Age]]&lt;30,"Under 30",Deals[[#This Row],[Age]]&lt;45,"30-44",TRUE,"45+")</f>
        <v>Under 30</v>
      </c>
      <c r="Q762" s="21">
        <f>IF(Deals[[#This Row],[Status]]="Pending","",Deals[[#This Row],[DecisionDate]]-Deals[[#This Row],[ApplicationDate]])</f>
        <v>30</v>
      </c>
      <c r="R762" s="21">
        <f>IF(Deals[[#This Row],[Status]]="Approved",1,0)</f>
        <v>1</v>
      </c>
      <c r="S762" s="21">
        <f>IF(Deals[[#This Row],[IsApproved]]=1,Deals[[#This Row],[Amount]],0)</f>
        <v>225400</v>
      </c>
      <c r="T762" s="21">
        <f>Deals[[#This Row],[ApprovedAmount]]*Deals[[#This Row],[ProfitRate]]</f>
        <v>7302.96</v>
      </c>
    </row>
    <row r="763" spans="1:20">
      <c r="A763" s="2" t="s">
        <v>1377</v>
      </c>
      <c r="B763" s="3">
        <v>46191</v>
      </c>
      <c r="C763" s="2" t="s">
        <v>76</v>
      </c>
      <c r="D763" s="2" t="s">
        <v>20</v>
      </c>
      <c r="E763" s="2" t="s">
        <v>43</v>
      </c>
      <c r="F763" s="2" t="s">
        <v>3</v>
      </c>
      <c r="G763" s="4">
        <v>84400</v>
      </c>
      <c r="H763" s="5">
        <v>5.79E-2</v>
      </c>
      <c r="I763" s="2">
        <v>60</v>
      </c>
      <c r="J763" s="2" t="s">
        <v>44</v>
      </c>
      <c r="K763" s="2" t="s">
        <v>45</v>
      </c>
      <c r="L763" s="3">
        <v>46204</v>
      </c>
      <c r="M763" s="2" t="str">
        <f>_xlfn.XLOOKUP(Deals[[#This Row],[CustomerID]],Customers!A:A,Customers!F:F)</f>
        <v>Mass</v>
      </c>
      <c r="N763" s="2" t="str">
        <f>_xlfn.XLOOKUP(Deals[[#This Row],[CustomerID]],Customers!A:A,Customers!E:E)</f>
        <v>Kuwaiti</v>
      </c>
      <c r="O763" s="2">
        <f>2026-_xlfn.XLOOKUP(Deals[[#This Row],[CustomerID]],Customers!A:A,Customers!D:D)</f>
        <v>53</v>
      </c>
      <c r="P763" s="2" t="str" cm="1">
        <f t="array" ref="P763">_xlfn.IFS(Deals[[#This Row],[Age]]&lt;30,"Under 30",Deals[[#This Row],[Age]]&lt;45,"30-44",TRUE,"45+")</f>
        <v>45+</v>
      </c>
      <c r="Q763" s="21">
        <f>IF(Deals[[#This Row],[Status]]="Pending","",Deals[[#This Row],[DecisionDate]]-Deals[[#This Row],[ApplicationDate]])</f>
        <v>13</v>
      </c>
      <c r="R763" s="21">
        <f>IF(Deals[[#This Row],[Status]]="Approved",1,0)</f>
        <v>0</v>
      </c>
      <c r="S763" s="21">
        <f>IF(Deals[[#This Row],[IsApproved]]=1,Deals[[#This Row],[Amount]],0)</f>
        <v>0</v>
      </c>
      <c r="T763" s="21">
        <f>Deals[[#This Row],[ApprovedAmount]]*Deals[[#This Row],[ProfitRate]]</f>
        <v>0</v>
      </c>
    </row>
    <row r="764" spans="1:20">
      <c r="A764" s="2" t="s">
        <v>1378</v>
      </c>
      <c r="B764" s="3">
        <v>46191</v>
      </c>
      <c r="C764" s="2" t="s">
        <v>290</v>
      </c>
      <c r="D764" s="2" t="s">
        <v>14</v>
      </c>
      <c r="E764" s="2" t="s">
        <v>43</v>
      </c>
      <c r="F764" s="2" t="s">
        <v>31</v>
      </c>
      <c r="G764" s="4">
        <v>166600</v>
      </c>
      <c r="H764" s="5">
        <v>7.1800000000000003E-2</v>
      </c>
      <c r="I764" s="2">
        <v>24</v>
      </c>
      <c r="J764" s="2" t="s">
        <v>48</v>
      </c>
      <c r="K764" s="2" t="s">
        <v>45</v>
      </c>
      <c r="L764" s="3">
        <v>46200</v>
      </c>
      <c r="M764" s="2" t="str">
        <f>_xlfn.XLOOKUP(Deals[[#This Row],[CustomerID]],Customers!A:A,Customers!F:F)</f>
        <v>Affluent</v>
      </c>
      <c r="N764" s="2" t="str">
        <f>_xlfn.XLOOKUP(Deals[[#This Row],[CustomerID]],Customers!A:A,Customers!E:E)</f>
        <v>Non-Kuwaiti</v>
      </c>
      <c r="O764" s="2">
        <f>2026-_xlfn.XLOOKUP(Deals[[#This Row],[CustomerID]],Customers!A:A,Customers!D:D)</f>
        <v>29</v>
      </c>
      <c r="P764" s="2" t="str" cm="1">
        <f t="array" ref="P764">_xlfn.IFS(Deals[[#This Row],[Age]]&lt;30,"Under 30",Deals[[#This Row],[Age]]&lt;45,"30-44",TRUE,"45+")</f>
        <v>Under 30</v>
      </c>
      <c r="Q764" s="21">
        <f>IF(Deals[[#This Row],[Status]]="Pending","",Deals[[#This Row],[DecisionDate]]-Deals[[#This Row],[ApplicationDate]])</f>
        <v>9</v>
      </c>
      <c r="R764" s="21">
        <f>IF(Deals[[#This Row],[Status]]="Approved",1,0)</f>
        <v>0</v>
      </c>
      <c r="S764" s="21">
        <f>IF(Deals[[#This Row],[IsApproved]]=1,Deals[[#This Row],[Amount]],0)</f>
        <v>0</v>
      </c>
      <c r="T764" s="21">
        <f>Deals[[#This Row],[ApprovedAmount]]*Deals[[#This Row],[ProfitRate]]</f>
        <v>0</v>
      </c>
    </row>
    <row r="765" spans="1:20">
      <c r="A765" s="2" t="s">
        <v>1379</v>
      </c>
      <c r="B765" s="3">
        <v>46191</v>
      </c>
      <c r="C765" s="2" t="s">
        <v>1380</v>
      </c>
      <c r="D765" s="2" t="s">
        <v>14</v>
      </c>
      <c r="E765" s="2" t="s">
        <v>21</v>
      </c>
      <c r="F765" s="2" t="s">
        <v>31</v>
      </c>
      <c r="G765" s="4">
        <v>242200</v>
      </c>
      <c r="H765" s="5">
        <v>4.1700000000000001E-2</v>
      </c>
      <c r="I765" s="2">
        <v>300</v>
      </c>
      <c r="J765" s="2" t="s">
        <v>48</v>
      </c>
      <c r="K765" s="2" t="s">
        <v>17</v>
      </c>
      <c r="L765" s="3">
        <v>46207</v>
      </c>
      <c r="M765" s="2" t="str">
        <f>_xlfn.XLOOKUP(Deals[[#This Row],[CustomerID]],Customers!A:A,Customers!F:F)</f>
        <v>Affluent</v>
      </c>
      <c r="N765" s="2" t="str">
        <f>_xlfn.XLOOKUP(Deals[[#This Row],[CustomerID]],Customers!A:A,Customers!E:E)</f>
        <v>Kuwaiti</v>
      </c>
      <c r="O765" s="2">
        <f>2026-_xlfn.XLOOKUP(Deals[[#This Row],[CustomerID]],Customers!A:A,Customers!D:D)</f>
        <v>23</v>
      </c>
      <c r="P765" s="2" t="str" cm="1">
        <f t="array" ref="P765">_xlfn.IFS(Deals[[#This Row],[Age]]&lt;30,"Under 30",Deals[[#This Row],[Age]]&lt;45,"30-44",TRUE,"45+")</f>
        <v>Under 30</v>
      </c>
      <c r="Q765" s="21">
        <f>IF(Deals[[#This Row],[Status]]="Pending","",Deals[[#This Row],[DecisionDate]]-Deals[[#This Row],[ApplicationDate]])</f>
        <v>16</v>
      </c>
      <c r="R765" s="21">
        <f>IF(Deals[[#This Row],[Status]]="Approved",1,0)</f>
        <v>1</v>
      </c>
      <c r="S765" s="21">
        <f>IF(Deals[[#This Row],[IsApproved]]=1,Deals[[#This Row],[Amount]],0)</f>
        <v>242200</v>
      </c>
      <c r="T765" s="21">
        <f>Deals[[#This Row],[ApprovedAmount]]*Deals[[#This Row],[ProfitRate]]</f>
        <v>10099.74</v>
      </c>
    </row>
    <row r="766" spans="1:20">
      <c r="A766" s="2" t="s">
        <v>1381</v>
      </c>
      <c r="B766" s="3">
        <v>46191</v>
      </c>
      <c r="C766" s="2" t="s">
        <v>1382</v>
      </c>
      <c r="D766" s="2" t="s">
        <v>25</v>
      </c>
      <c r="E766" s="2" t="s">
        <v>15</v>
      </c>
      <c r="F766" s="2" t="s">
        <v>31</v>
      </c>
      <c r="G766" s="4">
        <v>15200</v>
      </c>
      <c r="H766" s="5">
        <v>5.5399999999999998E-2</v>
      </c>
      <c r="I766" s="2">
        <v>24</v>
      </c>
      <c r="J766" s="2" t="s">
        <v>181</v>
      </c>
      <c r="K766" s="2" t="s">
        <v>17</v>
      </c>
      <c r="L766" s="3">
        <v>46195</v>
      </c>
      <c r="M766" s="2" t="str">
        <f>_xlfn.XLOOKUP(Deals[[#This Row],[CustomerID]],Customers!A:A,Customers!F:F)</f>
        <v>Affluent</v>
      </c>
      <c r="N766" s="2" t="str">
        <f>_xlfn.XLOOKUP(Deals[[#This Row],[CustomerID]],Customers!A:A,Customers!E:E)</f>
        <v>Kuwaiti</v>
      </c>
      <c r="O766" s="2">
        <f>2026-_xlfn.XLOOKUP(Deals[[#This Row],[CustomerID]],Customers!A:A,Customers!D:D)</f>
        <v>67</v>
      </c>
      <c r="P766" s="2" t="str" cm="1">
        <f t="array" ref="P766">_xlfn.IFS(Deals[[#This Row],[Age]]&lt;30,"Under 30",Deals[[#This Row],[Age]]&lt;45,"30-44",TRUE,"45+")</f>
        <v>45+</v>
      </c>
      <c r="Q766" s="21">
        <f>IF(Deals[[#This Row],[Status]]="Pending","",Deals[[#This Row],[DecisionDate]]-Deals[[#This Row],[ApplicationDate]])</f>
        <v>4</v>
      </c>
      <c r="R766" s="21">
        <f>IF(Deals[[#This Row],[Status]]="Approved",1,0)</f>
        <v>1</v>
      </c>
      <c r="S766" s="21">
        <f>IF(Deals[[#This Row],[IsApproved]]=1,Deals[[#This Row],[Amount]],0)</f>
        <v>15200</v>
      </c>
      <c r="T766" s="21">
        <f>Deals[[#This Row],[ApprovedAmount]]*Deals[[#This Row],[ProfitRate]]</f>
        <v>842.07999999999993</v>
      </c>
    </row>
    <row r="767" spans="1:20">
      <c r="A767" s="2" t="s">
        <v>1383</v>
      </c>
      <c r="B767" s="3">
        <v>46191</v>
      </c>
      <c r="C767" s="2" t="s">
        <v>462</v>
      </c>
      <c r="D767" s="2" t="s">
        <v>14</v>
      </c>
      <c r="E767" s="2" t="s">
        <v>30</v>
      </c>
      <c r="F767" s="2" t="s">
        <v>3</v>
      </c>
      <c r="G767" s="4">
        <v>12400</v>
      </c>
      <c r="H767" s="5">
        <v>4.53E-2</v>
      </c>
      <c r="I767" s="2">
        <v>60</v>
      </c>
      <c r="J767" s="2" t="s">
        <v>40</v>
      </c>
      <c r="K767" s="2" t="s">
        <v>17</v>
      </c>
      <c r="L767" s="3">
        <v>46195</v>
      </c>
      <c r="M767" s="2" t="str">
        <f>_xlfn.XLOOKUP(Deals[[#This Row],[CustomerID]],Customers!A:A,Customers!F:F)</f>
        <v>Mass</v>
      </c>
      <c r="N767" s="2" t="str">
        <f>_xlfn.XLOOKUP(Deals[[#This Row],[CustomerID]],Customers!A:A,Customers!E:E)</f>
        <v>Non-Kuwaiti</v>
      </c>
      <c r="O767" s="2">
        <f>2026-_xlfn.XLOOKUP(Deals[[#This Row],[CustomerID]],Customers!A:A,Customers!D:D)</f>
        <v>61</v>
      </c>
      <c r="P767" s="2" t="str" cm="1">
        <f t="array" ref="P767">_xlfn.IFS(Deals[[#This Row],[Age]]&lt;30,"Under 30",Deals[[#This Row],[Age]]&lt;45,"30-44",TRUE,"45+")</f>
        <v>45+</v>
      </c>
      <c r="Q767" s="21">
        <f>IF(Deals[[#This Row],[Status]]="Pending","",Deals[[#This Row],[DecisionDate]]-Deals[[#This Row],[ApplicationDate]])</f>
        <v>4</v>
      </c>
      <c r="R767" s="21">
        <f>IF(Deals[[#This Row],[Status]]="Approved",1,0)</f>
        <v>1</v>
      </c>
      <c r="S767" s="21">
        <f>IF(Deals[[#This Row],[IsApproved]]=1,Deals[[#This Row],[Amount]],0)</f>
        <v>12400</v>
      </c>
      <c r="T767" s="21">
        <f>Deals[[#This Row],[ApprovedAmount]]*Deals[[#This Row],[ProfitRate]]</f>
        <v>561.72</v>
      </c>
    </row>
    <row r="768" spans="1:20">
      <c r="A768" s="2" t="s">
        <v>1384</v>
      </c>
      <c r="B768" s="3">
        <v>46191</v>
      </c>
      <c r="C768" s="2" t="s">
        <v>1385</v>
      </c>
      <c r="D768" s="2" t="s">
        <v>54</v>
      </c>
      <c r="E768" s="2" t="s">
        <v>30</v>
      </c>
      <c r="F768" s="2" t="s">
        <v>31</v>
      </c>
      <c r="G768" s="4">
        <v>13100</v>
      </c>
      <c r="H768" s="5">
        <v>3.6799999999999999E-2</v>
      </c>
      <c r="I768" s="2">
        <v>60</v>
      </c>
      <c r="J768" s="2" t="s">
        <v>148</v>
      </c>
      <c r="K768" s="2" t="s">
        <v>45</v>
      </c>
      <c r="L768" s="3">
        <v>46192</v>
      </c>
      <c r="M768" s="2" t="str">
        <f>_xlfn.XLOOKUP(Deals[[#This Row],[CustomerID]],Customers!A:A,Customers!F:F)</f>
        <v>Mass</v>
      </c>
      <c r="N768" s="2" t="str">
        <f>_xlfn.XLOOKUP(Deals[[#This Row],[CustomerID]],Customers!A:A,Customers!E:E)</f>
        <v>Kuwaiti</v>
      </c>
      <c r="O768" s="2">
        <f>2026-_xlfn.XLOOKUP(Deals[[#This Row],[CustomerID]],Customers!A:A,Customers!D:D)</f>
        <v>42</v>
      </c>
      <c r="P768" s="2" t="str" cm="1">
        <f t="array" ref="P768">_xlfn.IFS(Deals[[#This Row],[Age]]&lt;30,"Under 30",Deals[[#This Row],[Age]]&lt;45,"30-44",TRUE,"45+")</f>
        <v>30-44</v>
      </c>
      <c r="Q768" s="21">
        <f>IF(Deals[[#This Row],[Status]]="Pending","",Deals[[#This Row],[DecisionDate]]-Deals[[#This Row],[ApplicationDate]])</f>
        <v>1</v>
      </c>
      <c r="R768" s="21">
        <f>IF(Deals[[#This Row],[Status]]="Approved",1,0)</f>
        <v>0</v>
      </c>
      <c r="S768" s="21">
        <f>IF(Deals[[#This Row],[IsApproved]]=1,Deals[[#This Row],[Amount]],0)</f>
        <v>0</v>
      </c>
      <c r="T768" s="21">
        <f>Deals[[#This Row],[ApprovedAmount]]*Deals[[#This Row],[ProfitRate]]</f>
        <v>0</v>
      </c>
    </row>
    <row r="769" spans="1:20">
      <c r="A769" s="2" t="s">
        <v>1386</v>
      </c>
      <c r="B769" s="3">
        <v>46192</v>
      </c>
      <c r="C769" s="2" t="s">
        <v>404</v>
      </c>
      <c r="D769" s="2" t="s">
        <v>20</v>
      </c>
      <c r="E769" s="2" t="s">
        <v>15</v>
      </c>
      <c r="F769" s="2" t="s">
        <v>3</v>
      </c>
      <c r="G769" s="4">
        <v>24700</v>
      </c>
      <c r="H769" s="5">
        <v>5.3699999999999998E-2</v>
      </c>
      <c r="I769" s="2">
        <v>36</v>
      </c>
      <c r="J769" s="2" t="s">
        <v>22</v>
      </c>
      <c r="K769" s="2" t="s">
        <v>17</v>
      </c>
      <c r="L769" s="3">
        <v>46197</v>
      </c>
      <c r="M769" s="2" t="str">
        <f>_xlfn.XLOOKUP(Deals[[#This Row],[CustomerID]],Customers!A:A,Customers!F:F)</f>
        <v>Affluent</v>
      </c>
      <c r="N769" s="2" t="str">
        <f>_xlfn.XLOOKUP(Deals[[#This Row],[CustomerID]],Customers!A:A,Customers!E:E)</f>
        <v>Kuwaiti</v>
      </c>
      <c r="O769" s="2">
        <f>2026-_xlfn.XLOOKUP(Deals[[#This Row],[CustomerID]],Customers!A:A,Customers!D:D)</f>
        <v>22</v>
      </c>
      <c r="P769" s="2" t="str" cm="1">
        <f t="array" ref="P769">_xlfn.IFS(Deals[[#This Row],[Age]]&lt;30,"Under 30",Deals[[#This Row],[Age]]&lt;45,"30-44",TRUE,"45+")</f>
        <v>Under 30</v>
      </c>
      <c r="Q769" s="21">
        <f>IF(Deals[[#This Row],[Status]]="Pending","",Deals[[#This Row],[DecisionDate]]-Deals[[#This Row],[ApplicationDate]])</f>
        <v>5</v>
      </c>
      <c r="R769" s="21">
        <f>IF(Deals[[#This Row],[Status]]="Approved",1,0)</f>
        <v>1</v>
      </c>
      <c r="S769" s="21">
        <f>IF(Deals[[#This Row],[IsApproved]]=1,Deals[[#This Row],[Amount]],0)</f>
        <v>24700</v>
      </c>
      <c r="T769" s="21">
        <f>Deals[[#This Row],[ApprovedAmount]]*Deals[[#This Row],[ProfitRate]]</f>
        <v>1326.3899999999999</v>
      </c>
    </row>
    <row r="770" spans="1:20">
      <c r="A770" s="2" t="s">
        <v>1387</v>
      </c>
      <c r="B770" s="3">
        <v>46192</v>
      </c>
      <c r="C770" s="2" t="s">
        <v>519</v>
      </c>
      <c r="D770" s="2" t="s">
        <v>20</v>
      </c>
      <c r="E770" s="2" t="s">
        <v>30</v>
      </c>
      <c r="F770" s="2" t="s">
        <v>31</v>
      </c>
      <c r="G770" s="4">
        <v>7700</v>
      </c>
      <c r="H770" s="5">
        <v>3.9699999999999999E-2</v>
      </c>
      <c r="I770" s="2">
        <v>60</v>
      </c>
      <c r="J770" s="2" t="s">
        <v>22</v>
      </c>
      <c r="K770" s="2" t="s">
        <v>17</v>
      </c>
      <c r="L770" s="3">
        <v>46196</v>
      </c>
      <c r="M770" s="2" t="str">
        <f>_xlfn.XLOOKUP(Deals[[#This Row],[CustomerID]],Customers!A:A,Customers!F:F)</f>
        <v>Mass</v>
      </c>
      <c r="N770" s="2" t="str">
        <f>_xlfn.XLOOKUP(Deals[[#This Row],[CustomerID]],Customers!A:A,Customers!E:E)</f>
        <v>Kuwaiti</v>
      </c>
      <c r="O770" s="2">
        <f>2026-_xlfn.XLOOKUP(Deals[[#This Row],[CustomerID]],Customers!A:A,Customers!D:D)</f>
        <v>57</v>
      </c>
      <c r="P770" s="2" t="str" cm="1">
        <f t="array" ref="P770">_xlfn.IFS(Deals[[#This Row],[Age]]&lt;30,"Under 30",Deals[[#This Row],[Age]]&lt;45,"30-44",TRUE,"45+")</f>
        <v>45+</v>
      </c>
      <c r="Q770" s="21">
        <f>IF(Deals[[#This Row],[Status]]="Pending","",Deals[[#This Row],[DecisionDate]]-Deals[[#This Row],[ApplicationDate]])</f>
        <v>4</v>
      </c>
      <c r="R770" s="21">
        <f>IF(Deals[[#This Row],[Status]]="Approved",1,0)</f>
        <v>1</v>
      </c>
      <c r="S770" s="21">
        <f>IF(Deals[[#This Row],[IsApproved]]=1,Deals[[#This Row],[Amount]],0)</f>
        <v>7700</v>
      </c>
      <c r="T770" s="21">
        <f>Deals[[#This Row],[ApprovedAmount]]*Deals[[#This Row],[ProfitRate]]</f>
        <v>305.69</v>
      </c>
    </row>
    <row r="771" spans="1:20">
      <c r="A771" s="2" t="s">
        <v>1388</v>
      </c>
      <c r="B771" s="3">
        <v>46192</v>
      </c>
      <c r="C771" s="2" t="s">
        <v>1389</v>
      </c>
      <c r="D771" s="2" t="s">
        <v>20</v>
      </c>
      <c r="E771" s="2" t="s">
        <v>30</v>
      </c>
      <c r="F771" s="2" t="s">
        <v>3</v>
      </c>
      <c r="G771" s="4">
        <v>17000</v>
      </c>
      <c r="H771" s="5">
        <v>4.0899999999999999E-2</v>
      </c>
      <c r="I771" s="2">
        <v>48</v>
      </c>
      <c r="J771" s="2" t="s">
        <v>22</v>
      </c>
      <c r="K771" s="2" t="s">
        <v>17</v>
      </c>
      <c r="L771" s="3">
        <v>46195</v>
      </c>
      <c r="M771" s="2" t="str">
        <f>_xlfn.XLOOKUP(Deals[[#This Row],[CustomerID]],Customers!A:A,Customers!F:F)</f>
        <v>Affluent</v>
      </c>
      <c r="N771" s="2" t="str">
        <f>_xlfn.XLOOKUP(Deals[[#This Row],[CustomerID]],Customers!A:A,Customers!E:E)</f>
        <v>Non-Kuwaiti</v>
      </c>
      <c r="O771" s="2">
        <f>2026-_xlfn.XLOOKUP(Deals[[#This Row],[CustomerID]],Customers!A:A,Customers!D:D)</f>
        <v>43</v>
      </c>
      <c r="P771" s="2" t="str" cm="1">
        <f t="array" ref="P771">_xlfn.IFS(Deals[[#This Row],[Age]]&lt;30,"Under 30",Deals[[#This Row],[Age]]&lt;45,"30-44",TRUE,"45+")</f>
        <v>30-44</v>
      </c>
      <c r="Q771" s="21">
        <f>IF(Deals[[#This Row],[Status]]="Pending","",Deals[[#This Row],[DecisionDate]]-Deals[[#This Row],[ApplicationDate]])</f>
        <v>3</v>
      </c>
      <c r="R771" s="21">
        <f>IF(Deals[[#This Row],[Status]]="Approved",1,0)</f>
        <v>1</v>
      </c>
      <c r="S771" s="21">
        <f>IF(Deals[[#This Row],[IsApproved]]=1,Deals[[#This Row],[Amount]],0)</f>
        <v>17000</v>
      </c>
      <c r="T771" s="21">
        <f>Deals[[#This Row],[ApprovedAmount]]*Deals[[#This Row],[ProfitRate]]</f>
        <v>695.3</v>
      </c>
    </row>
    <row r="772" spans="1:20">
      <c r="A772" s="2" t="s">
        <v>1390</v>
      </c>
      <c r="B772" s="3">
        <v>46192</v>
      </c>
      <c r="C772" s="2" t="s">
        <v>456</v>
      </c>
      <c r="D772" s="2" t="s">
        <v>54</v>
      </c>
      <c r="E772" s="2" t="s">
        <v>15</v>
      </c>
      <c r="F772" s="2" t="s">
        <v>55</v>
      </c>
      <c r="G772" s="4">
        <v>4200</v>
      </c>
      <c r="H772" s="5">
        <v>6.6100000000000006E-2</v>
      </c>
      <c r="I772" s="2">
        <v>24</v>
      </c>
      <c r="J772" s="2" t="s">
        <v>186</v>
      </c>
      <c r="K772" s="2" t="s">
        <v>45</v>
      </c>
      <c r="L772" s="3">
        <v>46198</v>
      </c>
      <c r="M772" s="2" t="str">
        <f>_xlfn.XLOOKUP(Deals[[#This Row],[CustomerID]],Customers!A:A,Customers!F:F)</f>
        <v>Affluent</v>
      </c>
      <c r="N772" s="2" t="str">
        <f>_xlfn.XLOOKUP(Deals[[#This Row],[CustomerID]],Customers!A:A,Customers!E:E)</f>
        <v>Non-Kuwaiti</v>
      </c>
      <c r="O772" s="2">
        <f>2026-_xlfn.XLOOKUP(Deals[[#This Row],[CustomerID]],Customers!A:A,Customers!D:D)</f>
        <v>42</v>
      </c>
      <c r="P772" s="2" t="str" cm="1">
        <f t="array" ref="P772">_xlfn.IFS(Deals[[#This Row],[Age]]&lt;30,"Under 30",Deals[[#This Row],[Age]]&lt;45,"30-44",TRUE,"45+")</f>
        <v>30-44</v>
      </c>
      <c r="Q772" s="21">
        <f>IF(Deals[[#This Row],[Status]]="Pending","",Deals[[#This Row],[DecisionDate]]-Deals[[#This Row],[ApplicationDate]])</f>
        <v>6</v>
      </c>
      <c r="R772" s="21">
        <f>IF(Deals[[#This Row],[Status]]="Approved",1,0)</f>
        <v>0</v>
      </c>
      <c r="S772" s="21">
        <f>IF(Deals[[#This Row],[IsApproved]]=1,Deals[[#This Row],[Amount]],0)</f>
        <v>0</v>
      </c>
      <c r="T772" s="21">
        <f>Deals[[#This Row],[ApprovedAmount]]*Deals[[#This Row],[ProfitRate]]</f>
        <v>0</v>
      </c>
    </row>
    <row r="773" spans="1:20">
      <c r="A773" s="2" t="s">
        <v>1391</v>
      </c>
      <c r="B773" s="3">
        <v>46192</v>
      </c>
      <c r="C773" s="2" t="s">
        <v>816</v>
      </c>
      <c r="D773" s="2" t="s">
        <v>25</v>
      </c>
      <c r="E773" s="2" t="s">
        <v>43</v>
      </c>
      <c r="F773" s="2" t="s">
        <v>3</v>
      </c>
      <c r="G773" s="4">
        <v>149700</v>
      </c>
      <c r="H773" s="5">
        <v>7.6799999999999993E-2</v>
      </c>
      <c r="I773" s="2">
        <v>84</v>
      </c>
      <c r="J773" s="2" t="s">
        <v>181</v>
      </c>
      <c r="K773" s="2" t="s">
        <v>17</v>
      </c>
      <c r="L773" s="3">
        <v>46201</v>
      </c>
      <c r="M773" s="2" t="str">
        <f>_xlfn.XLOOKUP(Deals[[#This Row],[CustomerID]],Customers!A:A,Customers!F:F)</f>
        <v>Mass</v>
      </c>
      <c r="N773" s="2" t="str">
        <f>_xlfn.XLOOKUP(Deals[[#This Row],[CustomerID]],Customers!A:A,Customers!E:E)</f>
        <v>Non-Kuwaiti</v>
      </c>
      <c r="O773" s="2">
        <f>2026-_xlfn.XLOOKUP(Deals[[#This Row],[CustomerID]],Customers!A:A,Customers!D:D)</f>
        <v>36</v>
      </c>
      <c r="P773" s="2" t="str" cm="1">
        <f t="array" ref="P773">_xlfn.IFS(Deals[[#This Row],[Age]]&lt;30,"Under 30",Deals[[#This Row],[Age]]&lt;45,"30-44",TRUE,"45+")</f>
        <v>30-44</v>
      </c>
      <c r="Q773" s="21">
        <f>IF(Deals[[#This Row],[Status]]="Pending","",Deals[[#This Row],[DecisionDate]]-Deals[[#This Row],[ApplicationDate]])</f>
        <v>9</v>
      </c>
      <c r="R773" s="21">
        <f>IF(Deals[[#This Row],[Status]]="Approved",1,0)</f>
        <v>1</v>
      </c>
      <c r="S773" s="21">
        <f>IF(Deals[[#This Row],[IsApproved]]=1,Deals[[#This Row],[Amount]],0)</f>
        <v>149700</v>
      </c>
      <c r="T773" s="21">
        <f>Deals[[#This Row],[ApprovedAmount]]*Deals[[#This Row],[ProfitRate]]</f>
        <v>11496.96</v>
      </c>
    </row>
    <row r="774" spans="1:20">
      <c r="A774" s="2" t="s">
        <v>1392</v>
      </c>
      <c r="B774" s="3">
        <v>46193</v>
      </c>
      <c r="C774" s="2" t="s">
        <v>932</v>
      </c>
      <c r="D774" s="2" t="s">
        <v>71</v>
      </c>
      <c r="E774" s="2" t="s">
        <v>15</v>
      </c>
      <c r="F774" s="2" t="s">
        <v>55</v>
      </c>
      <c r="G774" s="4">
        <v>11800</v>
      </c>
      <c r="H774" s="5">
        <v>6.0999999999999999E-2</v>
      </c>
      <c r="I774" s="2">
        <v>48</v>
      </c>
      <c r="J774" s="2" t="s">
        <v>101</v>
      </c>
      <c r="K774" s="2" t="s">
        <v>45</v>
      </c>
      <c r="L774" s="3">
        <v>46198</v>
      </c>
      <c r="M774" s="2" t="str">
        <f>_xlfn.XLOOKUP(Deals[[#This Row],[CustomerID]],Customers!A:A,Customers!F:F)</f>
        <v>Mass</v>
      </c>
      <c r="N774" s="2" t="str">
        <f>_xlfn.XLOOKUP(Deals[[#This Row],[CustomerID]],Customers!A:A,Customers!E:E)</f>
        <v>Non-Kuwaiti</v>
      </c>
      <c r="O774" s="2">
        <f>2026-_xlfn.XLOOKUP(Deals[[#This Row],[CustomerID]],Customers!A:A,Customers!D:D)</f>
        <v>29</v>
      </c>
      <c r="P774" s="2" t="str" cm="1">
        <f t="array" ref="P774">_xlfn.IFS(Deals[[#This Row],[Age]]&lt;30,"Under 30",Deals[[#This Row],[Age]]&lt;45,"30-44",TRUE,"45+")</f>
        <v>Under 30</v>
      </c>
      <c r="Q774" s="21">
        <f>IF(Deals[[#This Row],[Status]]="Pending","",Deals[[#This Row],[DecisionDate]]-Deals[[#This Row],[ApplicationDate]])</f>
        <v>5</v>
      </c>
      <c r="R774" s="21">
        <f>IF(Deals[[#This Row],[Status]]="Approved",1,0)</f>
        <v>0</v>
      </c>
      <c r="S774" s="21">
        <f>IF(Deals[[#This Row],[IsApproved]]=1,Deals[[#This Row],[Amount]],0)</f>
        <v>0</v>
      </c>
      <c r="T774" s="21">
        <f>Deals[[#This Row],[ApprovedAmount]]*Deals[[#This Row],[ProfitRate]]</f>
        <v>0</v>
      </c>
    </row>
    <row r="775" spans="1:20">
      <c r="A775" s="2" t="s">
        <v>1393</v>
      </c>
      <c r="B775" s="3">
        <v>46193</v>
      </c>
      <c r="C775" s="2" t="s">
        <v>1272</v>
      </c>
      <c r="D775" s="2" t="s">
        <v>14</v>
      </c>
      <c r="E775" s="2" t="s">
        <v>15</v>
      </c>
      <c r="F775" s="2" t="s">
        <v>55</v>
      </c>
      <c r="G775" s="4">
        <v>14300</v>
      </c>
      <c r="H775" s="5">
        <v>5.28E-2</v>
      </c>
      <c r="I775" s="2">
        <v>12</v>
      </c>
      <c r="J775" s="2" t="s">
        <v>16</v>
      </c>
      <c r="K775" s="2" t="s">
        <v>17</v>
      </c>
      <c r="L775" s="3">
        <v>46194</v>
      </c>
      <c r="M775" s="2" t="str">
        <f>_xlfn.XLOOKUP(Deals[[#This Row],[CustomerID]],Customers!A:A,Customers!F:F)</f>
        <v>Affluent</v>
      </c>
      <c r="N775" s="2" t="str">
        <f>_xlfn.XLOOKUP(Deals[[#This Row],[CustomerID]],Customers!A:A,Customers!E:E)</f>
        <v>Kuwaiti</v>
      </c>
      <c r="O775" s="2">
        <f>2026-_xlfn.XLOOKUP(Deals[[#This Row],[CustomerID]],Customers!A:A,Customers!D:D)</f>
        <v>24</v>
      </c>
      <c r="P775" s="2" t="str" cm="1">
        <f t="array" ref="P775">_xlfn.IFS(Deals[[#This Row],[Age]]&lt;30,"Under 30",Deals[[#This Row],[Age]]&lt;45,"30-44",TRUE,"45+")</f>
        <v>Under 30</v>
      </c>
      <c r="Q775" s="21">
        <f>IF(Deals[[#This Row],[Status]]="Pending","",Deals[[#This Row],[DecisionDate]]-Deals[[#This Row],[ApplicationDate]])</f>
        <v>1</v>
      </c>
      <c r="R775" s="21">
        <f>IF(Deals[[#This Row],[Status]]="Approved",1,0)</f>
        <v>1</v>
      </c>
      <c r="S775" s="21">
        <f>IF(Deals[[#This Row],[IsApproved]]=1,Deals[[#This Row],[Amount]],0)</f>
        <v>14300</v>
      </c>
      <c r="T775" s="21">
        <f>Deals[[#This Row],[ApprovedAmount]]*Deals[[#This Row],[ProfitRate]]</f>
        <v>755.04</v>
      </c>
    </row>
    <row r="776" spans="1:20">
      <c r="A776" s="2" t="s">
        <v>1394</v>
      </c>
      <c r="B776" s="3">
        <v>46193</v>
      </c>
      <c r="C776" s="2" t="s">
        <v>944</v>
      </c>
      <c r="D776" s="2" t="s">
        <v>54</v>
      </c>
      <c r="E776" s="2" t="s">
        <v>15</v>
      </c>
      <c r="F776" s="2" t="s">
        <v>3</v>
      </c>
      <c r="G776" s="4">
        <v>10400</v>
      </c>
      <c r="H776" s="5">
        <v>5.3800000000000001E-2</v>
      </c>
      <c r="I776" s="2">
        <v>60</v>
      </c>
      <c r="J776" s="2" t="s">
        <v>186</v>
      </c>
      <c r="K776" s="2" t="s">
        <v>45</v>
      </c>
      <c r="L776" s="3">
        <v>46195</v>
      </c>
      <c r="M776" s="2" t="str">
        <f>_xlfn.XLOOKUP(Deals[[#This Row],[CustomerID]],Customers!A:A,Customers!F:F)</f>
        <v>Mass</v>
      </c>
      <c r="N776" s="2" t="str">
        <f>_xlfn.XLOOKUP(Deals[[#This Row],[CustomerID]],Customers!A:A,Customers!E:E)</f>
        <v>Kuwaiti</v>
      </c>
      <c r="O776" s="2">
        <f>2026-_xlfn.XLOOKUP(Deals[[#This Row],[CustomerID]],Customers!A:A,Customers!D:D)</f>
        <v>24</v>
      </c>
      <c r="P776" s="2" t="str" cm="1">
        <f t="array" ref="P776">_xlfn.IFS(Deals[[#This Row],[Age]]&lt;30,"Under 30",Deals[[#This Row],[Age]]&lt;45,"30-44",TRUE,"45+")</f>
        <v>Under 30</v>
      </c>
      <c r="Q776" s="21">
        <f>IF(Deals[[#This Row],[Status]]="Pending","",Deals[[#This Row],[DecisionDate]]-Deals[[#This Row],[ApplicationDate]])</f>
        <v>2</v>
      </c>
      <c r="R776" s="21">
        <f>IF(Deals[[#This Row],[Status]]="Approved",1,0)</f>
        <v>0</v>
      </c>
      <c r="S776" s="21">
        <f>IF(Deals[[#This Row],[IsApproved]]=1,Deals[[#This Row],[Amount]],0)</f>
        <v>0</v>
      </c>
      <c r="T776" s="21">
        <f>Deals[[#This Row],[ApprovedAmount]]*Deals[[#This Row],[ProfitRate]]</f>
        <v>0</v>
      </c>
    </row>
    <row r="777" spans="1:20">
      <c r="A777" s="2" t="s">
        <v>1395</v>
      </c>
      <c r="B777" s="3">
        <v>46194</v>
      </c>
      <c r="C777" s="2" t="s">
        <v>1396</v>
      </c>
      <c r="D777" s="2" t="s">
        <v>20</v>
      </c>
      <c r="E777" s="2" t="s">
        <v>30</v>
      </c>
      <c r="F777" s="2" t="s">
        <v>55</v>
      </c>
      <c r="G777" s="4">
        <v>11400</v>
      </c>
      <c r="H777" s="5">
        <v>3.5200000000000002E-2</v>
      </c>
      <c r="I777" s="2">
        <v>60</v>
      </c>
      <c r="J777" s="2" t="s">
        <v>37</v>
      </c>
      <c r="K777" s="2" t="s">
        <v>17</v>
      </c>
      <c r="L777" s="3">
        <v>46197</v>
      </c>
      <c r="M777" s="2" t="str">
        <f>_xlfn.XLOOKUP(Deals[[#This Row],[CustomerID]],Customers!A:A,Customers!F:F)</f>
        <v>Mass</v>
      </c>
      <c r="N777" s="2" t="str">
        <f>_xlfn.XLOOKUP(Deals[[#This Row],[CustomerID]],Customers!A:A,Customers!E:E)</f>
        <v>Kuwaiti</v>
      </c>
      <c r="O777" s="2">
        <f>2026-_xlfn.XLOOKUP(Deals[[#This Row],[CustomerID]],Customers!A:A,Customers!D:D)</f>
        <v>54</v>
      </c>
      <c r="P777" s="2" t="str" cm="1">
        <f t="array" ref="P777">_xlfn.IFS(Deals[[#This Row],[Age]]&lt;30,"Under 30",Deals[[#This Row],[Age]]&lt;45,"30-44",TRUE,"45+")</f>
        <v>45+</v>
      </c>
      <c r="Q777" s="21">
        <f>IF(Deals[[#This Row],[Status]]="Pending","",Deals[[#This Row],[DecisionDate]]-Deals[[#This Row],[ApplicationDate]])</f>
        <v>3</v>
      </c>
      <c r="R777" s="21">
        <f>IF(Deals[[#This Row],[Status]]="Approved",1,0)</f>
        <v>1</v>
      </c>
      <c r="S777" s="21">
        <f>IF(Deals[[#This Row],[IsApproved]]=1,Deals[[#This Row],[Amount]],0)</f>
        <v>11400</v>
      </c>
      <c r="T777" s="21">
        <f>Deals[[#This Row],[ApprovedAmount]]*Deals[[#This Row],[ProfitRate]]</f>
        <v>401.28000000000003</v>
      </c>
    </row>
    <row r="778" spans="1:20">
      <c r="A778" s="2" t="s">
        <v>1397</v>
      </c>
      <c r="B778" s="3">
        <v>46194</v>
      </c>
      <c r="C778" s="2" t="s">
        <v>800</v>
      </c>
      <c r="D778" s="2" t="s">
        <v>20</v>
      </c>
      <c r="E778" s="2" t="s">
        <v>30</v>
      </c>
      <c r="F778" s="2" t="s">
        <v>55</v>
      </c>
      <c r="G778" s="4">
        <v>13700</v>
      </c>
      <c r="H778" s="5">
        <v>3.5700000000000003E-2</v>
      </c>
      <c r="I778" s="2">
        <v>48</v>
      </c>
      <c r="J778" s="2" t="s">
        <v>37</v>
      </c>
      <c r="K778" s="2" t="s">
        <v>45</v>
      </c>
      <c r="L778" s="3">
        <v>46195</v>
      </c>
      <c r="M778" s="2" t="str">
        <f>_xlfn.XLOOKUP(Deals[[#This Row],[CustomerID]],Customers!A:A,Customers!F:F)</f>
        <v>Mass</v>
      </c>
      <c r="N778" s="2" t="str">
        <f>_xlfn.XLOOKUP(Deals[[#This Row],[CustomerID]],Customers!A:A,Customers!E:E)</f>
        <v>Kuwaiti</v>
      </c>
      <c r="O778" s="2">
        <f>2026-_xlfn.XLOOKUP(Deals[[#This Row],[CustomerID]],Customers!A:A,Customers!D:D)</f>
        <v>50</v>
      </c>
      <c r="P778" s="2" t="str" cm="1">
        <f t="array" ref="P778">_xlfn.IFS(Deals[[#This Row],[Age]]&lt;30,"Under 30",Deals[[#This Row],[Age]]&lt;45,"30-44",TRUE,"45+")</f>
        <v>45+</v>
      </c>
      <c r="Q778" s="21">
        <f>IF(Deals[[#This Row],[Status]]="Pending","",Deals[[#This Row],[DecisionDate]]-Deals[[#This Row],[ApplicationDate]])</f>
        <v>1</v>
      </c>
      <c r="R778" s="21">
        <f>IF(Deals[[#This Row],[Status]]="Approved",1,0)</f>
        <v>0</v>
      </c>
      <c r="S778" s="21">
        <f>IF(Deals[[#This Row],[IsApproved]]=1,Deals[[#This Row],[Amount]],0)</f>
        <v>0</v>
      </c>
      <c r="T778" s="21">
        <f>Deals[[#This Row],[ApprovedAmount]]*Deals[[#This Row],[ProfitRate]]</f>
        <v>0</v>
      </c>
    </row>
    <row r="779" spans="1:20">
      <c r="A779" s="2" t="s">
        <v>1398</v>
      </c>
      <c r="B779" s="3">
        <v>46195</v>
      </c>
      <c r="C779" s="2" t="s">
        <v>893</v>
      </c>
      <c r="D779" s="2" t="s">
        <v>14</v>
      </c>
      <c r="E779" s="2" t="s">
        <v>30</v>
      </c>
      <c r="F779" s="2" t="s">
        <v>55</v>
      </c>
      <c r="G779" s="4">
        <v>13600</v>
      </c>
      <c r="H779" s="5">
        <v>4.2299999999999997E-2</v>
      </c>
      <c r="I779" s="2">
        <v>48</v>
      </c>
      <c r="J779" s="2" t="s">
        <v>16</v>
      </c>
      <c r="K779" s="2" t="s">
        <v>17</v>
      </c>
      <c r="L779" s="3">
        <v>46199</v>
      </c>
      <c r="M779" s="2" t="str">
        <f>_xlfn.XLOOKUP(Deals[[#This Row],[CustomerID]],Customers!A:A,Customers!F:F)</f>
        <v>Mass</v>
      </c>
      <c r="N779" s="2" t="str">
        <f>_xlfn.XLOOKUP(Deals[[#This Row],[CustomerID]],Customers!A:A,Customers!E:E)</f>
        <v>Kuwaiti</v>
      </c>
      <c r="O779" s="2">
        <f>2026-_xlfn.XLOOKUP(Deals[[#This Row],[CustomerID]],Customers!A:A,Customers!D:D)</f>
        <v>26</v>
      </c>
      <c r="P779" s="2" t="str" cm="1">
        <f t="array" ref="P779">_xlfn.IFS(Deals[[#This Row],[Age]]&lt;30,"Under 30",Deals[[#This Row],[Age]]&lt;45,"30-44",TRUE,"45+")</f>
        <v>Under 30</v>
      </c>
      <c r="Q779" s="21">
        <f>IF(Deals[[#This Row],[Status]]="Pending","",Deals[[#This Row],[DecisionDate]]-Deals[[#This Row],[ApplicationDate]])</f>
        <v>4</v>
      </c>
      <c r="R779" s="21">
        <f>IF(Deals[[#This Row],[Status]]="Approved",1,0)</f>
        <v>1</v>
      </c>
      <c r="S779" s="21">
        <f>IF(Deals[[#This Row],[IsApproved]]=1,Deals[[#This Row],[Amount]],0)</f>
        <v>13600</v>
      </c>
      <c r="T779" s="21">
        <f>Deals[[#This Row],[ApprovedAmount]]*Deals[[#This Row],[ProfitRate]]</f>
        <v>575.28</v>
      </c>
    </row>
    <row r="780" spans="1:20">
      <c r="A780" s="2" t="s">
        <v>1399</v>
      </c>
      <c r="B780" s="3">
        <v>46196</v>
      </c>
      <c r="C780" s="2" t="s">
        <v>1400</v>
      </c>
      <c r="D780" s="2" t="s">
        <v>20</v>
      </c>
      <c r="E780" s="2" t="s">
        <v>30</v>
      </c>
      <c r="F780" s="2" t="s">
        <v>3</v>
      </c>
      <c r="G780" s="4">
        <v>10700</v>
      </c>
      <c r="H780" s="5">
        <v>4.5699999999999998E-2</v>
      </c>
      <c r="I780" s="2">
        <v>36</v>
      </c>
      <c r="J780" s="2" t="s">
        <v>37</v>
      </c>
      <c r="K780" s="2" t="s">
        <v>17</v>
      </c>
      <c r="L780" s="3">
        <v>46198</v>
      </c>
      <c r="M780" s="2" t="str">
        <f>_xlfn.XLOOKUP(Deals[[#This Row],[CustomerID]],Customers!A:A,Customers!F:F)</f>
        <v>Mass</v>
      </c>
      <c r="N780" s="2" t="str">
        <f>_xlfn.XLOOKUP(Deals[[#This Row],[CustomerID]],Customers!A:A,Customers!E:E)</f>
        <v>Kuwaiti</v>
      </c>
      <c r="O780" s="2">
        <f>2026-_xlfn.XLOOKUP(Deals[[#This Row],[CustomerID]],Customers!A:A,Customers!D:D)</f>
        <v>49</v>
      </c>
      <c r="P780" s="2" t="str" cm="1">
        <f t="array" ref="P780">_xlfn.IFS(Deals[[#This Row],[Age]]&lt;30,"Under 30",Deals[[#This Row],[Age]]&lt;45,"30-44",TRUE,"45+")</f>
        <v>45+</v>
      </c>
      <c r="Q780" s="21">
        <f>IF(Deals[[#This Row],[Status]]="Pending","",Deals[[#This Row],[DecisionDate]]-Deals[[#This Row],[ApplicationDate]])</f>
        <v>2</v>
      </c>
      <c r="R780" s="21">
        <f>IF(Deals[[#This Row],[Status]]="Approved",1,0)</f>
        <v>1</v>
      </c>
      <c r="S780" s="21">
        <f>IF(Deals[[#This Row],[IsApproved]]=1,Deals[[#This Row],[Amount]],0)</f>
        <v>10700</v>
      </c>
      <c r="T780" s="21">
        <f>Deals[[#This Row],[ApprovedAmount]]*Deals[[#This Row],[ProfitRate]]</f>
        <v>488.98999999999995</v>
      </c>
    </row>
    <row r="781" spans="1:20">
      <c r="A781" s="2" t="s">
        <v>1401</v>
      </c>
      <c r="B781" s="3">
        <v>46196</v>
      </c>
      <c r="C781" s="2" t="s">
        <v>384</v>
      </c>
      <c r="D781" s="2" t="s">
        <v>14</v>
      </c>
      <c r="E781" s="2" t="s">
        <v>43</v>
      </c>
      <c r="F781" s="2" t="s">
        <v>31</v>
      </c>
      <c r="G781" s="4">
        <v>56300</v>
      </c>
      <c r="H781" s="5">
        <v>7.9200000000000007E-2</v>
      </c>
      <c r="I781" s="2">
        <v>60</v>
      </c>
      <c r="J781" s="2" t="s">
        <v>40</v>
      </c>
      <c r="K781" s="2" t="s">
        <v>17</v>
      </c>
      <c r="L781" s="3">
        <v>46217</v>
      </c>
      <c r="M781" s="2" t="str">
        <f>_xlfn.XLOOKUP(Deals[[#This Row],[CustomerID]],Customers!A:A,Customers!F:F)</f>
        <v>Affluent</v>
      </c>
      <c r="N781" s="2" t="str">
        <f>_xlfn.XLOOKUP(Deals[[#This Row],[CustomerID]],Customers!A:A,Customers!E:E)</f>
        <v>Kuwaiti</v>
      </c>
      <c r="O781" s="2">
        <f>2026-_xlfn.XLOOKUP(Deals[[#This Row],[CustomerID]],Customers!A:A,Customers!D:D)</f>
        <v>52</v>
      </c>
      <c r="P781" s="2" t="str" cm="1">
        <f t="array" ref="P781">_xlfn.IFS(Deals[[#This Row],[Age]]&lt;30,"Under 30",Deals[[#This Row],[Age]]&lt;45,"30-44",TRUE,"45+")</f>
        <v>45+</v>
      </c>
      <c r="Q781" s="21">
        <f>IF(Deals[[#This Row],[Status]]="Pending","",Deals[[#This Row],[DecisionDate]]-Deals[[#This Row],[ApplicationDate]])</f>
        <v>21</v>
      </c>
      <c r="R781" s="21">
        <f>IF(Deals[[#This Row],[Status]]="Approved",1,0)</f>
        <v>1</v>
      </c>
      <c r="S781" s="21">
        <f>IF(Deals[[#This Row],[IsApproved]]=1,Deals[[#This Row],[Amount]],0)</f>
        <v>56300</v>
      </c>
      <c r="T781" s="21">
        <f>Deals[[#This Row],[ApprovedAmount]]*Deals[[#This Row],[ProfitRate]]</f>
        <v>4458.96</v>
      </c>
    </row>
    <row r="782" spans="1:20">
      <c r="A782" s="2" t="s">
        <v>1402</v>
      </c>
      <c r="B782" s="3">
        <v>46196</v>
      </c>
      <c r="C782" s="2" t="s">
        <v>1154</v>
      </c>
      <c r="D782" s="2" t="s">
        <v>20</v>
      </c>
      <c r="E782" s="2" t="s">
        <v>15</v>
      </c>
      <c r="F782" s="2" t="s">
        <v>55</v>
      </c>
      <c r="G782" s="4">
        <v>25000</v>
      </c>
      <c r="H782" s="5">
        <v>0.06</v>
      </c>
      <c r="I782" s="2">
        <v>60</v>
      </c>
      <c r="J782" s="2" t="s">
        <v>37</v>
      </c>
      <c r="K782" s="2" t="s">
        <v>17</v>
      </c>
      <c r="L782" s="3">
        <v>46198</v>
      </c>
      <c r="M782" s="2" t="str">
        <f>_xlfn.XLOOKUP(Deals[[#This Row],[CustomerID]],Customers!A:A,Customers!F:F)</f>
        <v>Premium</v>
      </c>
      <c r="N782" s="2" t="str">
        <f>_xlfn.XLOOKUP(Deals[[#This Row],[CustomerID]],Customers!A:A,Customers!E:E)</f>
        <v>Kuwaiti</v>
      </c>
      <c r="O782" s="2">
        <f>2026-_xlfn.XLOOKUP(Deals[[#This Row],[CustomerID]],Customers!A:A,Customers!D:D)</f>
        <v>59</v>
      </c>
      <c r="P782" s="2" t="str" cm="1">
        <f t="array" ref="P782">_xlfn.IFS(Deals[[#This Row],[Age]]&lt;30,"Under 30",Deals[[#This Row],[Age]]&lt;45,"30-44",TRUE,"45+")</f>
        <v>45+</v>
      </c>
      <c r="Q782" s="21">
        <f>IF(Deals[[#This Row],[Status]]="Pending","",Deals[[#This Row],[DecisionDate]]-Deals[[#This Row],[ApplicationDate]])</f>
        <v>2</v>
      </c>
      <c r="R782" s="21">
        <f>IF(Deals[[#This Row],[Status]]="Approved",1,0)</f>
        <v>1</v>
      </c>
      <c r="S782" s="21">
        <f>IF(Deals[[#This Row],[IsApproved]]=1,Deals[[#This Row],[Amount]],0)</f>
        <v>25000</v>
      </c>
      <c r="T782" s="21">
        <f>Deals[[#This Row],[ApprovedAmount]]*Deals[[#This Row],[ProfitRate]]</f>
        <v>1500</v>
      </c>
    </row>
    <row r="783" spans="1:20">
      <c r="A783" s="2" t="s">
        <v>1403</v>
      </c>
      <c r="B783" s="3">
        <v>46196</v>
      </c>
      <c r="C783" s="2" t="s">
        <v>178</v>
      </c>
      <c r="D783" s="2" t="s">
        <v>14</v>
      </c>
      <c r="E783" s="2" t="s">
        <v>15</v>
      </c>
      <c r="F783" s="2" t="s">
        <v>3</v>
      </c>
      <c r="G783" s="4">
        <v>21900</v>
      </c>
      <c r="H783" s="5">
        <v>6.3E-2</v>
      </c>
      <c r="I783" s="2">
        <v>12</v>
      </c>
      <c r="J783" s="2" t="s">
        <v>16</v>
      </c>
      <c r="K783" s="2" t="s">
        <v>45</v>
      </c>
      <c r="L783" s="3">
        <v>46202</v>
      </c>
      <c r="M783" s="2" t="str">
        <f>_xlfn.XLOOKUP(Deals[[#This Row],[CustomerID]],Customers!A:A,Customers!F:F)</f>
        <v>Mass</v>
      </c>
      <c r="N783" s="2" t="str">
        <f>_xlfn.XLOOKUP(Deals[[#This Row],[CustomerID]],Customers!A:A,Customers!E:E)</f>
        <v>Non-Kuwaiti</v>
      </c>
      <c r="O783" s="2">
        <f>2026-_xlfn.XLOOKUP(Deals[[#This Row],[CustomerID]],Customers!A:A,Customers!D:D)</f>
        <v>71</v>
      </c>
      <c r="P783" s="2" t="str" cm="1">
        <f t="array" ref="P783">_xlfn.IFS(Deals[[#This Row],[Age]]&lt;30,"Under 30",Deals[[#This Row],[Age]]&lt;45,"30-44",TRUE,"45+")</f>
        <v>45+</v>
      </c>
      <c r="Q783" s="21">
        <f>IF(Deals[[#This Row],[Status]]="Pending","",Deals[[#This Row],[DecisionDate]]-Deals[[#This Row],[ApplicationDate]])</f>
        <v>6</v>
      </c>
      <c r="R783" s="21">
        <f>IF(Deals[[#This Row],[Status]]="Approved",1,0)</f>
        <v>0</v>
      </c>
      <c r="S783" s="21">
        <f>IF(Deals[[#This Row],[IsApproved]]=1,Deals[[#This Row],[Amount]],0)</f>
        <v>0</v>
      </c>
      <c r="T783" s="21">
        <f>Deals[[#This Row],[ApprovedAmount]]*Deals[[#This Row],[ProfitRate]]</f>
        <v>0</v>
      </c>
    </row>
    <row r="784" spans="1:20">
      <c r="A784" s="2" t="s">
        <v>1404</v>
      </c>
      <c r="B784" s="3">
        <v>46196</v>
      </c>
      <c r="C784" s="2" t="s">
        <v>1405</v>
      </c>
      <c r="D784" s="2" t="s">
        <v>29</v>
      </c>
      <c r="E784" s="2" t="s">
        <v>30</v>
      </c>
      <c r="F784" s="2" t="s">
        <v>55</v>
      </c>
      <c r="G784" s="4">
        <v>7400</v>
      </c>
      <c r="H784" s="5">
        <v>4.6100000000000002E-2</v>
      </c>
      <c r="I784" s="2">
        <v>60</v>
      </c>
      <c r="J784" s="2" t="s">
        <v>32</v>
      </c>
      <c r="K784" s="2" t="s">
        <v>17</v>
      </c>
      <c r="L784" s="3">
        <v>46200</v>
      </c>
      <c r="M784" s="2" t="str">
        <f>_xlfn.XLOOKUP(Deals[[#This Row],[CustomerID]],Customers!A:A,Customers!F:F)</f>
        <v>Premium</v>
      </c>
      <c r="N784" s="2" t="str">
        <f>_xlfn.XLOOKUP(Deals[[#This Row],[CustomerID]],Customers!A:A,Customers!E:E)</f>
        <v>Non-Kuwaiti</v>
      </c>
      <c r="O784" s="2">
        <f>2026-_xlfn.XLOOKUP(Deals[[#This Row],[CustomerID]],Customers!A:A,Customers!D:D)</f>
        <v>58</v>
      </c>
      <c r="P784" s="2" t="str" cm="1">
        <f t="array" ref="P784">_xlfn.IFS(Deals[[#This Row],[Age]]&lt;30,"Under 30",Deals[[#This Row],[Age]]&lt;45,"30-44",TRUE,"45+")</f>
        <v>45+</v>
      </c>
      <c r="Q784" s="21">
        <f>IF(Deals[[#This Row],[Status]]="Pending","",Deals[[#This Row],[DecisionDate]]-Deals[[#This Row],[ApplicationDate]])</f>
        <v>4</v>
      </c>
      <c r="R784" s="21">
        <f>IF(Deals[[#This Row],[Status]]="Approved",1,0)</f>
        <v>1</v>
      </c>
      <c r="S784" s="21">
        <f>IF(Deals[[#This Row],[IsApproved]]=1,Deals[[#This Row],[Amount]],0)</f>
        <v>7400</v>
      </c>
      <c r="T784" s="21">
        <f>Deals[[#This Row],[ApprovedAmount]]*Deals[[#This Row],[ProfitRate]]</f>
        <v>341.14000000000004</v>
      </c>
    </row>
    <row r="785" spans="1:20">
      <c r="A785" s="2" t="s">
        <v>1406</v>
      </c>
      <c r="B785" s="3">
        <v>46196</v>
      </c>
      <c r="C785" s="2" t="s">
        <v>1407</v>
      </c>
      <c r="D785" s="2" t="s">
        <v>71</v>
      </c>
      <c r="E785" s="2" t="s">
        <v>43</v>
      </c>
      <c r="F785" s="2" t="s">
        <v>3</v>
      </c>
      <c r="G785" s="4">
        <v>77100</v>
      </c>
      <c r="H785" s="5">
        <v>7.7899999999999997E-2</v>
      </c>
      <c r="I785" s="2">
        <v>60</v>
      </c>
      <c r="J785" s="2" t="s">
        <v>72</v>
      </c>
      <c r="K785" s="2" t="s">
        <v>45</v>
      </c>
      <c r="L785" s="3">
        <v>46207</v>
      </c>
      <c r="M785" s="2" t="str">
        <f>_xlfn.XLOOKUP(Deals[[#This Row],[CustomerID]],Customers!A:A,Customers!F:F)</f>
        <v>Mass</v>
      </c>
      <c r="N785" s="2" t="str">
        <f>_xlfn.XLOOKUP(Deals[[#This Row],[CustomerID]],Customers!A:A,Customers!E:E)</f>
        <v>Non-Kuwaiti</v>
      </c>
      <c r="O785" s="2">
        <f>2026-_xlfn.XLOOKUP(Deals[[#This Row],[CustomerID]],Customers!A:A,Customers!D:D)</f>
        <v>28</v>
      </c>
      <c r="P785" s="2" t="str" cm="1">
        <f t="array" ref="P785">_xlfn.IFS(Deals[[#This Row],[Age]]&lt;30,"Under 30",Deals[[#This Row],[Age]]&lt;45,"30-44",TRUE,"45+")</f>
        <v>Under 30</v>
      </c>
      <c r="Q785" s="21">
        <f>IF(Deals[[#This Row],[Status]]="Pending","",Deals[[#This Row],[DecisionDate]]-Deals[[#This Row],[ApplicationDate]])</f>
        <v>11</v>
      </c>
      <c r="R785" s="21">
        <f>IF(Deals[[#This Row],[Status]]="Approved",1,0)</f>
        <v>0</v>
      </c>
      <c r="S785" s="21">
        <f>IF(Deals[[#This Row],[IsApproved]]=1,Deals[[#This Row],[Amount]],0)</f>
        <v>0</v>
      </c>
      <c r="T785" s="21">
        <f>Deals[[#This Row],[ApprovedAmount]]*Deals[[#This Row],[ProfitRate]]</f>
        <v>0</v>
      </c>
    </row>
    <row r="786" spans="1:20">
      <c r="A786" s="2" t="s">
        <v>1408</v>
      </c>
      <c r="B786" s="3">
        <v>46197</v>
      </c>
      <c r="C786" s="2" t="s">
        <v>1369</v>
      </c>
      <c r="D786" s="2" t="s">
        <v>29</v>
      </c>
      <c r="E786" s="2" t="s">
        <v>21</v>
      </c>
      <c r="F786" s="2" t="s">
        <v>3</v>
      </c>
      <c r="G786" s="4">
        <v>156600</v>
      </c>
      <c r="H786" s="5">
        <v>4.1000000000000002E-2</v>
      </c>
      <c r="I786" s="2">
        <v>300</v>
      </c>
      <c r="J786" s="2" t="s">
        <v>32</v>
      </c>
      <c r="K786" s="2" t="s">
        <v>17</v>
      </c>
      <c r="L786" s="3">
        <v>46226</v>
      </c>
      <c r="M786" s="2" t="str">
        <f>_xlfn.XLOOKUP(Deals[[#This Row],[CustomerID]],Customers!A:A,Customers!F:F)</f>
        <v>Mass</v>
      </c>
      <c r="N786" s="2" t="str">
        <f>_xlfn.XLOOKUP(Deals[[#This Row],[CustomerID]],Customers!A:A,Customers!E:E)</f>
        <v>Non-Kuwaiti</v>
      </c>
      <c r="O786" s="2">
        <f>2026-_xlfn.XLOOKUP(Deals[[#This Row],[CustomerID]],Customers!A:A,Customers!D:D)</f>
        <v>40</v>
      </c>
      <c r="P786" s="2" t="str" cm="1">
        <f t="array" ref="P786">_xlfn.IFS(Deals[[#This Row],[Age]]&lt;30,"Under 30",Deals[[#This Row],[Age]]&lt;45,"30-44",TRUE,"45+")</f>
        <v>30-44</v>
      </c>
      <c r="Q786" s="21">
        <f>IF(Deals[[#This Row],[Status]]="Pending","",Deals[[#This Row],[DecisionDate]]-Deals[[#This Row],[ApplicationDate]])</f>
        <v>29</v>
      </c>
      <c r="R786" s="21">
        <f>IF(Deals[[#This Row],[Status]]="Approved",1,0)</f>
        <v>1</v>
      </c>
      <c r="S786" s="21">
        <f>IF(Deals[[#This Row],[IsApproved]]=1,Deals[[#This Row],[Amount]],0)</f>
        <v>156600</v>
      </c>
      <c r="T786" s="21">
        <f>Deals[[#This Row],[ApprovedAmount]]*Deals[[#This Row],[ProfitRate]]</f>
        <v>6420.6</v>
      </c>
    </row>
    <row r="787" spans="1:20">
      <c r="A787" s="2" t="s">
        <v>1409</v>
      </c>
      <c r="B787" s="3">
        <v>46197</v>
      </c>
      <c r="C787" s="2" t="s">
        <v>1410</v>
      </c>
      <c r="D787" s="2" t="s">
        <v>71</v>
      </c>
      <c r="E787" s="2" t="s">
        <v>30</v>
      </c>
      <c r="F787" s="2" t="s">
        <v>3</v>
      </c>
      <c r="G787" s="4">
        <v>17100</v>
      </c>
      <c r="H787" s="5">
        <v>3.6999999999999998E-2</v>
      </c>
      <c r="I787" s="2">
        <v>36</v>
      </c>
      <c r="J787" s="2" t="s">
        <v>101</v>
      </c>
      <c r="K787" s="2" t="s">
        <v>17</v>
      </c>
      <c r="L787" s="3">
        <v>46206</v>
      </c>
      <c r="M787" s="2" t="str">
        <f>_xlfn.XLOOKUP(Deals[[#This Row],[CustomerID]],Customers!A:A,Customers!F:F)</f>
        <v>Affluent</v>
      </c>
      <c r="N787" s="2" t="str">
        <f>_xlfn.XLOOKUP(Deals[[#This Row],[CustomerID]],Customers!A:A,Customers!E:E)</f>
        <v>Kuwaiti</v>
      </c>
      <c r="O787" s="2">
        <f>2026-_xlfn.XLOOKUP(Deals[[#This Row],[CustomerID]],Customers!A:A,Customers!D:D)</f>
        <v>42</v>
      </c>
      <c r="P787" s="2" t="str" cm="1">
        <f t="array" ref="P787">_xlfn.IFS(Deals[[#This Row],[Age]]&lt;30,"Under 30",Deals[[#This Row],[Age]]&lt;45,"30-44",TRUE,"45+")</f>
        <v>30-44</v>
      </c>
      <c r="Q787" s="21">
        <f>IF(Deals[[#This Row],[Status]]="Pending","",Deals[[#This Row],[DecisionDate]]-Deals[[#This Row],[ApplicationDate]])</f>
        <v>9</v>
      </c>
      <c r="R787" s="21">
        <f>IF(Deals[[#This Row],[Status]]="Approved",1,0)</f>
        <v>1</v>
      </c>
      <c r="S787" s="21">
        <f>IF(Deals[[#This Row],[IsApproved]]=1,Deals[[#This Row],[Amount]],0)</f>
        <v>17100</v>
      </c>
      <c r="T787" s="21">
        <f>Deals[[#This Row],[ApprovedAmount]]*Deals[[#This Row],[ProfitRate]]</f>
        <v>632.69999999999993</v>
      </c>
    </row>
    <row r="788" spans="1:20">
      <c r="A788" s="2" t="s">
        <v>1411</v>
      </c>
      <c r="B788" s="3">
        <v>46197</v>
      </c>
      <c r="C788" s="2" t="s">
        <v>1075</v>
      </c>
      <c r="D788" s="2" t="s">
        <v>20</v>
      </c>
      <c r="E788" s="2" t="s">
        <v>15</v>
      </c>
      <c r="F788" s="2" t="s">
        <v>3</v>
      </c>
      <c r="G788" s="4">
        <v>18900</v>
      </c>
      <c r="H788" s="5">
        <v>6.1499999999999999E-2</v>
      </c>
      <c r="I788" s="2">
        <v>36</v>
      </c>
      <c r="J788" s="2" t="s">
        <v>44</v>
      </c>
      <c r="K788" s="2" t="s">
        <v>17</v>
      </c>
      <c r="L788" s="3">
        <v>46202</v>
      </c>
      <c r="M788" s="2" t="str">
        <f>_xlfn.XLOOKUP(Deals[[#This Row],[CustomerID]],Customers!A:A,Customers!F:F)</f>
        <v>Affluent</v>
      </c>
      <c r="N788" s="2" t="str">
        <f>_xlfn.XLOOKUP(Deals[[#This Row],[CustomerID]],Customers!A:A,Customers!E:E)</f>
        <v>Non-Kuwaiti</v>
      </c>
      <c r="O788" s="2">
        <f>2026-_xlfn.XLOOKUP(Deals[[#This Row],[CustomerID]],Customers!A:A,Customers!D:D)</f>
        <v>37</v>
      </c>
      <c r="P788" s="2" t="str" cm="1">
        <f t="array" ref="P788">_xlfn.IFS(Deals[[#This Row],[Age]]&lt;30,"Under 30",Deals[[#This Row],[Age]]&lt;45,"30-44",TRUE,"45+")</f>
        <v>30-44</v>
      </c>
      <c r="Q788" s="21">
        <f>IF(Deals[[#This Row],[Status]]="Pending","",Deals[[#This Row],[DecisionDate]]-Deals[[#This Row],[ApplicationDate]])</f>
        <v>5</v>
      </c>
      <c r="R788" s="21">
        <f>IF(Deals[[#This Row],[Status]]="Approved",1,0)</f>
        <v>1</v>
      </c>
      <c r="S788" s="21">
        <f>IF(Deals[[#This Row],[IsApproved]]=1,Deals[[#This Row],[Amount]],0)</f>
        <v>18900</v>
      </c>
      <c r="T788" s="21">
        <f>Deals[[#This Row],[ApprovedAmount]]*Deals[[#This Row],[ProfitRate]]</f>
        <v>1162.3499999999999</v>
      </c>
    </row>
    <row r="789" spans="1:20">
      <c r="A789" s="2" t="s">
        <v>1412</v>
      </c>
      <c r="B789" s="3">
        <v>46197</v>
      </c>
      <c r="C789" s="2" t="s">
        <v>1413</v>
      </c>
      <c r="D789" s="2" t="s">
        <v>25</v>
      </c>
      <c r="E789" s="2" t="s">
        <v>21</v>
      </c>
      <c r="F789" s="2" t="s">
        <v>3</v>
      </c>
      <c r="G789" s="4">
        <v>238100</v>
      </c>
      <c r="H789" s="5">
        <v>4.4499999999999998E-2</v>
      </c>
      <c r="I789" s="2">
        <v>120</v>
      </c>
      <c r="J789" s="2" t="s">
        <v>66</v>
      </c>
      <c r="K789" s="2" t="s">
        <v>17</v>
      </c>
      <c r="L789" s="3">
        <v>46213</v>
      </c>
      <c r="M789" s="2" t="str">
        <f>_xlfn.XLOOKUP(Deals[[#This Row],[CustomerID]],Customers!A:A,Customers!F:F)</f>
        <v>Mass</v>
      </c>
      <c r="N789" s="2" t="str">
        <f>_xlfn.XLOOKUP(Deals[[#This Row],[CustomerID]],Customers!A:A,Customers!E:E)</f>
        <v>Kuwaiti</v>
      </c>
      <c r="O789" s="2">
        <f>2026-_xlfn.XLOOKUP(Deals[[#This Row],[CustomerID]],Customers!A:A,Customers!D:D)</f>
        <v>71</v>
      </c>
      <c r="P789" s="2" t="str" cm="1">
        <f t="array" ref="P789">_xlfn.IFS(Deals[[#This Row],[Age]]&lt;30,"Under 30",Deals[[#This Row],[Age]]&lt;45,"30-44",TRUE,"45+")</f>
        <v>45+</v>
      </c>
      <c r="Q789" s="21">
        <f>IF(Deals[[#This Row],[Status]]="Pending","",Deals[[#This Row],[DecisionDate]]-Deals[[#This Row],[ApplicationDate]])</f>
        <v>16</v>
      </c>
      <c r="R789" s="21">
        <f>IF(Deals[[#This Row],[Status]]="Approved",1,0)</f>
        <v>1</v>
      </c>
      <c r="S789" s="21">
        <f>IF(Deals[[#This Row],[IsApproved]]=1,Deals[[#This Row],[Amount]],0)</f>
        <v>238100</v>
      </c>
      <c r="T789" s="21">
        <f>Deals[[#This Row],[ApprovedAmount]]*Deals[[#This Row],[ProfitRate]]</f>
        <v>10595.449999999999</v>
      </c>
    </row>
    <row r="790" spans="1:20">
      <c r="A790" s="2" t="s">
        <v>1414</v>
      </c>
      <c r="B790" s="3">
        <v>46197</v>
      </c>
      <c r="C790" s="2" t="s">
        <v>1415</v>
      </c>
      <c r="D790" s="2" t="s">
        <v>29</v>
      </c>
      <c r="E790" s="2" t="s">
        <v>21</v>
      </c>
      <c r="F790" s="2" t="s">
        <v>31</v>
      </c>
      <c r="G790" s="4">
        <v>48800</v>
      </c>
      <c r="H790" s="5">
        <v>4.41E-2</v>
      </c>
      <c r="I790" s="2">
        <v>240</v>
      </c>
      <c r="J790" s="2" t="s">
        <v>123</v>
      </c>
      <c r="K790" s="2" t="s">
        <v>17</v>
      </c>
      <c r="L790" s="3">
        <v>46220</v>
      </c>
      <c r="M790" s="2" t="str">
        <f>_xlfn.XLOOKUP(Deals[[#This Row],[CustomerID]],Customers!A:A,Customers!F:F)</f>
        <v>Mass</v>
      </c>
      <c r="N790" s="2" t="str">
        <f>_xlfn.XLOOKUP(Deals[[#This Row],[CustomerID]],Customers!A:A,Customers!E:E)</f>
        <v>Kuwaiti</v>
      </c>
      <c r="O790" s="2">
        <f>2026-_xlfn.XLOOKUP(Deals[[#This Row],[CustomerID]],Customers!A:A,Customers!D:D)</f>
        <v>27</v>
      </c>
      <c r="P790" s="2" t="str" cm="1">
        <f t="array" ref="P790">_xlfn.IFS(Deals[[#This Row],[Age]]&lt;30,"Under 30",Deals[[#This Row],[Age]]&lt;45,"30-44",TRUE,"45+")</f>
        <v>Under 30</v>
      </c>
      <c r="Q790" s="21">
        <f>IF(Deals[[#This Row],[Status]]="Pending","",Deals[[#This Row],[DecisionDate]]-Deals[[#This Row],[ApplicationDate]])</f>
        <v>23</v>
      </c>
      <c r="R790" s="21">
        <f>IF(Deals[[#This Row],[Status]]="Approved",1,0)</f>
        <v>1</v>
      </c>
      <c r="S790" s="21">
        <f>IF(Deals[[#This Row],[IsApproved]]=1,Deals[[#This Row],[Amount]],0)</f>
        <v>48800</v>
      </c>
      <c r="T790" s="21">
        <f>Deals[[#This Row],[ApprovedAmount]]*Deals[[#This Row],[ProfitRate]]</f>
        <v>2152.08</v>
      </c>
    </row>
    <row r="791" spans="1:20">
      <c r="A791" s="2" t="s">
        <v>1416</v>
      </c>
      <c r="B791" s="3">
        <v>46197</v>
      </c>
      <c r="C791" s="2" t="s">
        <v>511</v>
      </c>
      <c r="D791" s="2" t="s">
        <v>14</v>
      </c>
      <c r="E791" s="2" t="s">
        <v>15</v>
      </c>
      <c r="F791" s="2" t="s">
        <v>3</v>
      </c>
      <c r="G791" s="4">
        <v>24300</v>
      </c>
      <c r="H791" s="5">
        <v>6.2600000000000003E-2</v>
      </c>
      <c r="I791" s="2">
        <v>24</v>
      </c>
      <c r="J791" s="2" t="s">
        <v>16</v>
      </c>
      <c r="K791" s="2" t="s">
        <v>17</v>
      </c>
      <c r="L791" s="3">
        <v>46202</v>
      </c>
      <c r="M791" s="2" t="str">
        <f>_xlfn.XLOOKUP(Deals[[#This Row],[CustomerID]],Customers!A:A,Customers!F:F)</f>
        <v>Mass</v>
      </c>
      <c r="N791" s="2" t="str">
        <f>_xlfn.XLOOKUP(Deals[[#This Row],[CustomerID]],Customers!A:A,Customers!E:E)</f>
        <v>Kuwaiti</v>
      </c>
      <c r="O791" s="2">
        <f>2026-_xlfn.XLOOKUP(Deals[[#This Row],[CustomerID]],Customers!A:A,Customers!D:D)</f>
        <v>41</v>
      </c>
      <c r="P791" s="2" t="str" cm="1">
        <f t="array" ref="P791">_xlfn.IFS(Deals[[#This Row],[Age]]&lt;30,"Under 30",Deals[[#This Row],[Age]]&lt;45,"30-44",TRUE,"45+")</f>
        <v>30-44</v>
      </c>
      <c r="Q791" s="21">
        <f>IF(Deals[[#This Row],[Status]]="Pending","",Deals[[#This Row],[DecisionDate]]-Deals[[#This Row],[ApplicationDate]])</f>
        <v>5</v>
      </c>
      <c r="R791" s="21">
        <f>IF(Deals[[#This Row],[Status]]="Approved",1,0)</f>
        <v>1</v>
      </c>
      <c r="S791" s="21">
        <f>IF(Deals[[#This Row],[IsApproved]]=1,Deals[[#This Row],[Amount]],0)</f>
        <v>24300</v>
      </c>
      <c r="T791" s="21">
        <f>Deals[[#This Row],[ApprovedAmount]]*Deals[[#This Row],[ProfitRate]]</f>
        <v>1521.18</v>
      </c>
    </row>
    <row r="792" spans="1:20">
      <c r="A792" s="2" t="s">
        <v>1417</v>
      </c>
      <c r="B792" s="3">
        <v>46197</v>
      </c>
      <c r="C792" s="2" t="s">
        <v>451</v>
      </c>
      <c r="D792" s="2" t="s">
        <v>71</v>
      </c>
      <c r="E792" s="2" t="s">
        <v>43</v>
      </c>
      <c r="F792" s="2" t="s">
        <v>31</v>
      </c>
      <c r="G792" s="4">
        <v>87200</v>
      </c>
      <c r="H792" s="5">
        <v>7.7700000000000005E-2</v>
      </c>
      <c r="I792" s="2">
        <v>60</v>
      </c>
      <c r="J792" s="2" t="s">
        <v>101</v>
      </c>
      <c r="K792" s="2" t="s">
        <v>45</v>
      </c>
      <c r="L792" s="3">
        <v>46207</v>
      </c>
      <c r="M792" s="2" t="str">
        <f>_xlfn.XLOOKUP(Deals[[#This Row],[CustomerID]],Customers!A:A,Customers!F:F)</f>
        <v>Mass</v>
      </c>
      <c r="N792" s="2" t="str">
        <f>_xlfn.XLOOKUP(Deals[[#This Row],[CustomerID]],Customers!A:A,Customers!E:E)</f>
        <v>Non-Kuwaiti</v>
      </c>
      <c r="O792" s="2">
        <f>2026-_xlfn.XLOOKUP(Deals[[#This Row],[CustomerID]],Customers!A:A,Customers!D:D)</f>
        <v>33</v>
      </c>
      <c r="P792" s="2" t="str" cm="1">
        <f t="array" ref="P792">_xlfn.IFS(Deals[[#This Row],[Age]]&lt;30,"Under 30",Deals[[#This Row],[Age]]&lt;45,"30-44",TRUE,"45+")</f>
        <v>30-44</v>
      </c>
      <c r="Q792" s="21">
        <f>IF(Deals[[#This Row],[Status]]="Pending","",Deals[[#This Row],[DecisionDate]]-Deals[[#This Row],[ApplicationDate]])</f>
        <v>10</v>
      </c>
      <c r="R792" s="21">
        <f>IF(Deals[[#This Row],[Status]]="Approved",1,0)</f>
        <v>0</v>
      </c>
      <c r="S792" s="21">
        <f>IF(Deals[[#This Row],[IsApproved]]=1,Deals[[#This Row],[Amount]],0)</f>
        <v>0</v>
      </c>
      <c r="T792" s="21">
        <f>Deals[[#This Row],[ApprovedAmount]]*Deals[[#This Row],[ProfitRate]]</f>
        <v>0</v>
      </c>
    </row>
    <row r="793" spans="1:20">
      <c r="A793" s="2" t="s">
        <v>1418</v>
      </c>
      <c r="B793" s="3">
        <v>46197</v>
      </c>
      <c r="C793" s="2" t="s">
        <v>1419</v>
      </c>
      <c r="D793" s="2" t="s">
        <v>20</v>
      </c>
      <c r="E793" s="2" t="s">
        <v>21</v>
      </c>
      <c r="F793" s="2" t="s">
        <v>3</v>
      </c>
      <c r="G793" s="4">
        <v>245500</v>
      </c>
      <c r="H793" s="5">
        <v>3.9E-2</v>
      </c>
      <c r="I793" s="2">
        <v>120</v>
      </c>
      <c r="J793" s="2" t="s">
        <v>37</v>
      </c>
      <c r="K793" s="2" t="s">
        <v>45</v>
      </c>
      <c r="L793" s="3">
        <v>46207</v>
      </c>
      <c r="M793" s="2" t="str">
        <f>_xlfn.XLOOKUP(Deals[[#This Row],[CustomerID]],Customers!A:A,Customers!F:F)</f>
        <v>Mass</v>
      </c>
      <c r="N793" s="2" t="str">
        <f>_xlfn.XLOOKUP(Deals[[#This Row],[CustomerID]],Customers!A:A,Customers!E:E)</f>
        <v>Non-Kuwaiti</v>
      </c>
      <c r="O793" s="2">
        <f>2026-_xlfn.XLOOKUP(Deals[[#This Row],[CustomerID]],Customers!A:A,Customers!D:D)</f>
        <v>31</v>
      </c>
      <c r="P793" s="2" t="str" cm="1">
        <f t="array" ref="P793">_xlfn.IFS(Deals[[#This Row],[Age]]&lt;30,"Under 30",Deals[[#This Row],[Age]]&lt;45,"30-44",TRUE,"45+")</f>
        <v>30-44</v>
      </c>
      <c r="Q793" s="21">
        <f>IF(Deals[[#This Row],[Status]]="Pending","",Deals[[#This Row],[DecisionDate]]-Deals[[#This Row],[ApplicationDate]])</f>
        <v>10</v>
      </c>
      <c r="R793" s="21">
        <f>IF(Deals[[#This Row],[Status]]="Approved",1,0)</f>
        <v>0</v>
      </c>
      <c r="S793" s="21">
        <f>IF(Deals[[#This Row],[IsApproved]]=1,Deals[[#This Row],[Amount]],0)</f>
        <v>0</v>
      </c>
      <c r="T793" s="21">
        <f>Deals[[#This Row],[ApprovedAmount]]*Deals[[#This Row],[ProfitRate]]</f>
        <v>0</v>
      </c>
    </row>
    <row r="794" spans="1:20">
      <c r="A794" s="2" t="s">
        <v>1420</v>
      </c>
      <c r="B794" s="3">
        <v>46198</v>
      </c>
      <c r="C794" s="2" t="s">
        <v>1421</v>
      </c>
      <c r="D794" s="2" t="s">
        <v>20</v>
      </c>
      <c r="E794" s="2" t="s">
        <v>15</v>
      </c>
      <c r="F794" s="2" t="s">
        <v>3</v>
      </c>
      <c r="G794" s="4">
        <v>2400</v>
      </c>
      <c r="H794" s="5">
        <v>6.8900000000000003E-2</v>
      </c>
      <c r="I794" s="2">
        <v>24</v>
      </c>
      <c r="J794" s="2" t="s">
        <v>22</v>
      </c>
      <c r="K794" s="2" t="s">
        <v>17</v>
      </c>
      <c r="L794" s="3">
        <v>46203</v>
      </c>
      <c r="M794" s="2" t="str">
        <f>_xlfn.XLOOKUP(Deals[[#This Row],[CustomerID]],Customers!A:A,Customers!F:F)</f>
        <v>Mass</v>
      </c>
      <c r="N794" s="2" t="str">
        <f>_xlfn.XLOOKUP(Deals[[#This Row],[CustomerID]],Customers!A:A,Customers!E:E)</f>
        <v>Kuwaiti</v>
      </c>
      <c r="O794" s="2">
        <f>2026-_xlfn.XLOOKUP(Deals[[#This Row],[CustomerID]],Customers!A:A,Customers!D:D)</f>
        <v>38</v>
      </c>
      <c r="P794" s="2" t="str" cm="1">
        <f t="array" ref="P794">_xlfn.IFS(Deals[[#This Row],[Age]]&lt;30,"Under 30",Deals[[#This Row],[Age]]&lt;45,"30-44",TRUE,"45+")</f>
        <v>30-44</v>
      </c>
      <c r="Q794" s="21">
        <f>IF(Deals[[#This Row],[Status]]="Pending","",Deals[[#This Row],[DecisionDate]]-Deals[[#This Row],[ApplicationDate]])</f>
        <v>5</v>
      </c>
      <c r="R794" s="21">
        <f>IF(Deals[[#This Row],[Status]]="Approved",1,0)</f>
        <v>1</v>
      </c>
      <c r="S794" s="21">
        <f>IF(Deals[[#This Row],[IsApproved]]=1,Deals[[#This Row],[Amount]],0)</f>
        <v>2400</v>
      </c>
      <c r="T794" s="21">
        <f>Deals[[#This Row],[ApprovedAmount]]*Deals[[#This Row],[ProfitRate]]</f>
        <v>165.36</v>
      </c>
    </row>
    <row r="795" spans="1:20">
      <c r="A795" s="2" t="s">
        <v>1422</v>
      </c>
      <c r="B795" s="3">
        <v>46198</v>
      </c>
      <c r="C795" s="2" t="s">
        <v>519</v>
      </c>
      <c r="D795" s="2" t="s">
        <v>14</v>
      </c>
      <c r="E795" s="2" t="s">
        <v>21</v>
      </c>
      <c r="F795" s="2" t="s">
        <v>31</v>
      </c>
      <c r="G795" s="4">
        <v>248500</v>
      </c>
      <c r="H795" s="5">
        <v>3.9100000000000003E-2</v>
      </c>
      <c r="I795" s="2">
        <v>180</v>
      </c>
      <c r="J795" s="2" t="s">
        <v>40</v>
      </c>
      <c r="K795" s="2" t="s">
        <v>45</v>
      </c>
      <c r="L795" s="3">
        <v>46214</v>
      </c>
      <c r="M795" s="2" t="str">
        <f>_xlfn.XLOOKUP(Deals[[#This Row],[CustomerID]],Customers!A:A,Customers!F:F)</f>
        <v>Mass</v>
      </c>
      <c r="N795" s="2" t="str">
        <f>_xlfn.XLOOKUP(Deals[[#This Row],[CustomerID]],Customers!A:A,Customers!E:E)</f>
        <v>Kuwaiti</v>
      </c>
      <c r="O795" s="2">
        <f>2026-_xlfn.XLOOKUP(Deals[[#This Row],[CustomerID]],Customers!A:A,Customers!D:D)</f>
        <v>57</v>
      </c>
      <c r="P795" s="2" t="str" cm="1">
        <f t="array" ref="P795">_xlfn.IFS(Deals[[#This Row],[Age]]&lt;30,"Under 30",Deals[[#This Row],[Age]]&lt;45,"30-44",TRUE,"45+")</f>
        <v>45+</v>
      </c>
      <c r="Q795" s="21">
        <f>IF(Deals[[#This Row],[Status]]="Pending","",Deals[[#This Row],[DecisionDate]]-Deals[[#This Row],[ApplicationDate]])</f>
        <v>16</v>
      </c>
      <c r="R795" s="21">
        <f>IF(Deals[[#This Row],[Status]]="Approved",1,0)</f>
        <v>0</v>
      </c>
      <c r="S795" s="21">
        <f>IF(Deals[[#This Row],[IsApproved]]=1,Deals[[#This Row],[Amount]],0)</f>
        <v>0</v>
      </c>
      <c r="T795" s="21">
        <f>Deals[[#This Row],[ApprovedAmount]]*Deals[[#This Row],[ProfitRate]]</f>
        <v>0</v>
      </c>
    </row>
    <row r="796" spans="1:20">
      <c r="A796" s="2" t="s">
        <v>1423</v>
      </c>
      <c r="B796" s="3">
        <v>46198</v>
      </c>
      <c r="C796" s="2" t="s">
        <v>1424</v>
      </c>
      <c r="D796" s="2" t="s">
        <v>14</v>
      </c>
      <c r="E796" s="2" t="s">
        <v>30</v>
      </c>
      <c r="F796" s="2" t="s">
        <v>3</v>
      </c>
      <c r="G796" s="4">
        <v>10000</v>
      </c>
      <c r="H796" s="5">
        <v>4.5400000000000003E-2</v>
      </c>
      <c r="I796" s="2">
        <v>60</v>
      </c>
      <c r="J796" s="2" t="s">
        <v>40</v>
      </c>
      <c r="K796" s="2" t="s">
        <v>17</v>
      </c>
      <c r="L796" s="3">
        <v>46199</v>
      </c>
      <c r="M796" s="2" t="str">
        <f>_xlfn.XLOOKUP(Deals[[#This Row],[CustomerID]],Customers!A:A,Customers!F:F)</f>
        <v>Mass</v>
      </c>
      <c r="N796" s="2" t="str">
        <f>_xlfn.XLOOKUP(Deals[[#This Row],[CustomerID]],Customers!A:A,Customers!E:E)</f>
        <v>Kuwaiti</v>
      </c>
      <c r="O796" s="2">
        <f>2026-_xlfn.XLOOKUP(Deals[[#This Row],[CustomerID]],Customers!A:A,Customers!D:D)</f>
        <v>25</v>
      </c>
      <c r="P796" s="2" t="str" cm="1">
        <f t="array" ref="P796">_xlfn.IFS(Deals[[#This Row],[Age]]&lt;30,"Under 30",Deals[[#This Row],[Age]]&lt;45,"30-44",TRUE,"45+")</f>
        <v>Under 30</v>
      </c>
      <c r="Q796" s="21">
        <f>IF(Deals[[#This Row],[Status]]="Pending","",Deals[[#This Row],[DecisionDate]]-Deals[[#This Row],[ApplicationDate]])</f>
        <v>1</v>
      </c>
      <c r="R796" s="21">
        <f>IF(Deals[[#This Row],[Status]]="Approved",1,0)</f>
        <v>1</v>
      </c>
      <c r="S796" s="21">
        <f>IF(Deals[[#This Row],[IsApproved]]=1,Deals[[#This Row],[Amount]],0)</f>
        <v>10000</v>
      </c>
      <c r="T796" s="21">
        <f>Deals[[#This Row],[ApprovedAmount]]*Deals[[#This Row],[ProfitRate]]</f>
        <v>454.00000000000006</v>
      </c>
    </row>
    <row r="797" spans="1:20">
      <c r="A797" s="2" t="s">
        <v>1425</v>
      </c>
      <c r="B797" s="3">
        <v>46198</v>
      </c>
      <c r="C797" s="2" t="s">
        <v>451</v>
      </c>
      <c r="D797" s="2" t="s">
        <v>25</v>
      </c>
      <c r="E797" s="2" t="s">
        <v>43</v>
      </c>
      <c r="F797" s="2" t="s">
        <v>31</v>
      </c>
      <c r="G797" s="4">
        <v>44400</v>
      </c>
      <c r="H797" s="5">
        <v>5.7799999999999997E-2</v>
      </c>
      <c r="I797" s="2">
        <v>84</v>
      </c>
      <c r="J797" s="2" t="s">
        <v>66</v>
      </c>
      <c r="K797" s="2" t="s">
        <v>45</v>
      </c>
      <c r="L797" s="3">
        <v>46213</v>
      </c>
      <c r="M797" s="2" t="str">
        <f>_xlfn.XLOOKUP(Deals[[#This Row],[CustomerID]],Customers!A:A,Customers!F:F)</f>
        <v>Mass</v>
      </c>
      <c r="N797" s="2" t="str">
        <f>_xlfn.XLOOKUP(Deals[[#This Row],[CustomerID]],Customers!A:A,Customers!E:E)</f>
        <v>Non-Kuwaiti</v>
      </c>
      <c r="O797" s="2">
        <f>2026-_xlfn.XLOOKUP(Deals[[#This Row],[CustomerID]],Customers!A:A,Customers!D:D)</f>
        <v>33</v>
      </c>
      <c r="P797" s="2" t="str" cm="1">
        <f t="array" ref="P797">_xlfn.IFS(Deals[[#This Row],[Age]]&lt;30,"Under 30",Deals[[#This Row],[Age]]&lt;45,"30-44",TRUE,"45+")</f>
        <v>30-44</v>
      </c>
      <c r="Q797" s="21">
        <f>IF(Deals[[#This Row],[Status]]="Pending","",Deals[[#This Row],[DecisionDate]]-Deals[[#This Row],[ApplicationDate]])</f>
        <v>15</v>
      </c>
      <c r="R797" s="21">
        <f>IF(Deals[[#This Row],[Status]]="Approved",1,0)</f>
        <v>0</v>
      </c>
      <c r="S797" s="21">
        <f>IF(Deals[[#This Row],[IsApproved]]=1,Deals[[#This Row],[Amount]],0)</f>
        <v>0</v>
      </c>
      <c r="T797" s="21">
        <f>Deals[[#This Row],[ApprovedAmount]]*Deals[[#This Row],[ProfitRate]]</f>
        <v>0</v>
      </c>
    </row>
    <row r="798" spans="1:20">
      <c r="A798" s="2" t="s">
        <v>1426</v>
      </c>
      <c r="B798" s="3">
        <v>46199</v>
      </c>
      <c r="C798" s="2" t="s">
        <v>60</v>
      </c>
      <c r="D798" s="2" t="s">
        <v>20</v>
      </c>
      <c r="E798" s="2" t="s">
        <v>30</v>
      </c>
      <c r="F798" s="2" t="s">
        <v>31</v>
      </c>
      <c r="G798" s="4">
        <v>11200</v>
      </c>
      <c r="H798" s="5">
        <v>3.9100000000000003E-2</v>
      </c>
      <c r="I798" s="2">
        <v>48</v>
      </c>
      <c r="J798" s="2" t="s">
        <v>22</v>
      </c>
      <c r="K798" s="2" t="s">
        <v>17</v>
      </c>
      <c r="L798" s="3">
        <v>46203</v>
      </c>
      <c r="M798" s="2" t="str">
        <f>_xlfn.XLOOKUP(Deals[[#This Row],[CustomerID]],Customers!A:A,Customers!F:F)</f>
        <v>Mass</v>
      </c>
      <c r="N798" s="2" t="str">
        <f>_xlfn.XLOOKUP(Deals[[#This Row],[CustomerID]],Customers!A:A,Customers!E:E)</f>
        <v>Non-Kuwaiti</v>
      </c>
      <c r="O798" s="2">
        <f>2026-_xlfn.XLOOKUP(Deals[[#This Row],[CustomerID]],Customers!A:A,Customers!D:D)</f>
        <v>43</v>
      </c>
      <c r="P798" s="2" t="str" cm="1">
        <f t="array" ref="P798">_xlfn.IFS(Deals[[#This Row],[Age]]&lt;30,"Under 30",Deals[[#This Row],[Age]]&lt;45,"30-44",TRUE,"45+")</f>
        <v>30-44</v>
      </c>
      <c r="Q798" s="21">
        <f>IF(Deals[[#This Row],[Status]]="Pending","",Deals[[#This Row],[DecisionDate]]-Deals[[#This Row],[ApplicationDate]])</f>
        <v>4</v>
      </c>
      <c r="R798" s="21">
        <f>IF(Deals[[#This Row],[Status]]="Approved",1,0)</f>
        <v>1</v>
      </c>
      <c r="S798" s="21">
        <f>IF(Deals[[#This Row],[IsApproved]]=1,Deals[[#This Row],[Amount]],0)</f>
        <v>11200</v>
      </c>
      <c r="T798" s="21">
        <f>Deals[[#This Row],[ApprovedAmount]]*Deals[[#This Row],[ProfitRate]]</f>
        <v>437.92</v>
      </c>
    </row>
    <row r="799" spans="1:20">
      <c r="A799" s="2" t="s">
        <v>1427</v>
      </c>
      <c r="B799" s="3">
        <v>46199</v>
      </c>
      <c r="C799" s="2" t="s">
        <v>1428</v>
      </c>
      <c r="D799" s="2" t="s">
        <v>29</v>
      </c>
      <c r="E799" s="2" t="s">
        <v>30</v>
      </c>
      <c r="F799" s="2" t="s">
        <v>3</v>
      </c>
      <c r="G799" s="4">
        <v>6900</v>
      </c>
      <c r="H799" s="5">
        <v>4.7100000000000003E-2</v>
      </c>
      <c r="I799" s="2">
        <v>36</v>
      </c>
      <c r="J799" s="2" t="s">
        <v>61</v>
      </c>
      <c r="K799" s="2" t="s">
        <v>17</v>
      </c>
      <c r="L799" s="3">
        <v>46200</v>
      </c>
      <c r="M799" s="2" t="str">
        <f>_xlfn.XLOOKUP(Deals[[#This Row],[CustomerID]],Customers!A:A,Customers!F:F)</f>
        <v>Premium</v>
      </c>
      <c r="N799" s="2" t="str">
        <f>_xlfn.XLOOKUP(Deals[[#This Row],[CustomerID]],Customers!A:A,Customers!E:E)</f>
        <v>Kuwaiti</v>
      </c>
      <c r="O799" s="2">
        <f>2026-_xlfn.XLOOKUP(Deals[[#This Row],[CustomerID]],Customers!A:A,Customers!D:D)</f>
        <v>27</v>
      </c>
      <c r="P799" s="2" t="str" cm="1">
        <f t="array" ref="P799">_xlfn.IFS(Deals[[#This Row],[Age]]&lt;30,"Under 30",Deals[[#This Row],[Age]]&lt;45,"30-44",TRUE,"45+")</f>
        <v>Under 30</v>
      </c>
      <c r="Q799" s="21">
        <f>IF(Deals[[#This Row],[Status]]="Pending","",Deals[[#This Row],[DecisionDate]]-Deals[[#This Row],[ApplicationDate]])</f>
        <v>1</v>
      </c>
      <c r="R799" s="21">
        <f>IF(Deals[[#This Row],[Status]]="Approved",1,0)</f>
        <v>1</v>
      </c>
      <c r="S799" s="21">
        <f>IF(Deals[[#This Row],[IsApproved]]=1,Deals[[#This Row],[Amount]],0)</f>
        <v>6900</v>
      </c>
      <c r="T799" s="21">
        <f>Deals[[#This Row],[ApprovedAmount]]*Deals[[#This Row],[ProfitRate]]</f>
        <v>324.99</v>
      </c>
    </row>
    <row r="800" spans="1:20">
      <c r="A800" s="2" t="s">
        <v>1429</v>
      </c>
      <c r="B800" s="3">
        <v>46199</v>
      </c>
      <c r="C800" s="2" t="s">
        <v>753</v>
      </c>
      <c r="D800" s="2" t="s">
        <v>25</v>
      </c>
      <c r="E800" s="2" t="s">
        <v>21</v>
      </c>
      <c r="F800" s="2" t="s">
        <v>3</v>
      </c>
      <c r="G800" s="4">
        <v>275300</v>
      </c>
      <c r="H800" s="5">
        <v>3.1399999999999997E-2</v>
      </c>
      <c r="I800" s="2">
        <v>240</v>
      </c>
      <c r="J800" s="2" t="s">
        <v>26</v>
      </c>
      <c r="K800" s="2" t="s">
        <v>17</v>
      </c>
      <c r="L800" s="3">
        <v>46216</v>
      </c>
      <c r="M800" s="2" t="str">
        <f>_xlfn.XLOOKUP(Deals[[#This Row],[CustomerID]],Customers!A:A,Customers!F:F)</f>
        <v>Affluent</v>
      </c>
      <c r="N800" s="2" t="str">
        <f>_xlfn.XLOOKUP(Deals[[#This Row],[CustomerID]],Customers!A:A,Customers!E:E)</f>
        <v>Non-Kuwaiti</v>
      </c>
      <c r="O800" s="2">
        <f>2026-_xlfn.XLOOKUP(Deals[[#This Row],[CustomerID]],Customers!A:A,Customers!D:D)</f>
        <v>28</v>
      </c>
      <c r="P800" s="2" t="str" cm="1">
        <f t="array" ref="P800">_xlfn.IFS(Deals[[#This Row],[Age]]&lt;30,"Under 30",Deals[[#This Row],[Age]]&lt;45,"30-44",TRUE,"45+")</f>
        <v>Under 30</v>
      </c>
      <c r="Q800" s="21">
        <f>IF(Deals[[#This Row],[Status]]="Pending","",Deals[[#This Row],[DecisionDate]]-Deals[[#This Row],[ApplicationDate]])</f>
        <v>17</v>
      </c>
      <c r="R800" s="21">
        <f>IF(Deals[[#This Row],[Status]]="Approved",1,0)</f>
        <v>1</v>
      </c>
      <c r="S800" s="21">
        <f>IF(Deals[[#This Row],[IsApproved]]=1,Deals[[#This Row],[Amount]],0)</f>
        <v>275300</v>
      </c>
      <c r="T800" s="21">
        <f>Deals[[#This Row],[ApprovedAmount]]*Deals[[#This Row],[ProfitRate]]</f>
        <v>8644.42</v>
      </c>
    </row>
    <row r="801" spans="1:20">
      <c r="A801" s="2" t="s">
        <v>1430</v>
      </c>
      <c r="B801" s="3">
        <v>46199</v>
      </c>
      <c r="C801" s="2" t="s">
        <v>769</v>
      </c>
      <c r="D801" s="2" t="s">
        <v>14</v>
      </c>
      <c r="E801" s="2" t="s">
        <v>15</v>
      </c>
      <c r="F801" s="2" t="s">
        <v>3</v>
      </c>
      <c r="G801" s="4">
        <v>24700</v>
      </c>
      <c r="H801" s="5">
        <v>5.33E-2</v>
      </c>
      <c r="I801" s="2">
        <v>48</v>
      </c>
      <c r="J801" s="2" t="s">
        <v>16</v>
      </c>
      <c r="K801" s="2" t="s">
        <v>45</v>
      </c>
      <c r="L801" s="3">
        <v>46204</v>
      </c>
      <c r="M801" s="2" t="str">
        <f>_xlfn.XLOOKUP(Deals[[#This Row],[CustomerID]],Customers!A:A,Customers!F:F)</f>
        <v>Mass</v>
      </c>
      <c r="N801" s="2" t="str">
        <f>_xlfn.XLOOKUP(Deals[[#This Row],[CustomerID]],Customers!A:A,Customers!E:E)</f>
        <v>Kuwaiti</v>
      </c>
      <c r="O801" s="2">
        <f>2026-_xlfn.XLOOKUP(Deals[[#This Row],[CustomerID]],Customers!A:A,Customers!D:D)</f>
        <v>47</v>
      </c>
      <c r="P801" s="2" t="str" cm="1">
        <f t="array" ref="P801">_xlfn.IFS(Deals[[#This Row],[Age]]&lt;30,"Under 30",Deals[[#This Row],[Age]]&lt;45,"30-44",TRUE,"45+")</f>
        <v>45+</v>
      </c>
      <c r="Q801" s="21">
        <f>IF(Deals[[#This Row],[Status]]="Pending","",Deals[[#This Row],[DecisionDate]]-Deals[[#This Row],[ApplicationDate]])</f>
        <v>5</v>
      </c>
      <c r="R801" s="21">
        <f>IF(Deals[[#This Row],[Status]]="Approved",1,0)</f>
        <v>0</v>
      </c>
      <c r="S801" s="21">
        <f>IF(Deals[[#This Row],[IsApproved]]=1,Deals[[#This Row],[Amount]],0)</f>
        <v>0</v>
      </c>
      <c r="T801" s="21">
        <f>Deals[[#This Row],[ApprovedAmount]]*Deals[[#This Row],[ProfitRate]]</f>
        <v>0</v>
      </c>
    </row>
    <row r="802" spans="1:20">
      <c r="A802" s="2" t="s">
        <v>1431</v>
      </c>
      <c r="B802" s="3">
        <v>46199</v>
      </c>
      <c r="C802" s="2" t="s">
        <v>1432</v>
      </c>
      <c r="D802" s="2" t="s">
        <v>14</v>
      </c>
      <c r="E802" s="2" t="s">
        <v>15</v>
      </c>
      <c r="F802" s="2" t="s">
        <v>31</v>
      </c>
      <c r="G802" s="4">
        <v>17700</v>
      </c>
      <c r="H802" s="5">
        <v>5.9299999999999999E-2</v>
      </c>
      <c r="I802" s="2">
        <v>12</v>
      </c>
      <c r="J802" s="2" t="s">
        <v>48</v>
      </c>
      <c r="K802" s="2" t="s">
        <v>45</v>
      </c>
      <c r="L802" s="3">
        <v>46202</v>
      </c>
      <c r="M802" s="2" t="str">
        <f>_xlfn.XLOOKUP(Deals[[#This Row],[CustomerID]],Customers!A:A,Customers!F:F)</f>
        <v>Mass</v>
      </c>
      <c r="N802" s="2" t="str">
        <f>_xlfn.XLOOKUP(Deals[[#This Row],[CustomerID]],Customers!A:A,Customers!E:E)</f>
        <v>Kuwaiti</v>
      </c>
      <c r="O802" s="2">
        <f>2026-_xlfn.XLOOKUP(Deals[[#This Row],[CustomerID]],Customers!A:A,Customers!D:D)</f>
        <v>25</v>
      </c>
      <c r="P802" s="2" t="str" cm="1">
        <f t="array" ref="P802">_xlfn.IFS(Deals[[#This Row],[Age]]&lt;30,"Under 30",Deals[[#This Row],[Age]]&lt;45,"30-44",TRUE,"45+")</f>
        <v>Under 30</v>
      </c>
      <c r="Q802" s="21">
        <f>IF(Deals[[#This Row],[Status]]="Pending","",Deals[[#This Row],[DecisionDate]]-Deals[[#This Row],[ApplicationDate]])</f>
        <v>3</v>
      </c>
      <c r="R802" s="21">
        <f>IF(Deals[[#This Row],[Status]]="Approved",1,0)</f>
        <v>0</v>
      </c>
      <c r="S802" s="21">
        <f>IF(Deals[[#This Row],[IsApproved]]=1,Deals[[#This Row],[Amount]],0)</f>
        <v>0</v>
      </c>
      <c r="T802" s="21">
        <f>Deals[[#This Row],[ApprovedAmount]]*Deals[[#This Row],[ProfitRate]]</f>
        <v>0</v>
      </c>
    </row>
    <row r="803" spans="1:20">
      <c r="A803" s="2" t="s">
        <v>1433</v>
      </c>
      <c r="B803" s="3">
        <v>46200</v>
      </c>
      <c r="C803" s="2" t="s">
        <v>977</v>
      </c>
      <c r="D803" s="2" t="s">
        <v>71</v>
      </c>
      <c r="E803" s="2" t="s">
        <v>15</v>
      </c>
      <c r="F803" s="2" t="s">
        <v>3</v>
      </c>
      <c r="G803" s="4">
        <v>25000</v>
      </c>
      <c r="H803" s="5">
        <v>5.8500000000000003E-2</v>
      </c>
      <c r="I803" s="2">
        <v>60</v>
      </c>
      <c r="J803" s="2" t="s">
        <v>101</v>
      </c>
      <c r="K803" s="2" t="s">
        <v>17</v>
      </c>
      <c r="L803" s="3">
        <v>46211</v>
      </c>
      <c r="M803" s="2" t="str">
        <f>_xlfn.XLOOKUP(Deals[[#This Row],[CustomerID]],Customers!A:A,Customers!F:F)</f>
        <v>Premium</v>
      </c>
      <c r="N803" s="2" t="str">
        <f>_xlfn.XLOOKUP(Deals[[#This Row],[CustomerID]],Customers!A:A,Customers!E:E)</f>
        <v>Kuwaiti</v>
      </c>
      <c r="O803" s="2">
        <f>2026-_xlfn.XLOOKUP(Deals[[#This Row],[CustomerID]],Customers!A:A,Customers!D:D)</f>
        <v>45</v>
      </c>
      <c r="P803" s="2" t="str" cm="1">
        <f t="array" ref="P803">_xlfn.IFS(Deals[[#This Row],[Age]]&lt;30,"Under 30",Deals[[#This Row],[Age]]&lt;45,"30-44",TRUE,"45+")</f>
        <v>45+</v>
      </c>
      <c r="Q803" s="21">
        <f>IF(Deals[[#This Row],[Status]]="Pending","",Deals[[#This Row],[DecisionDate]]-Deals[[#This Row],[ApplicationDate]])</f>
        <v>11</v>
      </c>
      <c r="R803" s="21">
        <f>IF(Deals[[#This Row],[Status]]="Approved",1,0)</f>
        <v>1</v>
      </c>
      <c r="S803" s="21">
        <f>IF(Deals[[#This Row],[IsApproved]]=1,Deals[[#This Row],[Amount]],0)</f>
        <v>25000</v>
      </c>
      <c r="T803" s="21">
        <f>Deals[[#This Row],[ApprovedAmount]]*Deals[[#This Row],[ProfitRate]]</f>
        <v>1462.5</v>
      </c>
    </row>
    <row r="804" spans="1:20">
      <c r="A804" s="2" t="s">
        <v>1434</v>
      </c>
      <c r="B804" s="3">
        <v>46200</v>
      </c>
      <c r="C804" s="2" t="s">
        <v>1435</v>
      </c>
      <c r="D804" s="2" t="s">
        <v>14</v>
      </c>
      <c r="E804" s="2" t="s">
        <v>30</v>
      </c>
      <c r="F804" s="2" t="s">
        <v>31</v>
      </c>
      <c r="G804" s="4">
        <v>10000</v>
      </c>
      <c r="H804" s="5">
        <v>4.5199999999999997E-2</v>
      </c>
      <c r="I804" s="2">
        <v>48</v>
      </c>
      <c r="J804" s="2" t="s">
        <v>48</v>
      </c>
      <c r="K804" s="2" t="s">
        <v>45</v>
      </c>
      <c r="L804" s="3">
        <v>46201</v>
      </c>
      <c r="M804" s="2" t="str">
        <f>_xlfn.XLOOKUP(Deals[[#This Row],[CustomerID]],Customers!A:A,Customers!F:F)</f>
        <v>Premium</v>
      </c>
      <c r="N804" s="2" t="str">
        <f>_xlfn.XLOOKUP(Deals[[#This Row],[CustomerID]],Customers!A:A,Customers!E:E)</f>
        <v>Kuwaiti</v>
      </c>
      <c r="O804" s="2">
        <f>2026-_xlfn.XLOOKUP(Deals[[#This Row],[CustomerID]],Customers!A:A,Customers!D:D)</f>
        <v>32</v>
      </c>
      <c r="P804" s="2" t="str" cm="1">
        <f t="array" ref="P804">_xlfn.IFS(Deals[[#This Row],[Age]]&lt;30,"Under 30",Deals[[#This Row],[Age]]&lt;45,"30-44",TRUE,"45+")</f>
        <v>30-44</v>
      </c>
      <c r="Q804" s="21">
        <f>IF(Deals[[#This Row],[Status]]="Pending","",Deals[[#This Row],[DecisionDate]]-Deals[[#This Row],[ApplicationDate]])</f>
        <v>1</v>
      </c>
      <c r="R804" s="21">
        <f>IF(Deals[[#This Row],[Status]]="Approved",1,0)</f>
        <v>0</v>
      </c>
      <c r="S804" s="21">
        <f>IF(Deals[[#This Row],[IsApproved]]=1,Deals[[#This Row],[Amount]],0)</f>
        <v>0</v>
      </c>
      <c r="T804" s="21">
        <f>Deals[[#This Row],[ApprovedAmount]]*Deals[[#This Row],[ProfitRate]]</f>
        <v>0</v>
      </c>
    </row>
    <row r="805" spans="1:20">
      <c r="A805" s="2" t="s">
        <v>1436</v>
      </c>
      <c r="B805" s="3">
        <v>46200</v>
      </c>
      <c r="C805" s="2" t="s">
        <v>404</v>
      </c>
      <c r="D805" s="2" t="s">
        <v>25</v>
      </c>
      <c r="E805" s="2" t="s">
        <v>15</v>
      </c>
      <c r="F805" s="2" t="s">
        <v>3</v>
      </c>
      <c r="G805" s="4">
        <v>12900</v>
      </c>
      <c r="H805" s="5">
        <v>6.4600000000000005E-2</v>
      </c>
      <c r="I805" s="2">
        <v>48</v>
      </c>
      <c r="J805" s="2" t="s">
        <v>66</v>
      </c>
      <c r="K805" s="2" t="s">
        <v>17</v>
      </c>
      <c r="L805" s="3">
        <v>46203</v>
      </c>
      <c r="M805" s="2" t="str">
        <f>_xlfn.XLOOKUP(Deals[[#This Row],[CustomerID]],Customers!A:A,Customers!F:F)</f>
        <v>Affluent</v>
      </c>
      <c r="N805" s="2" t="str">
        <f>_xlfn.XLOOKUP(Deals[[#This Row],[CustomerID]],Customers!A:A,Customers!E:E)</f>
        <v>Kuwaiti</v>
      </c>
      <c r="O805" s="2">
        <f>2026-_xlfn.XLOOKUP(Deals[[#This Row],[CustomerID]],Customers!A:A,Customers!D:D)</f>
        <v>22</v>
      </c>
      <c r="P805" s="2" t="str" cm="1">
        <f t="array" ref="P805">_xlfn.IFS(Deals[[#This Row],[Age]]&lt;30,"Under 30",Deals[[#This Row],[Age]]&lt;45,"30-44",TRUE,"45+")</f>
        <v>Under 30</v>
      </c>
      <c r="Q805" s="21">
        <f>IF(Deals[[#This Row],[Status]]="Pending","",Deals[[#This Row],[DecisionDate]]-Deals[[#This Row],[ApplicationDate]])</f>
        <v>3</v>
      </c>
      <c r="R805" s="21">
        <f>IF(Deals[[#This Row],[Status]]="Approved",1,0)</f>
        <v>1</v>
      </c>
      <c r="S805" s="21">
        <f>IF(Deals[[#This Row],[IsApproved]]=1,Deals[[#This Row],[Amount]],0)</f>
        <v>12900</v>
      </c>
      <c r="T805" s="21">
        <f>Deals[[#This Row],[ApprovedAmount]]*Deals[[#This Row],[ProfitRate]]</f>
        <v>833.34</v>
      </c>
    </row>
    <row r="806" spans="1:20">
      <c r="A806" s="2" t="s">
        <v>1437</v>
      </c>
      <c r="B806" s="3">
        <v>46200</v>
      </c>
      <c r="C806" s="2" t="s">
        <v>1438</v>
      </c>
      <c r="D806" s="2" t="s">
        <v>54</v>
      </c>
      <c r="E806" s="2" t="s">
        <v>30</v>
      </c>
      <c r="F806" s="2" t="s">
        <v>3</v>
      </c>
      <c r="G806" s="4">
        <v>10500</v>
      </c>
      <c r="H806" s="5">
        <v>3.9E-2</v>
      </c>
      <c r="I806" s="2">
        <v>36</v>
      </c>
      <c r="J806" s="2" t="s">
        <v>148</v>
      </c>
      <c r="K806" s="2" t="s">
        <v>17</v>
      </c>
      <c r="L806" s="3">
        <v>46205</v>
      </c>
      <c r="M806" s="2" t="str">
        <f>_xlfn.XLOOKUP(Deals[[#This Row],[CustomerID]],Customers!A:A,Customers!F:F)</f>
        <v>Affluent</v>
      </c>
      <c r="N806" s="2" t="str">
        <f>_xlfn.XLOOKUP(Deals[[#This Row],[CustomerID]],Customers!A:A,Customers!E:E)</f>
        <v>Kuwaiti</v>
      </c>
      <c r="O806" s="2">
        <f>2026-_xlfn.XLOOKUP(Deals[[#This Row],[CustomerID]],Customers!A:A,Customers!D:D)</f>
        <v>44</v>
      </c>
      <c r="P806" s="2" t="str" cm="1">
        <f t="array" ref="P806">_xlfn.IFS(Deals[[#This Row],[Age]]&lt;30,"Under 30",Deals[[#This Row],[Age]]&lt;45,"30-44",TRUE,"45+")</f>
        <v>30-44</v>
      </c>
      <c r="Q806" s="21">
        <f>IF(Deals[[#This Row],[Status]]="Pending","",Deals[[#This Row],[DecisionDate]]-Deals[[#This Row],[ApplicationDate]])</f>
        <v>5</v>
      </c>
      <c r="R806" s="21">
        <f>IF(Deals[[#This Row],[Status]]="Approved",1,0)</f>
        <v>1</v>
      </c>
      <c r="S806" s="21">
        <f>IF(Deals[[#This Row],[IsApproved]]=1,Deals[[#This Row],[Amount]],0)</f>
        <v>10500</v>
      </c>
      <c r="T806" s="21">
        <f>Deals[[#This Row],[ApprovedAmount]]*Deals[[#This Row],[ProfitRate]]</f>
        <v>409.5</v>
      </c>
    </row>
    <row r="807" spans="1:20">
      <c r="A807" s="2" t="s">
        <v>1439</v>
      </c>
      <c r="B807" s="3">
        <v>46201</v>
      </c>
      <c r="C807" s="2" t="s">
        <v>1440</v>
      </c>
      <c r="D807" s="2" t="s">
        <v>29</v>
      </c>
      <c r="E807" s="2" t="s">
        <v>21</v>
      </c>
      <c r="F807" s="2" t="s">
        <v>55</v>
      </c>
      <c r="G807" s="4">
        <v>104100</v>
      </c>
      <c r="H807" s="5">
        <v>3.1099999999999999E-2</v>
      </c>
      <c r="I807" s="2">
        <v>120</v>
      </c>
      <c r="J807" s="2" t="s">
        <v>123</v>
      </c>
      <c r="K807" s="2" t="s">
        <v>17</v>
      </c>
      <c r="L807" s="3">
        <v>46226</v>
      </c>
      <c r="M807" s="2" t="str">
        <f>_xlfn.XLOOKUP(Deals[[#This Row],[CustomerID]],Customers!A:A,Customers!F:F)</f>
        <v>Mass</v>
      </c>
      <c r="N807" s="2" t="str">
        <f>_xlfn.XLOOKUP(Deals[[#This Row],[CustomerID]],Customers!A:A,Customers!E:E)</f>
        <v>Kuwaiti</v>
      </c>
      <c r="O807" s="2">
        <f>2026-_xlfn.XLOOKUP(Deals[[#This Row],[CustomerID]],Customers!A:A,Customers!D:D)</f>
        <v>24</v>
      </c>
      <c r="P807" s="2" t="str" cm="1">
        <f t="array" ref="P807">_xlfn.IFS(Deals[[#This Row],[Age]]&lt;30,"Under 30",Deals[[#This Row],[Age]]&lt;45,"30-44",TRUE,"45+")</f>
        <v>Under 30</v>
      </c>
      <c r="Q807" s="21">
        <f>IF(Deals[[#This Row],[Status]]="Pending","",Deals[[#This Row],[DecisionDate]]-Deals[[#This Row],[ApplicationDate]])</f>
        <v>25</v>
      </c>
      <c r="R807" s="21">
        <f>IF(Deals[[#This Row],[Status]]="Approved",1,0)</f>
        <v>1</v>
      </c>
      <c r="S807" s="21">
        <f>IF(Deals[[#This Row],[IsApproved]]=1,Deals[[#This Row],[Amount]],0)</f>
        <v>104100</v>
      </c>
      <c r="T807" s="21">
        <f>Deals[[#This Row],[ApprovedAmount]]*Deals[[#This Row],[ProfitRate]]</f>
        <v>3237.5099999999998</v>
      </c>
    </row>
    <row r="808" spans="1:20">
      <c r="A808" s="2" t="s">
        <v>1441</v>
      </c>
      <c r="B808" s="3">
        <v>46201</v>
      </c>
      <c r="C808" s="2" t="s">
        <v>1442</v>
      </c>
      <c r="D808" s="2" t="s">
        <v>25</v>
      </c>
      <c r="E808" s="2" t="s">
        <v>15</v>
      </c>
      <c r="F808" s="2" t="s">
        <v>3</v>
      </c>
      <c r="G808" s="4">
        <v>24000</v>
      </c>
      <c r="H808" s="5">
        <v>5.4300000000000001E-2</v>
      </c>
      <c r="I808" s="2">
        <v>24</v>
      </c>
      <c r="J808" s="2" t="s">
        <v>181</v>
      </c>
      <c r="K808" s="2" t="s">
        <v>45</v>
      </c>
      <c r="L808" s="3">
        <v>46203</v>
      </c>
      <c r="M808" s="2" t="str">
        <f>_xlfn.XLOOKUP(Deals[[#This Row],[CustomerID]],Customers!A:A,Customers!F:F)</f>
        <v>Affluent</v>
      </c>
      <c r="N808" s="2" t="str">
        <f>_xlfn.XLOOKUP(Deals[[#This Row],[CustomerID]],Customers!A:A,Customers!E:E)</f>
        <v>Kuwaiti</v>
      </c>
      <c r="O808" s="2">
        <f>2026-_xlfn.XLOOKUP(Deals[[#This Row],[CustomerID]],Customers!A:A,Customers!D:D)</f>
        <v>37</v>
      </c>
      <c r="P808" s="2" t="str" cm="1">
        <f t="array" ref="P808">_xlfn.IFS(Deals[[#This Row],[Age]]&lt;30,"Under 30",Deals[[#This Row],[Age]]&lt;45,"30-44",TRUE,"45+")</f>
        <v>30-44</v>
      </c>
      <c r="Q808" s="21">
        <f>IF(Deals[[#This Row],[Status]]="Pending","",Deals[[#This Row],[DecisionDate]]-Deals[[#This Row],[ApplicationDate]])</f>
        <v>2</v>
      </c>
      <c r="R808" s="21">
        <f>IF(Deals[[#This Row],[Status]]="Approved",1,0)</f>
        <v>0</v>
      </c>
      <c r="S808" s="21">
        <f>IF(Deals[[#This Row],[IsApproved]]=1,Deals[[#This Row],[Amount]],0)</f>
        <v>0</v>
      </c>
      <c r="T808" s="21">
        <f>Deals[[#This Row],[ApprovedAmount]]*Deals[[#This Row],[ProfitRate]]</f>
        <v>0</v>
      </c>
    </row>
    <row r="809" spans="1:20">
      <c r="A809" s="2" t="s">
        <v>1443</v>
      </c>
      <c r="B809" s="3">
        <v>46201</v>
      </c>
      <c r="C809" s="2" t="s">
        <v>384</v>
      </c>
      <c r="D809" s="2" t="s">
        <v>14</v>
      </c>
      <c r="E809" s="2" t="s">
        <v>15</v>
      </c>
      <c r="F809" s="2" t="s">
        <v>3</v>
      </c>
      <c r="G809" s="4">
        <v>23300</v>
      </c>
      <c r="H809" s="5">
        <v>6.3700000000000007E-2</v>
      </c>
      <c r="I809" s="2">
        <v>24</v>
      </c>
      <c r="J809" s="2" t="s">
        <v>40</v>
      </c>
      <c r="K809" s="2" t="s">
        <v>17</v>
      </c>
      <c r="L809" s="3">
        <v>46205</v>
      </c>
      <c r="M809" s="2" t="str">
        <f>_xlfn.XLOOKUP(Deals[[#This Row],[CustomerID]],Customers!A:A,Customers!F:F)</f>
        <v>Affluent</v>
      </c>
      <c r="N809" s="2" t="str">
        <f>_xlfn.XLOOKUP(Deals[[#This Row],[CustomerID]],Customers!A:A,Customers!E:E)</f>
        <v>Kuwaiti</v>
      </c>
      <c r="O809" s="2">
        <f>2026-_xlfn.XLOOKUP(Deals[[#This Row],[CustomerID]],Customers!A:A,Customers!D:D)</f>
        <v>52</v>
      </c>
      <c r="P809" s="2" t="str" cm="1">
        <f t="array" ref="P809">_xlfn.IFS(Deals[[#This Row],[Age]]&lt;30,"Under 30",Deals[[#This Row],[Age]]&lt;45,"30-44",TRUE,"45+")</f>
        <v>45+</v>
      </c>
      <c r="Q809" s="21">
        <f>IF(Deals[[#This Row],[Status]]="Pending","",Deals[[#This Row],[DecisionDate]]-Deals[[#This Row],[ApplicationDate]])</f>
        <v>4</v>
      </c>
      <c r="R809" s="21">
        <f>IF(Deals[[#This Row],[Status]]="Approved",1,0)</f>
        <v>1</v>
      </c>
      <c r="S809" s="21">
        <f>IF(Deals[[#This Row],[IsApproved]]=1,Deals[[#This Row],[Amount]],0)</f>
        <v>23300</v>
      </c>
      <c r="T809" s="21">
        <f>Deals[[#This Row],[ApprovedAmount]]*Deals[[#This Row],[ProfitRate]]</f>
        <v>1484.2100000000003</v>
      </c>
    </row>
    <row r="810" spans="1:20">
      <c r="A810" s="2" t="s">
        <v>1444</v>
      </c>
      <c r="B810" s="3">
        <v>46201</v>
      </c>
      <c r="C810" s="2" t="s">
        <v>131</v>
      </c>
      <c r="D810" s="2" t="s">
        <v>25</v>
      </c>
      <c r="E810" s="2" t="s">
        <v>15</v>
      </c>
      <c r="F810" s="2" t="s">
        <v>3</v>
      </c>
      <c r="G810" s="4">
        <v>21300</v>
      </c>
      <c r="H810" s="5">
        <v>6.83E-2</v>
      </c>
      <c r="I810" s="2">
        <v>36</v>
      </c>
      <c r="J810" s="2" t="s">
        <v>26</v>
      </c>
      <c r="K810" s="2" t="s">
        <v>17</v>
      </c>
      <c r="L810" s="3">
        <v>46204</v>
      </c>
      <c r="M810" s="2" t="str">
        <f>_xlfn.XLOOKUP(Deals[[#This Row],[CustomerID]],Customers!A:A,Customers!F:F)</f>
        <v>Affluent</v>
      </c>
      <c r="N810" s="2" t="str">
        <f>_xlfn.XLOOKUP(Deals[[#This Row],[CustomerID]],Customers!A:A,Customers!E:E)</f>
        <v>Kuwaiti</v>
      </c>
      <c r="O810" s="2">
        <f>2026-_xlfn.XLOOKUP(Deals[[#This Row],[CustomerID]],Customers!A:A,Customers!D:D)</f>
        <v>49</v>
      </c>
      <c r="P810" s="2" t="str" cm="1">
        <f t="array" ref="P810">_xlfn.IFS(Deals[[#This Row],[Age]]&lt;30,"Under 30",Deals[[#This Row],[Age]]&lt;45,"30-44",TRUE,"45+")</f>
        <v>45+</v>
      </c>
      <c r="Q810" s="21">
        <f>IF(Deals[[#This Row],[Status]]="Pending","",Deals[[#This Row],[DecisionDate]]-Deals[[#This Row],[ApplicationDate]])</f>
        <v>3</v>
      </c>
      <c r="R810" s="21">
        <f>IF(Deals[[#This Row],[Status]]="Approved",1,0)</f>
        <v>1</v>
      </c>
      <c r="S810" s="21">
        <f>IF(Deals[[#This Row],[IsApproved]]=1,Deals[[#This Row],[Amount]],0)</f>
        <v>21300</v>
      </c>
      <c r="T810" s="21">
        <f>Deals[[#This Row],[ApprovedAmount]]*Deals[[#This Row],[ProfitRate]]</f>
        <v>1454.79</v>
      </c>
    </row>
    <row r="811" spans="1:20">
      <c r="A811" s="2" t="s">
        <v>1445</v>
      </c>
      <c r="B811" s="3">
        <v>46201</v>
      </c>
      <c r="C811" s="2" t="s">
        <v>491</v>
      </c>
      <c r="D811" s="2" t="s">
        <v>29</v>
      </c>
      <c r="E811" s="2" t="s">
        <v>30</v>
      </c>
      <c r="F811" s="2" t="s">
        <v>55</v>
      </c>
      <c r="G811" s="4">
        <v>13900</v>
      </c>
      <c r="H811" s="5">
        <v>4.2099999999999999E-2</v>
      </c>
      <c r="I811" s="2">
        <v>48</v>
      </c>
      <c r="J811" s="2" t="s">
        <v>61</v>
      </c>
      <c r="K811" s="2" t="s">
        <v>17</v>
      </c>
      <c r="L811" s="3">
        <v>46203</v>
      </c>
      <c r="M811" s="2" t="str">
        <f>_xlfn.XLOOKUP(Deals[[#This Row],[CustomerID]],Customers!A:A,Customers!F:F)</f>
        <v>Mass</v>
      </c>
      <c r="N811" s="2" t="str">
        <f>_xlfn.XLOOKUP(Deals[[#This Row],[CustomerID]],Customers!A:A,Customers!E:E)</f>
        <v>Kuwaiti</v>
      </c>
      <c r="O811" s="2">
        <f>2026-_xlfn.XLOOKUP(Deals[[#This Row],[CustomerID]],Customers!A:A,Customers!D:D)</f>
        <v>36</v>
      </c>
      <c r="P811" s="2" t="str" cm="1">
        <f t="array" ref="P811">_xlfn.IFS(Deals[[#This Row],[Age]]&lt;30,"Under 30",Deals[[#This Row],[Age]]&lt;45,"30-44",TRUE,"45+")</f>
        <v>30-44</v>
      </c>
      <c r="Q811" s="21">
        <f>IF(Deals[[#This Row],[Status]]="Pending","",Deals[[#This Row],[DecisionDate]]-Deals[[#This Row],[ApplicationDate]])</f>
        <v>2</v>
      </c>
      <c r="R811" s="21">
        <f>IF(Deals[[#This Row],[Status]]="Approved",1,0)</f>
        <v>1</v>
      </c>
      <c r="S811" s="21">
        <f>IF(Deals[[#This Row],[IsApproved]]=1,Deals[[#This Row],[Amount]],0)</f>
        <v>13900</v>
      </c>
      <c r="T811" s="21">
        <f>Deals[[#This Row],[ApprovedAmount]]*Deals[[#This Row],[ProfitRate]]</f>
        <v>585.18999999999994</v>
      </c>
    </row>
    <row r="812" spans="1:20">
      <c r="A812" s="2" t="s">
        <v>1446</v>
      </c>
      <c r="B812" s="3">
        <v>46201</v>
      </c>
      <c r="C812" s="2" t="s">
        <v>1447</v>
      </c>
      <c r="D812" s="2" t="s">
        <v>20</v>
      </c>
      <c r="E812" s="2" t="s">
        <v>21</v>
      </c>
      <c r="F812" s="2" t="s">
        <v>55</v>
      </c>
      <c r="G812" s="4">
        <v>50700</v>
      </c>
      <c r="H812" s="5">
        <v>3.6799999999999999E-2</v>
      </c>
      <c r="I812" s="2">
        <v>240</v>
      </c>
      <c r="J812" s="2" t="s">
        <v>44</v>
      </c>
      <c r="K812" s="2" t="s">
        <v>17</v>
      </c>
      <c r="L812" s="3">
        <v>46212</v>
      </c>
      <c r="M812" s="2" t="str">
        <f>_xlfn.XLOOKUP(Deals[[#This Row],[CustomerID]],Customers!A:A,Customers!F:F)</f>
        <v>Mass</v>
      </c>
      <c r="N812" s="2" t="str">
        <f>_xlfn.XLOOKUP(Deals[[#This Row],[CustomerID]],Customers!A:A,Customers!E:E)</f>
        <v>Non-Kuwaiti</v>
      </c>
      <c r="O812" s="2">
        <f>2026-_xlfn.XLOOKUP(Deals[[#This Row],[CustomerID]],Customers!A:A,Customers!D:D)</f>
        <v>49</v>
      </c>
      <c r="P812" s="2" t="str" cm="1">
        <f t="array" ref="P812">_xlfn.IFS(Deals[[#This Row],[Age]]&lt;30,"Under 30",Deals[[#This Row],[Age]]&lt;45,"30-44",TRUE,"45+")</f>
        <v>45+</v>
      </c>
      <c r="Q812" s="21">
        <f>IF(Deals[[#This Row],[Status]]="Pending","",Deals[[#This Row],[DecisionDate]]-Deals[[#This Row],[ApplicationDate]])</f>
        <v>11</v>
      </c>
      <c r="R812" s="21">
        <f>IF(Deals[[#This Row],[Status]]="Approved",1,0)</f>
        <v>1</v>
      </c>
      <c r="S812" s="21">
        <f>IF(Deals[[#This Row],[IsApproved]]=1,Deals[[#This Row],[Amount]],0)</f>
        <v>50700</v>
      </c>
      <c r="T812" s="21">
        <f>Deals[[#This Row],[ApprovedAmount]]*Deals[[#This Row],[ProfitRate]]</f>
        <v>1865.76</v>
      </c>
    </row>
    <row r="813" spans="1:20">
      <c r="A813" s="2" t="s">
        <v>1448</v>
      </c>
      <c r="B813" s="3">
        <v>46202</v>
      </c>
      <c r="C813" s="2" t="s">
        <v>1449</v>
      </c>
      <c r="D813" s="2" t="s">
        <v>25</v>
      </c>
      <c r="E813" s="2" t="s">
        <v>30</v>
      </c>
      <c r="F813" s="2" t="s">
        <v>31</v>
      </c>
      <c r="G813" s="4">
        <v>12300</v>
      </c>
      <c r="H813" s="5">
        <v>4.0300000000000002E-2</v>
      </c>
      <c r="I813" s="2">
        <v>36</v>
      </c>
      <c r="J813" s="2" t="s">
        <v>26</v>
      </c>
      <c r="K813" s="2" t="s">
        <v>17</v>
      </c>
      <c r="L813" s="3">
        <v>46205</v>
      </c>
      <c r="M813" s="2" t="str">
        <f>_xlfn.XLOOKUP(Deals[[#This Row],[CustomerID]],Customers!A:A,Customers!F:F)</f>
        <v>Mass</v>
      </c>
      <c r="N813" s="2" t="str">
        <f>_xlfn.XLOOKUP(Deals[[#This Row],[CustomerID]],Customers!A:A,Customers!E:E)</f>
        <v>Non-Kuwaiti</v>
      </c>
      <c r="O813" s="2">
        <f>2026-_xlfn.XLOOKUP(Deals[[#This Row],[CustomerID]],Customers!A:A,Customers!D:D)</f>
        <v>49</v>
      </c>
      <c r="P813" s="2" t="str" cm="1">
        <f t="array" ref="P813">_xlfn.IFS(Deals[[#This Row],[Age]]&lt;30,"Under 30",Deals[[#This Row],[Age]]&lt;45,"30-44",TRUE,"45+")</f>
        <v>45+</v>
      </c>
      <c r="Q813" s="21">
        <f>IF(Deals[[#This Row],[Status]]="Pending","",Deals[[#This Row],[DecisionDate]]-Deals[[#This Row],[ApplicationDate]])</f>
        <v>3</v>
      </c>
      <c r="R813" s="21">
        <f>IF(Deals[[#This Row],[Status]]="Approved",1,0)</f>
        <v>1</v>
      </c>
      <c r="S813" s="21">
        <f>IF(Deals[[#This Row],[IsApproved]]=1,Deals[[#This Row],[Amount]],0)</f>
        <v>12300</v>
      </c>
      <c r="T813" s="21">
        <f>Deals[[#This Row],[ApprovedAmount]]*Deals[[#This Row],[ProfitRate]]</f>
        <v>495.69000000000005</v>
      </c>
    </row>
    <row r="814" spans="1:20">
      <c r="A814" s="2" t="s">
        <v>1450</v>
      </c>
      <c r="B814" s="3">
        <v>46203</v>
      </c>
      <c r="C814" s="2" t="s">
        <v>1451</v>
      </c>
      <c r="D814" s="2" t="s">
        <v>14</v>
      </c>
      <c r="E814" s="2" t="s">
        <v>43</v>
      </c>
      <c r="F814" s="2" t="s">
        <v>3</v>
      </c>
      <c r="G814" s="4">
        <v>107800</v>
      </c>
      <c r="H814" s="5">
        <v>7.0800000000000002E-2</v>
      </c>
      <c r="I814" s="2">
        <v>84</v>
      </c>
      <c r="J814" s="2" t="s">
        <v>40</v>
      </c>
      <c r="K814" s="2" t="s">
        <v>45</v>
      </c>
      <c r="L814" s="3">
        <v>46217</v>
      </c>
      <c r="M814" s="2" t="str">
        <f>_xlfn.XLOOKUP(Deals[[#This Row],[CustomerID]],Customers!A:A,Customers!F:F)</f>
        <v>Premium</v>
      </c>
      <c r="N814" s="2" t="str">
        <f>_xlfn.XLOOKUP(Deals[[#This Row],[CustomerID]],Customers!A:A,Customers!E:E)</f>
        <v>Kuwaiti</v>
      </c>
      <c r="O814" s="2">
        <f>2026-_xlfn.XLOOKUP(Deals[[#This Row],[CustomerID]],Customers!A:A,Customers!D:D)</f>
        <v>33</v>
      </c>
      <c r="P814" s="2" t="str" cm="1">
        <f t="array" ref="P814">_xlfn.IFS(Deals[[#This Row],[Age]]&lt;30,"Under 30",Deals[[#This Row],[Age]]&lt;45,"30-44",TRUE,"45+")</f>
        <v>30-44</v>
      </c>
      <c r="Q814" s="21">
        <f>IF(Deals[[#This Row],[Status]]="Pending","",Deals[[#This Row],[DecisionDate]]-Deals[[#This Row],[ApplicationDate]])</f>
        <v>14</v>
      </c>
      <c r="R814" s="21">
        <f>IF(Deals[[#This Row],[Status]]="Approved",1,0)</f>
        <v>0</v>
      </c>
      <c r="S814" s="21">
        <f>IF(Deals[[#This Row],[IsApproved]]=1,Deals[[#This Row],[Amount]],0)</f>
        <v>0</v>
      </c>
      <c r="T814" s="21">
        <f>Deals[[#This Row],[ApprovedAmount]]*Deals[[#This Row],[ProfitRate]]</f>
        <v>0</v>
      </c>
    </row>
    <row r="815" spans="1:20">
      <c r="A815" s="2" t="s">
        <v>1452</v>
      </c>
      <c r="B815" s="3">
        <v>46203</v>
      </c>
      <c r="C815" s="2" t="s">
        <v>549</v>
      </c>
      <c r="D815" s="2" t="s">
        <v>20</v>
      </c>
      <c r="E815" s="2" t="s">
        <v>15</v>
      </c>
      <c r="F815" s="2" t="s">
        <v>3</v>
      </c>
      <c r="G815" s="4">
        <v>22400</v>
      </c>
      <c r="H815" s="5">
        <v>6.0699999999999997E-2</v>
      </c>
      <c r="I815" s="2">
        <v>48</v>
      </c>
      <c r="J815" s="2" t="s">
        <v>44</v>
      </c>
      <c r="K815" s="2" t="s">
        <v>17</v>
      </c>
      <c r="L815" s="3">
        <v>46207</v>
      </c>
      <c r="M815" s="2" t="str">
        <f>_xlfn.XLOOKUP(Deals[[#This Row],[CustomerID]],Customers!A:A,Customers!F:F)</f>
        <v>Mass</v>
      </c>
      <c r="N815" s="2" t="str">
        <f>_xlfn.XLOOKUP(Deals[[#This Row],[CustomerID]],Customers!A:A,Customers!E:E)</f>
        <v>Non-Kuwaiti</v>
      </c>
      <c r="O815" s="2">
        <f>2026-_xlfn.XLOOKUP(Deals[[#This Row],[CustomerID]],Customers!A:A,Customers!D:D)</f>
        <v>35</v>
      </c>
      <c r="P815" s="2" t="str" cm="1">
        <f t="array" ref="P815">_xlfn.IFS(Deals[[#This Row],[Age]]&lt;30,"Under 30",Deals[[#This Row],[Age]]&lt;45,"30-44",TRUE,"45+")</f>
        <v>30-44</v>
      </c>
      <c r="Q815" s="21">
        <f>IF(Deals[[#This Row],[Status]]="Pending","",Deals[[#This Row],[DecisionDate]]-Deals[[#This Row],[ApplicationDate]])</f>
        <v>4</v>
      </c>
      <c r="R815" s="21">
        <f>IF(Deals[[#This Row],[Status]]="Approved",1,0)</f>
        <v>1</v>
      </c>
      <c r="S815" s="21">
        <f>IF(Deals[[#This Row],[IsApproved]]=1,Deals[[#This Row],[Amount]],0)</f>
        <v>22400</v>
      </c>
      <c r="T815" s="21">
        <f>Deals[[#This Row],[ApprovedAmount]]*Deals[[#This Row],[ProfitRate]]</f>
        <v>1359.6799999999998</v>
      </c>
    </row>
    <row r="816" spans="1:20">
      <c r="A816" s="2" t="s">
        <v>1453</v>
      </c>
      <c r="B816" s="3">
        <v>46203</v>
      </c>
      <c r="C816" s="2" t="s">
        <v>1419</v>
      </c>
      <c r="D816" s="2" t="s">
        <v>54</v>
      </c>
      <c r="E816" s="2" t="s">
        <v>15</v>
      </c>
      <c r="F816" s="2" t="s">
        <v>3</v>
      </c>
      <c r="G816" s="4">
        <v>17200</v>
      </c>
      <c r="H816" s="5">
        <v>6.0699999999999997E-2</v>
      </c>
      <c r="I816" s="2">
        <v>24</v>
      </c>
      <c r="J816" s="2" t="s">
        <v>186</v>
      </c>
      <c r="K816" s="2" t="s">
        <v>17</v>
      </c>
      <c r="L816" s="3">
        <v>46210</v>
      </c>
      <c r="M816" s="2" t="str">
        <f>_xlfn.XLOOKUP(Deals[[#This Row],[CustomerID]],Customers!A:A,Customers!F:F)</f>
        <v>Mass</v>
      </c>
      <c r="N816" s="2" t="str">
        <f>_xlfn.XLOOKUP(Deals[[#This Row],[CustomerID]],Customers!A:A,Customers!E:E)</f>
        <v>Non-Kuwaiti</v>
      </c>
      <c r="O816" s="2">
        <f>2026-_xlfn.XLOOKUP(Deals[[#This Row],[CustomerID]],Customers!A:A,Customers!D:D)</f>
        <v>31</v>
      </c>
      <c r="P816" s="2" t="str" cm="1">
        <f t="array" ref="P816">_xlfn.IFS(Deals[[#This Row],[Age]]&lt;30,"Under 30",Deals[[#This Row],[Age]]&lt;45,"30-44",TRUE,"45+")</f>
        <v>30-44</v>
      </c>
      <c r="Q816" s="21">
        <f>IF(Deals[[#This Row],[Status]]="Pending","",Deals[[#This Row],[DecisionDate]]-Deals[[#This Row],[ApplicationDate]])</f>
        <v>7</v>
      </c>
      <c r="R816" s="21">
        <f>IF(Deals[[#This Row],[Status]]="Approved",1,0)</f>
        <v>1</v>
      </c>
      <c r="S816" s="21">
        <f>IF(Deals[[#This Row],[IsApproved]]=1,Deals[[#This Row],[Amount]],0)</f>
        <v>17200</v>
      </c>
      <c r="T816" s="21">
        <f>Deals[[#This Row],[ApprovedAmount]]*Deals[[#This Row],[ProfitRate]]</f>
        <v>1044.04</v>
      </c>
    </row>
    <row r="817" spans="1:20">
      <c r="A817" s="2" t="s">
        <v>1454</v>
      </c>
      <c r="B817" s="3">
        <v>46203</v>
      </c>
      <c r="C817" s="2" t="s">
        <v>813</v>
      </c>
      <c r="D817" s="2" t="s">
        <v>25</v>
      </c>
      <c r="E817" s="2" t="s">
        <v>30</v>
      </c>
      <c r="F817" s="2" t="s">
        <v>3</v>
      </c>
      <c r="G817" s="4">
        <v>9300</v>
      </c>
      <c r="H817" s="5">
        <v>4.48E-2</v>
      </c>
      <c r="I817" s="2">
        <v>60</v>
      </c>
      <c r="J817" s="2" t="s">
        <v>181</v>
      </c>
      <c r="K817" s="2" t="s">
        <v>17</v>
      </c>
      <c r="L817" s="3">
        <v>46204</v>
      </c>
      <c r="M817" s="2" t="str">
        <f>_xlfn.XLOOKUP(Deals[[#This Row],[CustomerID]],Customers!A:A,Customers!F:F)</f>
        <v>Mass</v>
      </c>
      <c r="N817" s="2" t="str">
        <f>_xlfn.XLOOKUP(Deals[[#This Row],[CustomerID]],Customers!A:A,Customers!E:E)</f>
        <v>Kuwaiti</v>
      </c>
      <c r="O817" s="2">
        <f>2026-_xlfn.XLOOKUP(Deals[[#This Row],[CustomerID]],Customers!A:A,Customers!D:D)</f>
        <v>61</v>
      </c>
      <c r="P817" s="2" t="str" cm="1">
        <f t="array" ref="P817">_xlfn.IFS(Deals[[#This Row],[Age]]&lt;30,"Under 30",Deals[[#This Row],[Age]]&lt;45,"30-44",TRUE,"45+")</f>
        <v>45+</v>
      </c>
      <c r="Q817" s="21">
        <f>IF(Deals[[#This Row],[Status]]="Pending","",Deals[[#This Row],[DecisionDate]]-Deals[[#This Row],[ApplicationDate]])</f>
        <v>1</v>
      </c>
      <c r="R817" s="21">
        <f>IF(Deals[[#This Row],[Status]]="Approved",1,0)</f>
        <v>1</v>
      </c>
      <c r="S817" s="21">
        <f>IF(Deals[[#This Row],[IsApproved]]=1,Deals[[#This Row],[Amount]],0)</f>
        <v>9300</v>
      </c>
      <c r="T817" s="21">
        <f>Deals[[#This Row],[ApprovedAmount]]*Deals[[#This Row],[ProfitRate]]</f>
        <v>416.64</v>
      </c>
    </row>
    <row r="818" spans="1:20">
      <c r="A818" s="2" t="s">
        <v>1455</v>
      </c>
      <c r="B818" s="3">
        <v>46203</v>
      </c>
      <c r="C818" s="2" t="s">
        <v>1456</v>
      </c>
      <c r="D818" s="2" t="s">
        <v>71</v>
      </c>
      <c r="E818" s="2" t="s">
        <v>30</v>
      </c>
      <c r="F818" s="2" t="s">
        <v>3</v>
      </c>
      <c r="G818" s="4">
        <v>9800</v>
      </c>
      <c r="H818" s="5">
        <v>4.5199999999999997E-2</v>
      </c>
      <c r="I818" s="2">
        <v>36</v>
      </c>
      <c r="J818" s="2" t="s">
        <v>94</v>
      </c>
      <c r="K818" s="2" t="s">
        <v>45</v>
      </c>
      <c r="L818" s="3">
        <v>46208</v>
      </c>
      <c r="M818" s="2" t="str">
        <f>_xlfn.XLOOKUP(Deals[[#This Row],[CustomerID]],Customers!A:A,Customers!F:F)</f>
        <v>Mass</v>
      </c>
      <c r="N818" s="2" t="str">
        <f>_xlfn.XLOOKUP(Deals[[#This Row],[CustomerID]],Customers!A:A,Customers!E:E)</f>
        <v>Non-Kuwaiti</v>
      </c>
      <c r="O818" s="2">
        <f>2026-_xlfn.XLOOKUP(Deals[[#This Row],[CustomerID]],Customers!A:A,Customers!D:D)</f>
        <v>67</v>
      </c>
      <c r="P818" s="2" t="str" cm="1">
        <f t="array" ref="P818">_xlfn.IFS(Deals[[#This Row],[Age]]&lt;30,"Under 30",Deals[[#This Row],[Age]]&lt;45,"30-44",TRUE,"45+")</f>
        <v>45+</v>
      </c>
      <c r="Q818" s="21">
        <f>IF(Deals[[#This Row],[Status]]="Pending","",Deals[[#This Row],[DecisionDate]]-Deals[[#This Row],[ApplicationDate]])</f>
        <v>5</v>
      </c>
      <c r="R818" s="21">
        <f>IF(Deals[[#This Row],[Status]]="Approved",1,0)</f>
        <v>0</v>
      </c>
      <c r="S818" s="21">
        <f>IF(Deals[[#This Row],[IsApproved]]=1,Deals[[#This Row],[Amount]],0)</f>
        <v>0</v>
      </c>
      <c r="T818" s="21">
        <f>Deals[[#This Row],[ApprovedAmount]]*Deals[[#This Row],[ProfitRate]]</f>
        <v>0</v>
      </c>
    </row>
    <row r="819" spans="1:20">
      <c r="A819" s="2" t="s">
        <v>1457</v>
      </c>
      <c r="B819" s="3">
        <v>46203</v>
      </c>
      <c r="C819" s="2" t="s">
        <v>1004</v>
      </c>
      <c r="D819" s="2" t="s">
        <v>14</v>
      </c>
      <c r="E819" s="2" t="s">
        <v>15</v>
      </c>
      <c r="F819" s="2" t="s">
        <v>31</v>
      </c>
      <c r="G819" s="4">
        <v>15200</v>
      </c>
      <c r="H819" s="5">
        <v>5.8599999999999999E-2</v>
      </c>
      <c r="I819" s="2">
        <v>12</v>
      </c>
      <c r="J819" s="2" t="s">
        <v>48</v>
      </c>
      <c r="K819" s="2" t="s">
        <v>17</v>
      </c>
      <c r="L819" s="3">
        <v>46203</v>
      </c>
      <c r="M819" s="2" t="str">
        <f>_xlfn.XLOOKUP(Deals[[#This Row],[CustomerID]],Customers!A:A,Customers!F:F)</f>
        <v>Mass</v>
      </c>
      <c r="N819" s="2" t="str">
        <f>_xlfn.XLOOKUP(Deals[[#This Row],[CustomerID]],Customers!A:A,Customers!E:E)</f>
        <v>Non-Kuwaiti</v>
      </c>
      <c r="O819" s="2">
        <f>2026-_xlfn.XLOOKUP(Deals[[#This Row],[CustomerID]],Customers!A:A,Customers!D:D)</f>
        <v>27</v>
      </c>
      <c r="P819" s="2" t="str" cm="1">
        <f t="array" ref="P819">_xlfn.IFS(Deals[[#This Row],[Age]]&lt;30,"Under 30",Deals[[#This Row],[Age]]&lt;45,"30-44",TRUE,"45+")</f>
        <v>Under 30</v>
      </c>
      <c r="Q819" s="21">
        <f>IF(Deals[[#This Row],[Status]]="Pending","",Deals[[#This Row],[DecisionDate]]-Deals[[#This Row],[ApplicationDate]])</f>
        <v>0</v>
      </c>
      <c r="R819" s="21">
        <f>IF(Deals[[#This Row],[Status]]="Approved",1,0)</f>
        <v>1</v>
      </c>
      <c r="S819" s="21">
        <f>IF(Deals[[#This Row],[IsApproved]]=1,Deals[[#This Row],[Amount]],0)</f>
        <v>15200</v>
      </c>
      <c r="T819" s="21">
        <f>Deals[[#This Row],[ApprovedAmount]]*Deals[[#This Row],[ProfitRate]]</f>
        <v>890.72</v>
      </c>
    </row>
    <row r="820" spans="1:20">
      <c r="A820" s="2" t="s">
        <v>1458</v>
      </c>
      <c r="B820" s="3">
        <v>46204</v>
      </c>
      <c r="C820" s="2" t="s">
        <v>284</v>
      </c>
      <c r="D820" s="2" t="s">
        <v>14</v>
      </c>
      <c r="E820" s="2" t="s">
        <v>21</v>
      </c>
      <c r="F820" s="2" t="s">
        <v>31</v>
      </c>
      <c r="G820" s="4">
        <v>75100</v>
      </c>
      <c r="H820" s="5">
        <v>4.4400000000000002E-2</v>
      </c>
      <c r="I820" s="2">
        <v>300</v>
      </c>
      <c r="J820" s="2" t="s">
        <v>40</v>
      </c>
      <c r="K820" s="2" t="s">
        <v>17</v>
      </c>
      <c r="L820" s="3">
        <v>46229</v>
      </c>
      <c r="M820" s="2" t="str">
        <f>_xlfn.XLOOKUP(Deals[[#This Row],[CustomerID]],Customers!A:A,Customers!F:F)</f>
        <v>Mass</v>
      </c>
      <c r="N820" s="2" t="str">
        <f>_xlfn.XLOOKUP(Deals[[#This Row],[CustomerID]],Customers!A:A,Customers!E:E)</f>
        <v>Non-Kuwaiti</v>
      </c>
      <c r="O820" s="2">
        <f>2026-_xlfn.XLOOKUP(Deals[[#This Row],[CustomerID]],Customers!A:A,Customers!D:D)</f>
        <v>52</v>
      </c>
      <c r="P820" s="2" t="str" cm="1">
        <f t="array" ref="P820">_xlfn.IFS(Deals[[#This Row],[Age]]&lt;30,"Under 30",Deals[[#This Row],[Age]]&lt;45,"30-44",TRUE,"45+")</f>
        <v>45+</v>
      </c>
      <c r="Q820" s="21">
        <f>IF(Deals[[#This Row],[Status]]="Pending","",Deals[[#This Row],[DecisionDate]]-Deals[[#This Row],[ApplicationDate]])</f>
        <v>25</v>
      </c>
      <c r="R820" s="21">
        <f>IF(Deals[[#This Row],[Status]]="Approved",1,0)</f>
        <v>1</v>
      </c>
      <c r="S820" s="21">
        <f>IF(Deals[[#This Row],[IsApproved]]=1,Deals[[#This Row],[Amount]],0)</f>
        <v>75100</v>
      </c>
      <c r="T820" s="21">
        <f>Deals[[#This Row],[ApprovedAmount]]*Deals[[#This Row],[ProfitRate]]</f>
        <v>3334.44</v>
      </c>
    </row>
    <row r="821" spans="1:20">
      <c r="A821" s="2" t="s">
        <v>1459</v>
      </c>
      <c r="B821" s="3">
        <v>46204</v>
      </c>
      <c r="C821" s="2" t="s">
        <v>864</v>
      </c>
      <c r="D821" s="2" t="s">
        <v>29</v>
      </c>
      <c r="E821" s="2" t="s">
        <v>30</v>
      </c>
      <c r="F821" s="2" t="s">
        <v>31</v>
      </c>
      <c r="G821" s="4">
        <v>13800</v>
      </c>
      <c r="H821" s="5">
        <v>4.3700000000000003E-2</v>
      </c>
      <c r="I821" s="2">
        <v>36</v>
      </c>
      <c r="J821" s="2" t="s">
        <v>123</v>
      </c>
      <c r="K821" s="2" t="s">
        <v>17</v>
      </c>
      <c r="L821" s="3">
        <v>46204</v>
      </c>
      <c r="M821" s="2" t="str">
        <f>_xlfn.XLOOKUP(Deals[[#This Row],[CustomerID]],Customers!A:A,Customers!F:F)</f>
        <v>Mass</v>
      </c>
      <c r="N821" s="2" t="str">
        <f>_xlfn.XLOOKUP(Deals[[#This Row],[CustomerID]],Customers!A:A,Customers!E:E)</f>
        <v>Non-Kuwaiti</v>
      </c>
      <c r="O821" s="2">
        <f>2026-_xlfn.XLOOKUP(Deals[[#This Row],[CustomerID]],Customers!A:A,Customers!D:D)</f>
        <v>39</v>
      </c>
      <c r="P821" s="2" t="str" cm="1">
        <f t="array" ref="P821">_xlfn.IFS(Deals[[#This Row],[Age]]&lt;30,"Under 30",Deals[[#This Row],[Age]]&lt;45,"30-44",TRUE,"45+")</f>
        <v>30-44</v>
      </c>
      <c r="Q821" s="21">
        <f>IF(Deals[[#This Row],[Status]]="Pending","",Deals[[#This Row],[DecisionDate]]-Deals[[#This Row],[ApplicationDate]])</f>
        <v>0</v>
      </c>
      <c r="R821" s="21">
        <f>IF(Deals[[#This Row],[Status]]="Approved",1,0)</f>
        <v>1</v>
      </c>
      <c r="S821" s="21">
        <f>IF(Deals[[#This Row],[IsApproved]]=1,Deals[[#This Row],[Amount]],0)</f>
        <v>13800</v>
      </c>
      <c r="T821" s="21">
        <f>Deals[[#This Row],[ApprovedAmount]]*Deals[[#This Row],[ProfitRate]]</f>
        <v>603.06000000000006</v>
      </c>
    </row>
    <row r="822" spans="1:20">
      <c r="A822" s="2" t="s">
        <v>1461</v>
      </c>
      <c r="B822" s="3">
        <v>46204</v>
      </c>
      <c r="C822" s="2" t="s">
        <v>1248</v>
      </c>
      <c r="D822" s="2" t="s">
        <v>29</v>
      </c>
      <c r="E822" s="2" t="s">
        <v>15</v>
      </c>
      <c r="F822" s="2" t="s">
        <v>3</v>
      </c>
      <c r="G822" s="4">
        <v>3300</v>
      </c>
      <c r="H822" s="5">
        <v>5.5800000000000002E-2</v>
      </c>
      <c r="I822" s="2">
        <v>36</v>
      </c>
      <c r="J822" s="2" t="s">
        <v>123</v>
      </c>
      <c r="K822" s="2" t="s">
        <v>45</v>
      </c>
      <c r="L822" s="3">
        <v>46210</v>
      </c>
      <c r="M822" s="2" t="str">
        <f>_xlfn.XLOOKUP(Deals[[#This Row],[CustomerID]],Customers!A:A,Customers!F:F)</f>
        <v>Mass</v>
      </c>
      <c r="N822" s="2" t="str">
        <f>_xlfn.XLOOKUP(Deals[[#This Row],[CustomerID]],Customers!A:A,Customers!E:E)</f>
        <v>Non-Kuwaiti</v>
      </c>
      <c r="O822" s="2">
        <f>2026-_xlfn.XLOOKUP(Deals[[#This Row],[CustomerID]],Customers!A:A,Customers!D:D)</f>
        <v>45</v>
      </c>
      <c r="P822" s="2" t="str" cm="1">
        <f t="array" ref="P822">_xlfn.IFS(Deals[[#This Row],[Age]]&lt;30,"Under 30",Deals[[#This Row],[Age]]&lt;45,"30-44",TRUE,"45+")</f>
        <v>45+</v>
      </c>
      <c r="Q822" s="21">
        <f>IF(Deals[[#This Row],[Status]]="Pending","",Deals[[#This Row],[DecisionDate]]-Deals[[#This Row],[ApplicationDate]])</f>
        <v>6</v>
      </c>
      <c r="R822" s="21">
        <f>IF(Deals[[#This Row],[Status]]="Approved",1,0)</f>
        <v>0</v>
      </c>
      <c r="S822" s="21">
        <f>IF(Deals[[#This Row],[IsApproved]]=1,Deals[[#This Row],[Amount]],0)</f>
        <v>0</v>
      </c>
      <c r="T822" s="21">
        <f>Deals[[#This Row],[ApprovedAmount]]*Deals[[#This Row],[ProfitRate]]</f>
        <v>0</v>
      </c>
    </row>
    <row r="823" spans="1:20">
      <c r="A823" s="2" t="s">
        <v>1462</v>
      </c>
      <c r="B823" s="3">
        <v>46204</v>
      </c>
      <c r="C823" s="2" t="s">
        <v>644</v>
      </c>
      <c r="D823" s="2" t="s">
        <v>25</v>
      </c>
      <c r="E823" s="2" t="s">
        <v>30</v>
      </c>
      <c r="F823" s="2" t="s">
        <v>3</v>
      </c>
      <c r="G823" s="4">
        <v>12300</v>
      </c>
      <c r="H823" s="5">
        <v>4.3499999999999997E-2</v>
      </c>
      <c r="I823" s="2">
        <v>48</v>
      </c>
      <c r="J823" s="2" t="s">
        <v>181</v>
      </c>
      <c r="K823" s="2" t="s">
        <v>17</v>
      </c>
      <c r="L823" s="3">
        <v>46206</v>
      </c>
      <c r="M823" s="2" t="str">
        <f>_xlfn.XLOOKUP(Deals[[#This Row],[CustomerID]],Customers!A:A,Customers!F:F)</f>
        <v>Affluent</v>
      </c>
      <c r="N823" s="2" t="str">
        <f>_xlfn.XLOOKUP(Deals[[#This Row],[CustomerID]],Customers!A:A,Customers!E:E)</f>
        <v>Kuwaiti</v>
      </c>
      <c r="O823" s="2">
        <f>2026-_xlfn.XLOOKUP(Deals[[#This Row],[CustomerID]],Customers!A:A,Customers!D:D)</f>
        <v>68</v>
      </c>
      <c r="P823" s="2" t="str" cm="1">
        <f t="array" ref="P823">_xlfn.IFS(Deals[[#This Row],[Age]]&lt;30,"Under 30",Deals[[#This Row],[Age]]&lt;45,"30-44",TRUE,"45+")</f>
        <v>45+</v>
      </c>
      <c r="Q823" s="21">
        <f>IF(Deals[[#This Row],[Status]]="Pending","",Deals[[#This Row],[DecisionDate]]-Deals[[#This Row],[ApplicationDate]])</f>
        <v>2</v>
      </c>
      <c r="R823" s="21">
        <f>IF(Deals[[#This Row],[Status]]="Approved",1,0)</f>
        <v>1</v>
      </c>
      <c r="S823" s="21">
        <f>IF(Deals[[#This Row],[IsApproved]]=1,Deals[[#This Row],[Amount]],0)</f>
        <v>12300</v>
      </c>
      <c r="T823" s="21">
        <f>Deals[[#This Row],[ApprovedAmount]]*Deals[[#This Row],[ProfitRate]]</f>
        <v>535.04999999999995</v>
      </c>
    </row>
    <row r="824" spans="1:20">
      <c r="A824" s="2" t="s">
        <v>1463</v>
      </c>
      <c r="B824" s="3">
        <v>46204</v>
      </c>
      <c r="C824" s="2" t="s">
        <v>1464</v>
      </c>
      <c r="D824" s="2" t="s">
        <v>20</v>
      </c>
      <c r="E824" s="2" t="s">
        <v>30</v>
      </c>
      <c r="F824" s="2" t="s">
        <v>3</v>
      </c>
      <c r="G824" s="4">
        <v>10600</v>
      </c>
      <c r="H824" s="5">
        <v>4.1000000000000002E-2</v>
      </c>
      <c r="I824" s="2">
        <v>60</v>
      </c>
      <c r="J824" s="2" t="s">
        <v>37</v>
      </c>
      <c r="K824" s="2" t="s">
        <v>17</v>
      </c>
      <c r="L824" s="3">
        <v>46206</v>
      </c>
      <c r="M824" s="2" t="str">
        <f>_xlfn.XLOOKUP(Deals[[#This Row],[CustomerID]],Customers!A:A,Customers!F:F)</f>
        <v>Mass</v>
      </c>
      <c r="N824" s="2" t="str">
        <f>_xlfn.XLOOKUP(Deals[[#This Row],[CustomerID]],Customers!A:A,Customers!E:E)</f>
        <v>Non-Kuwaiti</v>
      </c>
      <c r="O824" s="2">
        <f>2026-_xlfn.XLOOKUP(Deals[[#This Row],[CustomerID]],Customers!A:A,Customers!D:D)</f>
        <v>27</v>
      </c>
      <c r="P824" s="2" t="str" cm="1">
        <f t="array" ref="P824">_xlfn.IFS(Deals[[#This Row],[Age]]&lt;30,"Under 30",Deals[[#This Row],[Age]]&lt;45,"30-44",TRUE,"45+")</f>
        <v>Under 30</v>
      </c>
      <c r="Q824" s="21">
        <f>IF(Deals[[#This Row],[Status]]="Pending","",Deals[[#This Row],[DecisionDate]]-Deals[[#This Row],[ApplicationDate]])</f>
        <v>2</v>
      </c>
      <c r="R824" s="21">
        <f>IF(Deals[[#This Row],[Status]]="Approved",1,0)</f>
        <v>1</v>
      </c>
      <c r="S824" s="21">
        <f>IF(Deals[[#This Row],[IsApproved]]=1,Deals[[#This Row],[Amount]],0)</f>
        <v>10600</v>
      </c>
      <c r="T824" s="21">
        <f>Deals[[#This Row],[ApprovedAmount]]*Deals[[#This Row],[ProfitRate]]</f>
        <v>434.6</v>
      </c>
    </row>
    <row r="825" spans="1:20">
      <c r="A825" s="2" t="s">
        <v>1465</v>
      </c>
      <c r="B825" s="3">
        <v>46205</v>
      </c>
      <c r="C825" s="2" t="s">
        <v>862</v>
      </c>
      <c r="D825" s="2" t="s">
        <v>25</v>
      </c>
      <c r="E825" s="2" t="s">
        <v>30</v>
      </c>
      <c r="F825" s="2" t="s">
        <v>3</v>
      </c>
      <c r="G825" s="4">
        <v>11000</v>
      </c>
      <c r="H825" s="5">
        <v>3.5700000000000003E-2</v>
      </c>
      <c r="I825" s="2">
        <v>60</v>
      </c>
      <c r="J825" s="2" t="s">
        <v>26</v>
      </c>
      <c r="K825" s="2" t="s">
        <v>17</v>
      </c>
      <c r="L825" s="3">
        <v>46208</v>
      </c>
      <c r="M825" s="2" t="str">
        <f>_xlfn.XLOOKUP(Deals[[#This Row],[CustomerID]],Customers!A:A,Customers!F:F)</f>
        <v>Premium</v>
      </c>
      <c r="N825" s="2" t="str">
        <f>_xlfn.XLOOKUP(Deals[[#This Row],[CustomerID]],Customers!A:A,Customers!E:E)</f>
        <v>Kuwaiti</v>
      </c>
      <c r="O825" s="2">
        <f>2026-_xlfn.XLOOKUP(Deals[[#This Row],[CustomerID]],Customers!A:A,Customers!D:D)</f>
        <v>37</v>
      </c>
      <c r="P825" s="2" t="str" cm="1">
        <f t="array" ref="P825">_xlfn.IFS(Deals[[#This Row],[Age]]&lt;30,"Under 30",Deals[[#This Row],[Age]]&lt;45,"30-44",TRUE,"45+")</f>
        <v>30-44</v>
      </c>
      <c r="Q825" s="21">
        <f>IF(Deals[[#This Row],[Status]]="Pending","",Deals[[#This Row],[DecisionDate]]-Deals[[#This Row],[ApplicationDate]])</f>
        <v>3</v>
      </c>
      <c r="R825" s="21">
        <f>IF(Deals[[#This Row],[Status]]="Approved",1,0)</f>
        <v>1</v>
      </c>
      <c r="S825" s="21">
        <f>IF(Deals[[#This Row],[IsApproved]]=1,Deals[[#This Row],[Amount]],0)</f>
        <v>11000</v>
      </c>
      <c r="T825" s="21">
        <f>Deals[[#This Row],[ApprovedAmount]]*Deals[[#This Row],[ProfitRate]]</f>
        <v>392.70000000000005</v>
      </c>
    </row>
    <row r="826" spans="1:20">
      <c r="A826" s="2" t="s">
        <v>1466</v>
      </c>
      <c r="B826" s="3">
        <v>46205</v>
      </c>
      <c r="C826" s="2" t="s">
        <v>891</v>
      </c>
      <c r="D826" s="2" t="s">
        <v>20</v>
      </c>
      <c r="E826" s="2" t="s">
        <v>15</v>
      </c>
      <c r="F826" s="2" t="s">
        <v>31</v>
      </c>
      <c r="G826" s="4">
        <v>3500</v>
      </c>
      <c r="H826" s="5">
        <v>6.8099999999999994E-2</v>
      </c>
      <c r="I826" s="2">
        <v>24</v>
      </c>
      <c r="J826" s="2" t="s">
        <v>37</v>
      </c>
      <c r="K826" s="2" t="s">
        <v>45</v>
      </c>
      <c r="L826" s="3">
        <v>46210</v>
      </c>
      <c r="M826" s="2" t="str">
        <f>_xlfn.XLOOKUP(Deals[[#This Row],[CustomerID]],Customers!A:A,Customers!F:F)</f>
        <v>Mass</v>
      </c>
      <c r="N826" s="2" t="str">
        <f>_xlfn.XLOOKUP(Deals[[#This Row],[CustomerID]],Customers!A:A,Customers!E:E)</f>
        <v>Kuwaiti</v>
      </c>
      <c r="O826" s="2">
        <f>2026-_xlfn.XLOOKUP(Deals[[#This Row],[CustomerID]],Customers!A:A,Customers!D:D)</f>
        <v>48</v>
      </c>
      <c r="P826" s="2" t="str" cm="1">
        <f t="array" ref="P826">_xlfn.IFS(Deals[[#This Row],[Age]]&lt;30,"Under 30",Deals[[#This Row],[Age]]&lt;45,"30-44",TRUE,"45+")</f>
        <v>45+</v>
      </c>
      <c r="Q826" s="21">
        <f>IF(Deals[[#This Row],[Status]]="Pending","",Deals[[#This Row],[DecisionDate]]-Deals[[#This Row],[ApplicationDate]])</f>
        <v>5</v>
      </c>
      <c r="R826" s="21">
        <f>IF(Deals[[#This Row],[Status]]="Approved",1,0)</f>
        <v>0</v>
      </c>
      <c r="S826" s="21">
        <f>IF(Deals[[#This Row],[IsApproved]]=1,Deals[[#This Row],[Amount]],0)</f>
        <v>0</v>
      </c>
      <c r="T826" s="21">
        <f>Deals[[#This Row],[ApprovedAmount]]*Deals[[#This Row],[ProfitRate]]</f>
        <v>0</v>
      </c>
    </row>
    <row r="827" spans="1:20">
      <c r="A827" s="2" t="s">
        <v>1467</v>
      </c>
      <c r="B827" s="3">
        <v>46205</v>
      </c>
      <c r="C827" s="2" t="s">
        <v>1468</v>
      </c>
      <c r="D827" s="2" t="s">
        <v>71</v>
      </c>
      <c r="E827" s="2" t="s">
        <v>15</v>
      </c>
      <c r="F827" s="2" t="s">
        <v>3</v>
      </c>
      <c r="G827" s="4">
        <v>13200</v>
      </c>
      <c r="H827" s="5">
        <v>5.3999999999999999E-2</v>
      </c>
      <c r="I827" s="2">
        <v>36</v>
      </c>
      <c r="J827" s="2" t="s">
        <v>72</v>
      </c>
      <c r="K827" s="2" t="s">
        <v>45</v>
      </c>
      <c r="L827" s="3">
        <v>46213</v>
      </c>
      <c r="M827" s="2" t="str">
        <f>_xlfn.XLOOKUP(Deals[[#This Row],[CustomerID]],Customers!A:A,Customers!F:F)</f>
        <v>Affluent</v>
      </c>
      <c r="N827" s="2" t="str">
        <f>_xlfn.XLOOKUP(Deals[[#This Row],[CustomerID]],Customers!A:A,Customers!E:E)</f>
        <v>Kuwaiti</v>
      </c>
      <c r="O827" s="2">
        <f>2026-_xlfn.XLOOKUP(Deals[[#This Row],[CustomerID]],Customers!A:A,Customers!D:D)</f>
        <v>30</v>
      </c>
      <c r="P827" s="2" t="str" cm="1">
        <f t="array" ref="P827">_xlfn.IFS(Deals[[#This Row],[Age]]&lt;30,"Under 30",Deals[[#This Row],[Age]]&lt;45,"30-44",TRUE,"45+")</f>
        <v>30-44</v>
      </c>
      <c r="Q827" s="21">
        <f>IF(Deals[[#This Row],[Status]]="Pending","",Deals[[#This Row],[DecisionDate]]-Deals[[#This Row],[ApplicationDate]])</f>
        <v>8</v>
      </c>
      <c r="R827" s="21">
        <f>IF(Deals[[#This Row],[Status]]="Approved",1,0)</f>
        <v>0</v>
      </c>
      <c r="S827" s="21">
        <f>IF(Deals[[#This Row],[IsApproved]]=1,Deals[[#This Row],[Amount]],0)</f>
        <v>0</v>
      </c>
      <c r="T827" s="21">
        <f>Deals[[#This Row],[ApprovedAmount]]*Deals[[#This Row],[ProfitRate]]</f>
        <v>0</v>
      </c>
    </row>
    <row r="828" spans="1:20">
      <c r="A828" s="2" t="s">
        <v>1469</v>
      </c>
      <c r="B828" s="3">
        <v>46205</v>
      </c>
      <c r="C828" s="2" t="s">
        <v>1470</v>
      </c>
      <c r="D828" s="2" t="s">
        <v>14</v>
      </c>
      <c r="E828" s="2" t="s">
        <v>30</v>
      </c>
      <c r="F828" s="2" t="s">
        <v>55</v>
      </c>
      <c r="G828" s="4">
        <v>16900</v>
      </c>
      <c r="H828" s="5">
        <v>4.4600000000000001E-2</v>
      </c>
      <c r="I828" s="2">
        <v>60</v>
      </c>
      <c r="J828" s="2" t="s">
        <v>48</v>
      </c>
      <c r="K828" s="2" t="s">
        <v>17</v>
      </c>
      <c r="L828" s="3">
        <v>46210</v>
      </c>
      <c r="M828" s="2" t="str">
        <f>_xlfn.XLOOKUP(Deals[[#This Row],[CustomerID]],Customers!A:A,Customers!F:F)</f>
        <v>Premium</v>
      </c>
      <c r="N828" s="2" t="str">
        <f>_xlfn.XLOOKUP(Deals[[#This Row],[CustomerID]],Customers!A:A,Customers!E:E)</f>
        <v>Non-Kuwaiti</v>
      </c>
      <c r="O828" s="2">
        <f>2026-_xlfn.XLOOKUP(Deals[[#This Row],[CustomerID]],Customers!A:A,Customers!D:D)</f>
        <v>55</v>
      </c>
      <c r="P828" s="2" t="str" cm="1">
        <f t="array" ref="P828">_xlfn.IFS(Deals[[#This Row],[Age]]&lt;30,"Under 30",Deals[[#This Row],[Age]]&lt;45,"30-44",TRUE,"45+")</f>
        <v>45+</v>
      </c>
      <c r="Q828" s="21">
        <f>IF(Deals[[#This Row],[Status]]="Pending","",Deals[[#This Row],[DecisionDate]]-Deals[[#This Row],[ApplicationDate]])</f>
        <v>5</v>
      </c>
      <c r="R828" s="21">
        <f>IF(Deals[[#This Row],[Status]]="Approved",1,0)</f>
        <v>1</v>
      </c>
      <c r="S828" s="21">
        <f>IF(Deals[[#This Row],[IsApproved]]=1,Deals[[#This Row],[Amount]],0)</f>
        <v>16900</v>
      </c>
      <c r="T828" s="21">
        <f>Deals[[#This Row],[ApprovedAmount]]*Deals[[#This Row],[ProfitRate]]</f>
        <v>753.74</v>
      </c>
    </row>
    <row r="829" spans="1:20">
      <c r="A829" s="2" t="s">
        <v>1471</v>
      </c>
      <c r="B829" s="3">
        <v>46205</v>
      </c>
      <c r="C829" s="2" t="s">
        <v>631</v>
      </c>
      <c r="D829" s="2" t="s">
        <v>54</v>
      </c>
      <c r="E829" s="2" t="s">
        <v>30</v>
      </c>
      <c r="F829" s="2" t="s">
        <v>3</v>
      </c>
      <c r="G829" s="4">
        <v>16000</v>
      </c>
      <c r="H829" s="5">
        <v>4.8899999999999999E-2</v>
      </c>
      <c r="I829" s="2">
        <v>36</v>
      </c>
      <c r="J829" s="2" t="s">
        <v>186</v>
      </c>
      <c r="K829" s="2" t="s">
        <v>17</v>
      </c>
      <c r="L829" s="3">
        <v>46210</v>
      </c>
      <c r="M829" s="2" t="str">
        <f>_xlfn.XLOOKUP(Deals[[#This Row],[CustomerID]],Customers!A:A,Customers!F:F)</f>
        <v>Affluent</v>
      </c>
      <c r="N829" s="2" t="str">
        <f>_xlfn.XLOOKUP(Deals[[#This Row],[CustomerID]],Customers!A:A,Customers!E:E)</f>
        <v>Kuwaiti</v>
      </c>
      <c r="O829" s="2">
        <f>2026-_xlfn.XLOOKUP(Deals[[#This Row],[CustomerID]],Customers!A:A,Customers!D:D)</f>
        <v>24</v>
      </c>
      <c r="P829" s="2" t="str" cm="1">
        <f t="array" ref="P829">_xlfn.IFS(Deals[[#This Row],[Age]]&lt;30,"Under 30",Deals[[#This Row],[Age]]&lt;45,"30-44",TRUE,"45+")</f>
        <v>Under 30</v>
      </c>
      <c r="Q829" s="21">
        <f>IF(Deals[[#This Row],[Status]]="Pending","",Deals[[#This Row],[DecisionDate]]-Deals[[#This Row],[ApplicationDate]])</f>
        <v>5</v>
      </c>
      <c r="R829" s="21">
        <f>IF(Deals[[#This Row],[Status]]="Approved",1,0)</f>
        <v>1</v>
      </c>
      <c r="S829" s="21">
        <f>IF(Deals[[#This Row],[IsApproved]]=1,Deals[[#This Row],[Amount]],0)</f>
        <v>16000</v>
      </c>
      <c r="T829" s="21">
        <f>Deals[[#This Row],[ApprovedAmount]]*Deals[[#This Row],[ProfitRate]]</f>
        <v>782.4</v>
      </c>
    </row>
    <row r="830" spans="1:20">
      <c r="A830" s="2" t="s">
        <v>1472</v>
      </c>
      <c r="B830" s="3">
        <v>46206</v>
      </c>
      <c r="C830" s="2" t="s">
        <v>1473</v>
      </c>
      <c r="D830" s="2" t="s">
        <v>29</v>
      </c>
      <c r="E830" s="2" t="s">
        <v>30</v>
      </c>
      <c r="F830" s="2" t="s">
        <v>3</v>
      </c>
      <c r="G830" s="4">
        <v>6300</v>
      </c>
      <c r="H830" s="5">
        <v>4.9200000000000001E-2</v>
      </c>
      <c r="I830" s="2">
        <v>48</v>
      </c>
      <c r="J830" s="2" t="s">
        <v>123</v>
      </c>
      <c r="K830" s="2" t="s">
        <v>17</v>
      </c>
      <c r="L830" s="3">
        <v>46211</v>
      </c>
      <c r="M830" s="2" t="str">
        <f>_xlfn.XLOOKUP(Deals[[#This Row],[CustomerID]],Customers!A:A,Customers!F:F)</f>
        <v>Mass</v>
      </c>
      <c r="N830" s="2" t="str">
        <f>_xlfn.XLOOKUP(Deals[[#This Row],[CustomerID]],Customers!A:A,Customers!E:E)</f>
        <v>Kuwaiti</v>
      </c>
      <c r="O830" s="2">
        <f>2026-_xlfn.XLOOKUP(Deals[[#This Row],[CustomerID]],Customers!A:A,Customers!D:D)</f>
        <v>28</v>
      </c>
      <c r="P830" s="2" t="str" cm="1">
        <f t="array" ref="P830">_xlfn.IFS(Deals[[#This Row],[Age]]&lt;30,"Under 30",Deals[[#This Row],[Age]]&lt;45,"30-44",TRUE,"45+")</f>
        <v>Under 30</v>
      </c>
      <c r="Q830" s="21">
        <f>IF(Deals[[#This Row],[Status]]="Pending","",Deals[[#This Row],[DecisionDate]]-Deals[[#This Row],[ApplicationDate]])</f>
        <v>5</v>
      </c>
      <c r="R830" s="21">
        <f>IF(Deals[[#This Row],[Status]]="Approved",1,0)</f>
        <v>1</v>
      </c>
      <c r="S830" s="21">
        <f>IF(Deals[[#This Row],[IsApproved]]=1,Deals[[#This Row],[Amount]],0)</f>
        <v>6300</v>
      </c>
      <c r="T830" s="21">
        <f>Deals[[#This Row],[ApprovedAmount]]*Deals[[#This Row],[ProfitRate]]</f>
        <v>309.95999999999998</v>
      </c>
    </row>
    <row r="831" spans="1:20">
      <c r="A831" s="2" t="s">
        <v>1474</v>
      </c>
      <c r="B831" s="3">
        <v>46206</v>
      </c>
      <c r="C831" s="2" t="s">
        <v>693</v>
      </c>
      <c r="D831" s="2" t="s">
        <v>71</v>
      </c>
      <c r="E831" s="2" t="s">
        <v>15</v>
      </c>
      <c r="F831" s="2" t="s">
        <v>55</v>
      </c>
      <c r="G831" s="4">
        <v>3400</v>
      </c>
      <c r="H831" s="5">
        <v>5.0200000000000002E-2</v>
      </c>
      <c r="I831" s="2">
        <v>48</v>
      </c>
      <c r="J831" s="2" t="s">
        <v>94</v>
      </c>
      <c r="K831" s="2" t="s">
        <v>45</v>
      </c>
      <c r="L831" s="3">
        <v>46214</v>
      </c>
      <c r="M831" s="2" t="str">
        <f>_xlfn.XLOOKUP(Deals[[#This Row],[CustomerID]],Customers!A:A,Customers!F:F)</f>
        <v>Mass</v>
      </c>
      <c r="N831" s="2" t="str">
        <f>_xlfn.XLOOKUP(Deals[[#This Row],[CustomerID]],Customers!A:A,Customers!E:E)</f>
        <v>Kuwaiti</v>
      </c>
      <c r="O831" s="2">
        <f>2026-_xlfn.XLOOKUP(Deals[[#This Row],[CustomerID]],Customers!A:A,Customers!D:D)</f>
        <v>38</v>
      </c>
      <c r="P831" s="2" t="str" cm="1">
        <f t="array" ref="P831">_xlfn.IFS(Deals[[#This Row],[Age]]&lt;30,"Under 30",Deals[[#This Row],[Age]]&lt;45,"30-44",TRUE,"45+")</f>
        <v>30-44</v>
      </c>
      <c r="Q831" s="21">
        <f>IF(Deals[[#This Row],[Status]]="Pending","",Deals[[#This Row],[DecisionDate]]-Deals[[#This Row],[ApplicationDate]])</f>
        <v>8</v>
      </c>
      <c r="R831" s="21">
        <f>IF(Deals[[#This Row],[Status]]="Approved",1,0)</f>
        <v>0</v>
      </c>
      <c r="S831" s="21">
        <f>IF(Deals[[#This Row],[IsApproved]]=1,Deals[[#This Row],[Amount]],0)</f>
        <v>0</v>
      </c>
      <c r="T831" s="21">
        <f>Deals[[#This Row],[ApprovedAmount]]*Deals[[#This Row],[ProfitRate]]</f>
        <v>0</v>
      </c>
    </row>
    <row r="832" spans="1:20">
      <c r="A832" s="2" t="s">
        <v>1475</v>
      </c>
      <c r="B832" s="3">
        <v>46206</v>
      </c>
      <c r="C832" s="2" t="s">
        <v>445</v>
      </c>
      <c r="D832" s="2" t="s">
        <v>14</v>
      </c>
      <c r="E832" s="2" t="s">
        <v>30</v>
      </c>
      <c r="F832" s="2" t="s">
        <v>55</v>
      </c>
      <c r="G832" s="4">
        <v>6600</v>
      </c>
      <c r="H832" s="5">
        <v>4.5600000000000002E-2</v>
      </c>
      <c r="I832" s="2">
        <v>60</v>
      </c>
      <c r="J832" s="2" t="s">
        <v>40</v>
      </c>
      <c r="K832" s="2" t="s">
        <v>17</v>
      </c>
      <c r="L832" s="3">
        <v>46208</v>
      </c>
      <c r="M832" s="2" t="str">
        <f>_xlfn.XLOOKUP(Deals[[#This Row],[CustomerID]],Customers!A:A,Customers!F:F)</f>
        <v>Mass</v>
      </c>
      <c r="N832" s="2" t="str">
        <f>_xlfn.XLOOKUP(Deals[[#This Row],[CustomerID]],Customers!A:A,Customers!E:E)</f>
        <v>Kuwaiti</v>
      </c>
      <c r="O832" s="2">
        <f>2026-_xlfn.XLOOKUP(Deals[[#This Row],[CustomerID]],Customers!A:A,Customers!D:D)</f>
        <v>43</v>
      </c>
      <c r="P832" s="2" t="str" cm="1">
        <f t="array" ref="P832">_xlfn.IFS(Deals[[#This Row],[Age]]&lt;30,"Under 30",Deals[[#This Row],[Age]]&lt;45,"30-44",TRUE,"45+")</f>
        <v>30-44</v>
      </c>
      <c r="Q832" s="21">
        <f>IF(Deals[[#This Row],[Status]]="Pending","",Deals[[#This Row],[DecisionDate]]-Deals[[#This Row],[ApplicationDate]])</f>
        <v>2</v>
      </c>
      <c r="R832" s="21">
        <f>IF(Deals[[#This Row],[Status]]="Approved",1,0)</f>
        <v>1</v>
      </c>
      <c r="S832" s="21">
        <f>IF(Deals[[#This Row],[IsApproved]]=1,Deals[[#This Row],[Amount]],0)</f>
        <v>6600</v>
      </c>
      <c r="T832" s="21">
        <f>Deals[[#This Row],[ApprovedAmount]]*Deals[[#This Row],[ProfitRate]]</f>
        <v>300.96000000000004</v>
      </c>
    </row>
    <row r="833" spans="1:20">
      <c r="A833" s="2" t="s">
        <v>1476</v>
      </c>
      <c r="B833" s="3">
        <v>46206</v>
      </c>
      <c r="C833" s="2" t="s">
        <v>1477</v>
      </c>
      <c r="D833" s="2" t="s">
        <v>25</v>
      </c>
      <c r="E833" s="2" t="s">
        <v>21</v>
      </c>
      <c r="F833" s="2" t="s">
        <v>31</v>
      </c>
      <c r="G833" s="4">
        <v>242400</v>
      </c>
      <c r="H833" s="5">
        <v>3.1600000000000003E-2</v>
      </c>
      <c r="I833" s="2">
        <v>120</v>
      </c>
      <c r="J833" s="2" t="s">
        <v>26</v>
      </c>
      <c r="K833" s="2" t="s">
        <v>17</v>
      </c>
      <c r="L833" s="3">
        <v>46230</v>
      </c>
      <c r="M833" s="2" t="str">
        <f>_xlfn.XLOOKUP(Deals[[#This Row],[CustomerID]],Customers!A:A,Customers!F:F)</f>
        <v>Mass</v>
      </c>
      <c r="N833" s="2" t="str">
        <f>_xlfn.XLOOKUP(Deals[[#This Row],[CustomerID]],Customers!A:A,Customers!E:E)</f>
        <v>Non-Kuwaiti</v>
      </c>
      <c r="O833" s="2">
        <f>2026-_xlfn.XLOOKUP(Deals[[#This Row],[CustomerID]],Customers!A:A,Customers!D:D)</f>
        <v>53</v>
      </c>
      <c r="P833" s="2" t="str" cm="1">
        <f t="array" ref="P833">_xlfn.IFS(Deals[[#This Row],[Age]]&lt;30,"Under 30",Deals[[#This Row],[Age]]&lt;45,"30-44",TRUE,"45+")</f>
        <v>45+</v>
      </c>
      <c r="Q833" s="21">
        <f>IF(Deals[[#This Row],[Status]]="Pending","",Deals[[#This Row],[DecisionDate]]-Deals[[#This Row],[ApplicationDate]])</f>
        <v>24</v>
      </c>
      <c r="R833" s="21">
        <f>IF(Deals[[#This Row],[Status]]="Approved",1,0)</f>
        <v>1</v>
      </c>
      <c r="S833" s="21">
        <f>IF(Deals[[#This Row],[IsApproved]]=1,Deals[[#This Row],[Amount]],0)</f>
        <v>242400</v>
      </c>
      <c r="T833" s="21">
        <f>Deals[[#This Row],[ApprovedAmount]]*Deals[[#This Row],[ProfitRate]]</f>
        <v>7659.8400000000011</v>
      </c>
    </row>
    <row r="834" spans="1:20">
      <c r="A834" s="2" t="s">
        <v>1478</v>
      </c>
      <c r="B834" s="3">
        <v>46206</v>
      </c>
      <c r="C834" s="2" t="s">
        <v>1479</v>
      </c>
      <c r="D834" s="2" t="s">
        <v>20</v>
      </c>
      <c r="E834" s="2" t="s">
        <v>21</v>
      </c>
      <c r="F834" s="2" t="s">
        <v>3</v>
      </c>
      <c r="G834" s="4">
        <v>183800</v>
      </c>
      <c r="H834" s="5">
        <v>3.61E-2</v>
      </c>
      <c r="I834" s="2">
        <v>240</v>
      </c>
      <c r="J834" s="2" t="s">
        <v>22</v>
      </c>
      <c r="K834" s="2" t="s">
        <v>17</v>
      </c>
      <c r="L834" s="3">
        <v>46216</v>
      </c>
      <c r="M834" s="2" t="str">
        <f>_xlfn.XLOOKUP(Deals[[#This Row],[CustomerID]],Customers!A:A,Customers!F:F)</f>
        <v>Affluent</v>
      </c>
      <c r="N834" s="2" t="str">
        <f>_xlfn.XLOOKUP(Deals[[#This Row],[CustomerID]],Customers!A:A,Customers!E:E)</f>
        <v>Non-Kuwaiti</v>
      </c>
      <c r="O834" s="2">
        <f>2026-_xlfn.XLOOKUP(Deals[[#This Row],[CustomerID]],Customers!A:A,Customers!D:D)</f>
        <v>44</v>
      </c>
      <c r="P834" s="2" t="str" cm="1">
        <f t="array" ref="P834">_xlfn.IFS(Deals[[#This Row],[Age]]&lt;30,"Under 30",Deals[[#This Row],[Age]]&lt;45,"30-44",TRUE,"45+")</f>
        <v>30-44</v>
      </c>
      <c r="Q834" s="21">
        <f>IF(Deals[[#This Row],[Status]]="Pending","",Deals[[#This Row],[DecisionDate]]-Deals[[#This Row],[ApplicationDate]])</f>
        <v>10</v>
      </c>
      <c r="R834" s="21">
        <f>IF(Deals[[#This Row],[Status]]="Approved",1,0)</f>
        <v>1</v>
      </c>
      <c r="S834" s="21">
        <f>IF(Deals[[#This Row],[IsApproved]]=1,Deals[[#This Row],[Amount]],0)</f>
        <v>183800</v>
      </c>
      <c r="T834" s="21">
        <f>Deals[[#This Row],[ApprovedAmount]]*Deals[[#This Row],[ProfitRate]]</f>
        <v>6635.18</v>
      </c>
    </row>
    <row r="835" spans="1:20">
      <c r="A835" s="2" t="s">
        <v>1480</v>
      </c>
      <c r="B835" s="3">
        <v>46206</v>
      </c>
      <c r="C835" s="2" t="s">
        <v>515</v>
      </c>
      <c r="D835" s="2" t="s">
        <v>14</v>
      </c>
      <c r="E835" s="2" t="s">
        <v>30</v>
      </c>
      <c r="F835" s="2" t="s">
        <v>3</v>
      </c>
      <c r="G835" s="4">
        <v>5100</v>
      </c>
      <c r="H835" s="5">
        <v>4.4499999999999998E-2</v>
      </c>
      <c r="I835" s="2">
        <v>60</v>
      </c>
      <c r="J835" s="2" t="s">
        <v>16</v>
      </c>
      <c r="K835" s="2" t="s">
        <v>17</v>
      </c>
      <c r="L835" s="3">
        <v>46211</v>
      </c>
      <c r="M835" s="2" t="str">
        <f>_xlfn.XLOOKUP(Deals[[#This Row],[CustomerID]],Customers!A:A,Customers!F:F)</f>
        <v>Mass</v>
      </c>
      <c r="N835" s="2" t="str">
        <f>_xlfn.XLOOKUP(Deals[[#This Row],[CustomerID]],Customers!A:A,Customers!E:E)</f>
        <v>Kuwaiti</v>
      </c>
      <c r="O835" s="2">
        <f>2026-_xlfn.XLOOKUP(Deals[[#This Row],[CustomerID]],Customers!A:A,Customers!D:D)</f>
        <v>54</v>
      </c>
      <c r="P835" s="2" t="str" cm="1">
        <f t="array" ref="P835">_xlfn.IFS(Deals[[#This Row],[Age]]&lt;30,"Under 30",Deals[[#This Row],[Age]]&lt;45,"30-44",TRUE,"45+")</f>
        <v>45+</v>
      </c>
      <c r="Q835" s="21">
        <f>IF(Deals[[#This Row],[Status]]="Pending","",Deals[[#This Row],[DecisionDate]]-Deals[[#This Row],[ApplicationDate]])</f>
        <v>5</v>
      </c>
      <c r="R835" s="21">
        <f>IF(Deals[[#This Row],[Status]]="Approved",1,0)</f>
        <v>1</v>
      </c>
      <c r="S835" s="21">
        <f>IF(Deals[[#This Row],[IsApproved]]=1,Deals[[#This Row],[Amount]],0)</f>
        <v>5100</v>
      </c>
      <c r="T835" s="21">
        <f>Deals[[#This Row],[ApprovedAmount]]*Deals[[#This Row],[ProfitRate]]</f>
        <v>226.95</v>
      </c>
    </row>
    <row r="836" spans="1:20">
      <c r="A836" s="2" t="s">
        <v>1481</v>
      </c>
      <c r="B836" s="3">
        <v>46206</v>
      </c>
      <c r="C836" s="2" t="s">
        <v>1482</v>
      </c>
      <c r="D836" s="2" t="s">
        <v>29</v>
      </c>
      <c r="E836" s="2" t="s">
        <v>15</v>
      </c>
      <c r="F836" s="2" t="s">
        <v>31</v>
      </c>
      <c r="G836" s="4">
        <v>11000</v>
      </c>
      <c r="H836" s="5">
        <v>6.8900000000000003E-2</v>
      </c>
      <c r="I836" s="2">
        <v>60</v>
      </c>
      <c r="J836" s="2" t="s">
        <v>32</v>
      </c>
      <c r="K836" s="2" t="s">
        <v>45</v>
      </c>
      <c r="L836" s="3">
        <v>46210</v>
      </c>
      <c r="M836" s="2" t="str">
        <f>_xlfn.XLOOKUP(Deals[[#This Row],[CustomerID]],Customers!A:A,Customers!F:F)</f>
        <v>Mass</v>
      </c>
      <c r="N836" s="2" t="str">
        <f>_xlfn.XLOOKUP(Deals[[#This Row],[CustomerID]],Customers!A:A,Customers!E:E)</f>
        <v>Kuwaiti</v>
      </c>
      <c r="O836" s="2">
        <f>2026-_xlfn.XLOOKUP(Deals[[#This Row],[CustomerID]],Customers!A:A,Customers!D:D)</f>
        <v>35</v>
      </c>
      <c r="P836" s="2" t="str" cm="1">
        <f t="array" ref="P836">_xlfn.IFS(Deals[[#This Row],[Age]]&lt;30,"Under 30",Deals[[#This Row],[Age]]&lt;45,"30-44",TRUE,"45+")</f>
        <v>30-44</v>
      </c>
      <c r="Q836" s="21">
        <f>IF(Deals[[#This Row],[Status]]="Pending","",Deals[[#This Row],[DecisionDate]]-Deals[[#This Row],[ApplicationDate]])</f>
        <v>4</v>
      </c>
      <c r="R836" s="21">
        <f>IF(Deals[[#This Row],[Status]]="Approved",1,0)</f>
        <v>0</v>
      </c>
      <c r="S836" s="21">
        <f>IF(Deals[[#This Row],[IsApproved]]=1,Deals[[#This Row],[Amount]],0)</f>
        <v>0</v>
      </c>
      <c r="T836" s="21">
        <f>Deals[[#This Row],[ApprovedAmount]]*Deals[[#This Row],[ProfitRate]]</f>
        <v>0</v>
      </c>
    </row>
    <row r="837" spans="1:20">
      <c r="A837" s="2" t="s">
        <v>1483</v>
      </c>
      <c r="B837" s="3">
        <v>46207</v>
      </c>
      <c r="C837" s="2" t="s">
        <v>1484</v>
      </c>
      <c r="D837" s="2" t="s">
        <v>29</v>
      </c>
      <c r="E837" s="2" t="s">
        <v>30</v>
      </c>
      <c r="F837" s="2" t="s">
        <v>3</v>
      </c>
      <c r="G837" s="4">
        <v>6700</v>
      </c>
      <c r="H837" s="5">
        <v>4.9000000000000002E-2</v>
      </c>
      <c r="I837" s="2">
        <v>36</v>
      </c>
      <c r="J837" s="2" t="s">
        <v>61</v>
      </c>
      <c r="K837" s="2" t="s">
        <v>17</v>
      </c>
      <c r="L837" s="3">
        <v>46210</v>
      </c>
      <c r="M837" s="2" t="str">
        <f>_xlfn.XLOOKUP(Deals[[#This Row],[CustomerID]],Customers!A:A,Customers!F:F)</f>
        <v>Mass</v>
      </c>
      <c r="N837" s="2" t="str">
        <f>_xlfn.XLOOKUP(Deals[[#This Row],[CustomerID]],Customers!A:A,Customers!E:E)</f>
        <v>Kuwaiti</v>
      </c>
      <c r="O837" s="2">
        <f>2026-_xlfn.XLOOKUP(Deals[[#This Row],[CustomerID]],Customers!A:A,Customers!D:D)</f>
        <v>36</v>
      </c>
      <c r="P837" s="2" t="str" cm="1">
        <f t="array" ref="P837">_xlfn.IFS(Deals[[#This Row],[Age]]&lt;30,"Under 30",Deals[[#This Row],[Age]]&lt;45,"30-44",TRUE,"45+")</f>
        <v>30-44</v>
      </c>
      <c r="Q837" s="21">
        <f>IF(Deals[[#This Row],[Status]]="Pending","",Deals[[#This Row],[DecisionDate]]-Deals[[#This Row],[ApplicationDate]])</f>
        <v>3</v>
      </c>
      <c r="R837" s="21">
        <f>IF(Deals[[#This Row],[Status]]="Approved",1,0)</f>
        <v>1</v>
      </c>
      <c r="S837" s="21">
        <f>IF(Deals[[#This Row],[IsApproved]]=1,Deals[[#This Row],[Amount]],0)</f>
        <v>6700</v>
      </c>
      <c r="T837" s="21">
        <f>Deals[[#This Row],[ApprovedAmount]]*Deals[[#This Row],[ProfitRate]]</f>
        <v>328.3</v>
      </c>
    </row>
    <row r="838" spans="1:20">
      <c r="A838" s="2" t="s">
        <v>1485</v>
      </c>
      <c r="B838" s="3">
        <v>46207</v>
      </c>
      <c r="C838" s="2" t="s">
        <v>1486</v>
      </c>
      <c r="D838" s="2" t="s">
        <v>54</v>
      </c>
      <c r="E838" s="2" t="s">
        <v>43</v>
      </c>
      <c r="F838" s="2" t="s">
        <v>31</v>
      </c>
      <c r="G838" s="4">
        <v>154100</v>
      </c>
      <c r="H838" s="5">
        <v>5.9299999999999999E-2</v>
      </c>
      <c r="I838" s="2">
        <v>36</v>
      </c>
      <c r="J838" s="2" t="s">
        <v>148</v>
      </c>
      <c r="K838" s="2" t="s">
        <v>45</v>
      </c>
      <c r="L838" s="3">
        <v>46214</v>
      </c>
      <c r="M838" s="2" t="str">
        <f>_xlfn.XLOOKUP(Deals[[#This Row],[CustomerID]],Customers!A:A,Customers!F:F)</f>
        <v>Premium</v>
      </c>
      <c r="N838" s="2" t="str">
        <f>_xlfn.XLOOKUP(Deals[[#This Row],[CustomerID]],Customers!A:A,Customers!E:E)</f>
        <v>Kuwaiti</v>
      </c>
      <c r="O838" s="2">
        <f>2026-_xlfn.XLOOKUP(Deals[[#This Row],[CustomerID]],Customers!A:A,Customers!D:D)</f>
        <v>37</v>
      </c>
      <c r="P838" s="2" t="str" cm="1">
        <f t="array" ref="P838">_xlfn.IFS(Deals[[#This Row],[Age]]&lt;30,"Under 30",Deals[[#This Row],[Age]]&lt;45,"30-44",TRUE,"45+")</f>
        <v>30-44</v>
      </c>
      <c r="Q838" s="21">
        <f>IF(Deals[[#This Row],[Status]]="Pending","",Deals[[#This Row],[DecisionDate]]-Deals[[#This Row],[ApplicationDate]])</f>
        <v>7</v>
      </c>
      <c r="R838" s="21">
        <f>IF(Deals[[#This Row],[Status]]="Approved",1,0)</f>
        <v>0</v>
      </c>
      <c r="S838" s="21">
        <f>IF(Deals[[#This Row],[IsApproved]]=1,Deals[[#This Row],[Amount]],0)</f>
        <v>0</v>
      </c>
      <c r="T838" s="21">
        <f>Deals[[#This Row],[ApprovedAmount]]*Deals[[#This Row],[ProfitRate]]</f>
        <v>0</v>
      </c>
    </row>
    <row r="839" spans="1:20">
      <c r="A839" s="2" t="s">
        <v>1487</v>
      </c>
      <c r="B839" s="3">
        <v>46207</v>
      </c>
      <c r="C839" s="2" t="s">
        <v>1488</v>
      </c>
      <c r="D839" s="2" t="s">
        <v>20</v>
      </c>
      <c r="E839" s="2" t="s">
        <v>30</v>
      </c>
      <c r="F839" s="2" t="s">
        <v>3</v>
      </c>
      <c r="G839" s="4">
        <v>9800</v>
      </c>
      <c r="H839" s="5">
        <v>4.58E-2</v>
      </c>
      <c r="I839" s="2">
        <v>36</v>
      </c>
      <c r="J839" s="2" t="s">
        <v>22</v>
      </c>
      <c r="K839" s="2" t="s">
        <v>17</v>
      </c>
      <c r="L839" s="3">
        <v>46208</v>
      </c>
      <c r="M839" s="2" t="str">
        <f>_xlfn.XLOOKUP(Deals[[#This Row],[CustomerID]],Customers!A:A,Customers!F:F)</f>
        <v>Mass</v>
      </c>
      <c r="N839" s="2" t="str">
        <f>_xlfn.XLOOKUP(Deals[[#This Row],[CustomerID]],Customers!A:A,Customers!E:E)</f>
        <v>Non-Kuwaiti</v>
      </c>
      <c r="O839" s="2">
        <f>2026-_xlfn.XLOOKUP(Deals[[#This Row],[CustomerID]],Customers!A:A,Customers!D:D)</f>
        <v>49</v>
      </c>
      <c r="P839" s="2" t="str" cm="1">
        <f t="array" ref="P839">_xlfn.IFS(Deals[[#This Row],[Age]]&lt;30,"Under 30",Deals[[#This Row],[Age]]&lt;45,"30-44",TRUE,"45+")</f>
        <v>45+</v>
      </c>
      <c r="Q839" s="21">
        <f>IF(Deals[[#This Row],[Status]]="Pending","",Deals[[#This Row],[DecisionDate]]-Deals[[#This Row],[ApplicationDate]])</f>
        <v>1</v>
      </c>
      <c r="R839" s="21">
        <f>IF(Deals[[#This Row],[Status]]="Approved",1,0)</f>
        <v>1</v>
      </c>
      <c r="S839" s="21">
        <f>IF(Deals[[#This Row],[IsApproved]]=1,Deals[[#This Row],[Amount]],0)</f>
        <v>9800</v>
      </c>
      <c r="T839" s="21">
        <f>Deals[[#This Row],[ApprovedAmount]]*Deals[[#This Row],[ProfitRate]]</f>
        <v>448.84000000000003</v>
      </c>
    </row>
    <row r="840" spans="1:20">
      <c r="A840" s="2" t="s">
        <v>1489</v>
      </c>
      <c r="B840" s="3">
        <v>46207</v>
      </c>
      <c r="C840" s="2" t="s">
        <v>545</v>
      </c>
      <c r="D840" s="2" t="s">
        <v>14</v>
      </c>
      <c r="E840" s="2" t="s">
        <v>15</v>
      </c>
      <c r="F840" s="2" t="s">
        <v>3</v>
      </c>
      <c r="G840" s="4">
        <v>11400</v>
      </c>
      <c r="H840" s="5">
        <v>5.2299999999999999E-2</v>
      </c>
      <c r="I840" s="2">
        <v>24</v>
      </c>
      <c r="J840" s="2" t="s">
        <v>48</v>
      </c>
      <c r="K840" s="2" t="s">
        <v>45</v>
      </c>
      <c r="L840" s="3">
        <v>46208</v>
      </c>
      <c r="M840" s="2" t="str">
        <f>_xlfn.XLOOKUP(Deals[[#This Row],[CustomerID]],Customers!A:A,Customers!F:F)</f>
        <v>Affluent</v>
      </c>
      <c r="N840" s="2" t="str">
        <f>_xlfn.XLOOKUP(Deals[[#This Row],[CustomerID]],Customers!A:A,Customers!E:E)</f>
        <v>Kuwaiti</v>
      </c>
      <c r="O840" s="2">
        <f>2026-_xlfn.XLOOKUP(Deals[[#This Row],[CustomerID]],Customers!A:A,Customers!D:D)</f>
        <v>39</v>
      </c>
      <c r="P840" s="2" t="str" cm="1">
        <f t="array" ref="P840">_xlfn.IFS(Deals[[#This Row],[Age]]&lt;30,"Under 30",Deals[[#This Row],[Age]]&lt;45,"30-44",TRUE,"45+")</f>
        <v>30-44</v>
      </c>
      <c r="Q840" s="21">
        <f>IF(Deals[[#This Row],[Status]]="Pending","",Deals[[#This Row],[DecisionDate]]-Deals[[#This Row],[ApplicationDate]])</f>
        <v>1</v>
      </c>
      <c r="R840" s="21">
        <f>IF(Deals[[#This Row],[Status]]="Approved",1,0)</f>
        <v>0</v>
      </c>
      <c r="S840" s="21">
        <f>IF(Deals[[#This Row],[IsApproved]]=1,Deals[[#This Row],[Amount]],0)</f>
        <v>0</v>
      </c>
      <c r="T840" s="21">
        <f>Deals[[#This Row],[ApprovedAmount]]*Deals[[#This Row],[ProfitRate]]</f>
        <v>0</v>
      </c>
    </row>
    <row r="841" spans="1:20">
      <c r="A841" s="2" t="s">
        <v>1490</v>
      </c>
      <c r="B841" s="3">
        <v>46207</v>
      </c>
      <c r="C841" s="2" t="s">
        <v>1491</v>
      </c>
      <c r="D841" s="2" t="s">
        <v>54</v>
      </c>
      <c r="E841" s="2" t="s">
        <v>30</v>
      </c>
      <c r="F841" s="2" t="s">
        <v>55</v>
      </c>
      <c r="G841" s="4">
        <v>10200</v>
      </c>
      <c r="H841" s="5">
        <v>4.9200000000000001E-2</v>
      </c>
      <c r="I841" s="2">
        <v>36</v>
      </c>
      <c r="J841" s="2" t="s">
        <v>148</v>
      </c>
      <c r="K841" s="2" t="s">
        <v>17</v>
      </c>
      <c r="L841" s="3">
        <v>46208</v>
      </c>
      <c r="M841" s="2" t="str">
        <f>_xlfn.XLOOKUP(Deals[[#This Row],[CustomerID]],Customers!A:A,Customers!F:F)</f>
        <v>Affluent</v>
      </c>
      <c r="N841" s="2" t="str">
        <f>_xlfn.XLOOKUP(Deals[[#This Row],[CustomerID]],Customers!A:A,Customers!E:E)</f>
        <v>Non-Kuwaiti</v>
      </c>
      <c r="O841" s="2">
        <f>2026-_xlfn.XLOOKUP(Deals[[#This Row],[CustomerID]],Customers!A:A,Customers!D:D)</f>
        <v>51</v>
      </c>
      <c r="P841" s="2" t="str" cm="1">
        <f t="array" ref="P841">_xlfn.IFS(Deals[[#This Row],[Age]]&lt;30,"Under 30",Deals[[#This Row],[Age]]&lt;45,"30-44",TRUE,"45+")</f>
        <v>45+</v>
      </c>
      <c r="Q841" s="21">
        <f>IF(Deals[[#This Row],[Status]]="Pending","",Deals[[#This Row],[DecisionDate]]-Deals[[#This Row],[ApplicationDate]])</f>
        <v>1</v>
      </c>
      <c r="R841" s="21">
        <f>IF(Deals[[#This Row],[Status]]="Approved",1,0)</f>
        <v>1</v>
      </c>
      <c r="S841" s="21">
        <f>IF(Deals[[#This Row],[IsApproved]]=1,Deals[[#This Row],[Amount]],0)</f>
        <v>10200</v>
      </c>
      <c r="T841" s="21">
        <f>Deals[[#This Row],[ApprovedAmount]]*Deals[[#This Row],[ProfitRate]]</f>
        <v>501.84000000000003</v>
      </c>
    </row>
    <row r="842" spans="1:20">
      <c r="A842" s="2" t="s">
        <v>1492</v>
      </c>
      <c r="B842" s="3">
        <v>46208</v>
      </c>
      <c r="C842" s="2" t="s">
        <v>1493</v>
      </c>
      <c r="D842" s="2" t="s">
        <v>25</v>
      </c>
      <c r="E842" s="2" t="s">
        <v>30</v>
      </c>
      <c r="F842" s="2" t="s">
        <v>3</v>
      </c>
      <c r="G842" s="4">
        <v>6200</v>
      </c>
      <c r="H842" s="5">
        <v>4.4200000000000003E-2</v>
      </c>
      <c r="I842" s="2">
        <v>60</v>
      </c>
      <c r="J842" s="2" t="s">
        <v>26</v>
      </c>
      <c r="K842" s="2" t="s">
        <v>17</v>
      </c>
      <c r="L842" s="3">
        <v>46210</v>
      </c>
      <c r="M842" s="2" t="str">
        <f>_xlfn.XLOOKUP(Deals[[#This Row],[CustomerID]],Customers!A:A,Customers!F:F)</f>
        <v>Mass</v>
      </c>
      <c r="N842" s="2" t="str">
        <f>_xlfn.XLOOKUP(Deals[[#This Row],[CustomerID]],Customers!A:A,Customers!E:E)</f>
        <v>Kuwaiti</v>
      </c>
      <c r="O842" s="2">
        <f>2026-_xlfn.XLOOKUP(Deals[[#This Row],[CustomerID]],Customers!A:A,Customers!D:D)</f>
        <v>34</v>
      </c>
      <c r="P842" s="2" t="str" cm="1">
        <f t="array" ref="P842">_xlfn.IFS(Deals[[#This Row],[Age]]&lt;30,"Under 30",Deals[[#This Row],[Age]]&lt;45,"30-44",TRUE,"45+")</f>
        <v>30-44</v>
      </c>
      <c r="Q842" s="21">
        <f>IF(Deals[[#This Row],[Status]]="Pending","",Deals[[#This Row],[DecisionDate]]-Deals[[#This Row],[ApplicationDate]])</f>
        <v>2</v>
      </c>
      <c r="R842" s="21">
        <f>IF(Deals[[#This Row],[Status]]="Approved",1,0)</f>
        <v>1</v>
      </c>
      <c r="S842" s="21">
        <f>IF(Deals[[#This Row],[IsApproved]]=1,Deals[[#This Row],[Amount]],0)</f>
        <v>6200</v>
      </c>
      <c r="T842" s="21">
        <f>Deals[[#This Row],[ApprovedAmount]]*Deals[[#This Row],[ProfitRate]]</f>
        <v>274.04000000000002</v>
      </c>
    </row>
    <row r="843" spans="1:20">
      <c r="A843" s="2" t="s">
        <v>1494</v>
      </c>
      <c r="B843" s="3">
        <v>46208</v>
      </c>
      <c r="C843" s="2" t="s">
        <v>396</v>
      </c>
      <c r="D843" s="2" t="s">
        <v>14</v>
      </c>
      <c r="E843" s="2" t="s">
        <v>30</v>
      </c>
      <c r="F843" s="2" t="s">
        <v>31</v>
      </c>
      <c r="G843" s="4">
        <v>5200</v>
      </c>
      <c r="H843" s="5">
        <v>4.2000000000000003E-2</v>
      </c>
      <c r="I843" s="2">
        <v>36</v>
      </c>
      <c r="J843" s="2" t="s">
        <v>16</v>
      </c>
      <c r="K843" s="2" t="s">
        <v>17</v>
      </c>
      <c r="L843" s="3">
        <v>46208</v>
      </c>
      <c r="M843" s="2" t="str">
        <f>_xlfn.XLOOKUP(Deals[[#This Row],[CustomerID]],Customers!A:A,Customers!F:F)</f>
        <v>Affluent</v>
      </c>
      <c r="N843" s="2" t="str">
        <f>_xlfn.XLOOKUP(Deals[[#This Row],[CustomerID]],Customers!A:A,Customers!E:E)</f>
        <v>Kuwaiti</v>
      </c>
      <c r="O843" s="2">
        <f>2026-_xlfn.XLOOKUP(Deals[[#This Row],[CustomerID]],Customers!A:A,Customers!D:D)</f>
        <v>57</v>
      </c>
      <c r="P843" s="2" t="str" cm="1">
        <f t="array" ref="P843">_xlfn.IFS(Deals[[#This Row],[Age]]&lt;30,"Under 30",Deals[[#This Row],[Age]]&lt;45,"30-44",TRUE,"45+")</f>
        <v>45+</v>
      </c>
      <c r="Q843" s="21">
        <f>IF(Deals[[#This Row],[Status]]="Pending","",Deals[[#This Row],[DecisionDate]]-Deals[[#This Row],[ApplicationDate]])</f>
        <v>0</v>
      </c>
      <c r="R843" s="21">
        <f>IF(Deals[[#This Row],[Status]]="Approved",1,0)</f>
        <v>1</v>
      </c>
      <c r="S843" s="21">
        <f>IF(Deals[[#This Row],[IsApproved]]=1,Deals[[#This Row],[Amount]],0)</f>
        <v>5200</v>
      </c>
      <c r="T843" s="21">
        <f>Deals[[#This Row],[ApprovedAmount]]*Deals[[#This Row],[ProfitRate]]</f>
        <v>218.4</v>
      </c>
    </row>
    <row r="844" spans="1:20">
      <c r="A844" s="2" t="s">
        <v>1495</v>
      </c>
      <c r="B844" s="3">
        <v>46208</v>
      </c>
      <c r="C844" s="2" t="s">
        <v>1496</v>
      </c>
      <c r="D844" s="2" t="s">
        <v>14</v>
      </c>
      <c r="E844" s="2" t="s">
        <v>30</v>
      </c>
      <c r="F844" s="2" t="s">
        <v>3</v>
      </c>
      <c r="G844" s="4">
        <v>14600</v>
      </c>
      <c r="H844" s="5">
        <v>4.36E-2</v>
      </c>
      <c r="I844" s="2">
        <v>48</v>
      </c>
      <c r="J844" s="2" t="s">
        <v>48</v>
      </c>
      <c r="K844" s="2" t="s">
        <v>17</v>
      </c>
      <c r="L844" s="3">
        <v>46210</v>
      </c>
      <c r="M844" s="2" t="str">
        <f>_xlfn.XLOOKUP(Deals[[#This Row],[CustomerID]],Customers!A:A,Customers!F:F)</f>
        <v>Premium</v>
      </c>
      <c r="N844" s="2" t="str">
        <f>_xlfn.XLOOKUP(Deals[[#This Row],[CustomerID]],Customers!A:A,Customers!E:E)</f>
        <v>Kuwaiti</v>
      </c>
      <c r="O844" s="2">
        <f>2026-_xlfn.XLOOKUP(Deals[[#This Row],[CustomerID]],Customers!A:A,Customers!D:D)</f>
        <v>35</v>
      </c>
      <c r="P844" s="2" t="str" cm="1">
        <f t="array" ref="P844">_xlfn.IFS(Deals[[#This Row],[Age]]&lt;30,"Under 30",Deals[[#This Row],[Age]]&lt;45,"30-44",TRUE,"45+")</f>
        <v>30-44</v>
      </c>
      <c r="Q844" s="21">
        <f>IF(Deals[[#This Row],[Status]]="Pending","",Deals[[#This Row],[DecisionDate]]-Deals[[#This Row],[ApplicationDate]])</f>
        <v>2</v>
      </c>
      <c r="R844" s="21">
        <f>IF(Deals[[#This Row],[Status]]="Approved",1,0)</f>
        <v>1</v>
      </c>
      <c r="S844" s="21">
        <f>IF(Deals[[#This Row],[IsApproved]]=1,Deals[[#This Row],[Amount]],0)</f>
        <v>14600</v>
      </c>
      <c r="T844" s="21">
        <f>Deals[[#This Row],[ApprovedAmount]]*Deals[[#This Row],[ProfitRate]]</f>
        <v>636.55999999999995</v>
      </c>
    </row>
    <row r="845" spans="1:20">
      <c r="A845" s="2" t="s">
        <v>1497</v>
      </c>
      <c r="B845" s="3">
        <v>46208</v>
      </c>
      <c r="C845" s="2" t="s">
        <v>552</v>
      </c>
      <c r="D845" s="2" t="s">
        <v>54</v>
      </c>
      <c r="E845" s="2" t="s">
        <v>15</v>
      </c>
      <c r="F845" s="2" t="s">
        <v>3</v>
      </c>
      <c r="G845" s="4">
        <v>15600</v>
      </c>
      <c r="H845" s="5">
        <v>6.6699999999999995E-2</v>
      </c>
      <c r="I845" s="2">
        <v>48</v>
      </c>
      <c r="J845" s="2" t="s">
        <v>186</v>
      </c>
      <c r="K845" s="2" t="s">
        <v>17</v>
      </c>
      <c r="L845" s="3">
        <v>46212</v>
      </c>
      <c r="M845" s="2" t="str">
        <f>_xlfn.XLOOKUP(Deals[[#This Row],[CustomerID]],Customers!A:A,Customers!F:F)</f>
        <v>Mass</v>
      </c>
      <c r="N845" s="2" t="str">
        <f>_xlfn.XLOOKUP(Deals[[#This Row],[CustomerID]],Customers!A:A,Customers!E:E)</f>
        <v>Kuwaiti</v>
      </c>
      <c r="O845" s="2">
        <f>2026-_xlfn.XLOOKUP(Deals[[#This Row],[CustomerID]],Customers!A:A,Customers!D:D)</f>
        <v>50</v>
      </c>
      <c r="P845" s="2" t="str" cm="1">
        <f t="array" ref="P845">_xlfn.IFS(Deals[[#This Row],[Age]]&lt;30,"Under 30",Deals[[#This Row],[Age]]&lt;45,"30-44",TRUE,"45+")</f>
        <v>45+</v>
      </c>
      <c r="Q845" s="21">
        <f>IF(Deals[[#This Row],[Status]]="Pending","",Deals[[#This Row],[DecisionDate]]-Deals[[#This Row],[ApplicationDate]])</f>
        <v>4</v>
      </c>
      <c r="R845" s="21">
        <f>IF(Deals[[#This Row],[Status]]="Approved",1,0)</f>
        <v>1</v>
      </c>
      <c r="S845" s="21">
        <f>IF(Deals[[#This Row],[IsApproved]]=1,Deals[[#This Row],[Amount]],0)</f>
        <v>15600</v>
      </c>
      <c r="T845" s="21">
        <f>Deals[[#This Row],[ApprovedAmount]]*Deals[[#This Row],[ProfitRate]]</f>
        <v>1040.52</v>
      </c>
    </row>
    <row r="846" spans="1:20">
      <c r="A846" s="2" t="s">
        <v>1498</v>
      </c>
      <c r="B846" s="3">
        <v>46208</v>
      </c>
      <c r="C846" s="2" t="s">
        <v>1499</v>
      </c>
      <c r="D846" s="2" t="s">
        <v>14</v>
      </c>
      <c r="E846" s="2" t="s">
        <v>15</v>
      </c>
      <c r="F846" s="2" t="s">
        <v>31</v>
      </c>
      <c r="G846" s="4">
        <v>3300</v>
      </c>
      <c r="H846" s="5">
        <v>5.2499999999999998E-2</v>
      </c>
      <c r="I846" s="2">
        <v>12</v>
      </c>
      <c r="J846" s="2" t="s">
        <v>40</v>
      </c>
      <c r="K846" s="2" t="s">
        <v>17</v>
      </c>
      <c r="L846" s="3">
        <v>46212</v>
      </c>
      <c r="M846" s="2" t="str">
        <f>_xlfn.XLOOKUP(Deals[[#This Row],[CustomerID]],Customers!A:A,Customers!F:F)</f>
        <v>Affluent</v>
      </c>
      <c r="N846" s="2" t="str">
        <f>_xlfn.XLOOKUP(Deals[[#This Row],[CustomerID]],Customers!A:A,Customers!E:E)</f>
        <v>Kuwaiti</v>
      </c>
      <c r="O846" s="2">
        <f>2026-_xlfn.XLOOKUP(Deals[[#This Row],[CustomerID]],Customers!A:A,Customers!D:D)</f>
        <v>63</v>
      </c>
      <c r="P846" s="2" t="str" cm="1">
        <f t="array" ref="P846">_xlfn.IFS(Deals[[#This Row],[Age]]&lt;30,"Under 30",Deals[[#This Row],[Age]]&lt;45,"30-44",TRUE,"45+")</f>
        <v>45+</v>
      </c>
      <c r="Q846" s="21">
        <f>IF(Deals[[#This Row],[Status]]="Pending","",Deals[[#This Row],[DecisionDate]]-Deals[[#This Row],[ApplicationDate]])</f>
        <v>4</v>
      </c>
      <c r="R846" s="21">
        <f>IF(Deals[[#This Row],[Status]]="Approved",1,0)</f>
        <v>1</v>
      </c>
      <c r="S846" s="21">
        <f>IF(Deals[[#This Row],[IsApproved]]=1,Deals[[#This Row],[Amount]],0)</f>
        <v>3300</v>
      </c>
      <c r="T846" s="21">
        <f>Deals[[#This Row],[ApprovedAmount]]*Deals[[#This Row],[ProfitRate]]</f>
        <v>173.25</v>
      </c>
    </row>
    <row r="847" spans="1:20">
      <c r="A847" s="2" t="s">
        <v>1500</v>
      </c>
      <c r="B847" s="3">
        <v>46208</v>
      </c>
      <c r="C847" s="2" t="s">
        <v>828</v>
      </c>
      <c r="D847" s="2" t="s">
        <v>29</v>
      </c>
      <c r="E847" s="2" t="s">
        <v>30</v>
      </c>
      <c r="F847" s="2" t="s">
        <v>3</v>
      </c>
      <c r="G847" s="4">
        <v>20300</v>
      </c>
      <c r="H847" s="5">
        <v>4.6399999999999997E-2</v>
      </c>
      <c r="I847" s="2">
        <v>60</v>
      </c>
      <c r="J847" s="2" t="s">
        <v>32</v>
      </c>
      <c r="K847" s="2" t="s">
        <v>17</v>
      </c>
      <c r="L847" s="3">
        <v>46211</v>
      </c>
      <c r="M847" s="2" t="str">
        <f>_xlfn.XLOOKUP(Deals[[#This Row],[CustomerID]],Customers!A:A,Customers!F:F)</f>
        <v>Premium</v>
      </c>
      <c r="N847" s="2" t="str">
        <f>_xlfn.XLOOKUP(Deals[[#This Row],[CustomerID]],Customers!A:A,Customers!E:E)</f>
        <v>Kuwaiti</v>
      </c>
      <c r="O847" s="2">
        <f>2026-_xlfn.XLOOKUP(Deals[[#This Row],[CustomerID]],Customers!A:A,Customers!D:D)</f>
        <v>37</v>
      </c>
      <c r="P847" s="2" t="str" cm="1">
        <f t="array" ref="P847">_xlfn.IFS(Deals[[#This Row],[Age]]&lt;30,"Under 30",Deals[[#This Row],[Age]]&lt;45,"30-44",TRUE,"45+")</f>
        <v>30-44</v>
      </c>
      <c r="Q847" s="21">
        <f>IF(Deals[[#This Row],[Status]]="Pending","",Deals[[#This Row],[DecisionDate]]-Deals[[#This Row],[ApplicationDate]])</f>
        <v>3</v>
      </c>
      <c r="R847" s="21">
        <f>IF(Deals[[#This Row],[Status]]="Approved",1,0)</f>
        <v>1</v>
      </c>
      <c r="S847" s="21">
        <f>IF(Deals[[#This Row],[IsApproved]]=1,Deals[[#This Row],[Amount]],0)</f>
        <v>20300</v>
      </c>
      <c r="T847" s="21">
        <f>Deals[[#This Row],[ApprovedAmount]]*Deals[[#This Row],[ProfitRate]]</f>
        <v>941.92</v>
      </c>
    </row>
    <row r="848" spans="1:20">
      <c r="A848" s="2" t="s">
        <v>1501</v>
      </c>
      <c r="B848" s="3">
        <v>46208</v>
      </c>
      <c r="C848" s="2" t="s">
        <v>642</v>
      </c>
      <c r="D848" s="2" t="s">
        <v>29</v>
      </c>
      <c r="E848" s="2" t="s">
        <v>43</v>
      </c>
      <c r="F848" s="2" t="s">
        <v>3</v>
      </c>
      <c r="G848" s="4">
        <v>73500</v>
      </c>
      <c r="H848" s="5">
        <v>6.0299999999999999E-2</v>
      </c>
      <c r="I848" s="2">
        <v>24</v>
      </c>
      <c r="J848" s="2" t="s">
        <v>61</v>
      </c>
      <c r="K848" s="2" t="s">
        <v>17</v>
      </c>
      <c r="L848" s="3">
        <v>46223</v>
      </c>
      <c r="M848" s="2" t="str">
        <f>_xlfn.XLOOKUP(Deals[[#This Row],[CustomerID]],Customers!A:A,Customers!F:F)</f>
        <v>Premium</v>
      </c>
      <c r="N848" s="2" t="str">
        <f>_xlfn.XLOOKUP(Deals[[#This Row],[CustomerID]],Customers!A:A,Customers!E:E)</f>
        <v>Kuwaiti</v>
      </c>
      <c r="O848" s="2">
        <f>2026-_xlfn.XLOOKUP(Deals[[#This Row],[CustomerID]],Customers!A:A,Customers!D:D)</f>
        <v>32</v>
      </c>
      <c r="P848" s="2" t="str" cm="1">
        <f t="array" ref="P848">_xlfn.IFS(Deals[[#This Row],[Age]]&lt;30,"Under 30",Deals[[#This Row],[Age]]&lt;45,"30-44",TRUE,"45+")</f>
        <v>30-44</v>
      </c>
      <c r="Q848" s="21">
        <f>IF(Deals[[#This Row],[Status]]="Pending","",Deals[[#This Row],[DecisionDate]]-Deals[[#This Row],[ApplicationDate]])</f>
        <v>15</v>
      </c>
      <c r="R848" s="21">
        <f>IF(Deals[[#This Row],[Status]]="Approved",1,0)</f>
        <v>1</v>
      </c>
      <c r="S848" s="21">
        <f>IF(Deals[[#This Row],[IsApproved]]=1,Deals[[#This Row],[Amount]],0)</f>
        <v>73500</v>
      </c>
      <c r="T848" s="21">
        <f>Deals[[#This Row],[ApprovedAmount]]*Deals[[#This Row],[ProfitRate]]</f>
        <v>4432.05</v>
      </c>
    </row>
    <row r="849" spans="1:20">
      <c r="A849" s="2" t="s">
        <v>1502</v>
      </c>
      <c r="B849" s="3">
        <v>46208</v>
      </c>
      <c r="C849" s="2" t="s">
        <v>86</v>
      </c>
      <c r="D849" s="2" t="s">
        <v>71</v>
      </c>
      <c r="E849" s="2" t="s">
        <v>15</v>
      </c>
      <c r="F849" s="2" t="s">
        <v>3</v>
      </c>
      <c r="G849" s="4">
        <v>17600</v>
      </c>
      <c r="H849" s="5">
        <v>6.5299999999999997E-2</v>
      </c>
      <c r="I849" s="2">
        <v>60</v>
      </c>
      <c r="J849" s="2" t="s">
        <v>101</v>
      </c>
      <c r="K849" s="2" t="s">
        <v>45</v>
      </c>
      <c r="L849" s="3">
        <v>46215</v>
      </c>
      <c r="M849" s="2" t="str">
        <f>_xlfn.XLOOKUP(Deals[[#This Row],[CustomerID]],Customers!A:A,Customers!F:F)</f>
        <v>Mass</v>
      </c>
      <c r="N849" s="2" t="str">
        <f>_xlfn.XLOOKUP(Deals[[#This Row],[CustomerID]],Customers!A:A,Customers!E:E)</f>
        <v>Kuwaiti</v>
      </c>
      <c r="O849" s="2">
        <f>2026-_xlfn.XLOOKUP(Deals[[#This Row],[CustomerID]],Customers!A:A,Customers!D:D)</f>
        <v>43</v>
      </c>
      <c r="P849" s="2" t="str" cm="1">
        <f t="array" ref="P849">_xlfn.IFS(Deals[[#This Row],[Age]]&lt;30,"Under 30",Deals[[#This Row],[Age]]&lt;45,"30-44",TRUE,"45+")</f>
        <v>30-44</v>
      </c>
      <c r="Q849" s="21">
        <f>IF(Deals[[#This Row],[Status]]="Pending","",Deals[[#This Row],[DecisionDate]]-Deals[[#This Row],[ApplicationDate]])</f>
        <v>7</v>
      </c>
      <c r="R849" s="21">
        <f>IF(Deals[[#This Row],[Status]]="Approved",1,0)</f>
        <v>0</v>
      </c>
      <c r="S849" s="21">
        <f>IF(Deals[[#This Row],[IsApproved]]=1,Deals[[#This Row],[Amount]],0)</f>
        <v>0</v>
      </c>
      <c r="T849" s="21">
        <f>Deals[[#This Row],[ApprovedAmount]]*Deals[[#This Row],[ProfitRate]]</f>
        <v>0</v>
      </c>
    </row>
    <row r="850" spans="1:20">
      <c r="A850" s="2" t="s">
        <v>1503</v>
      </c>
      <c r="B850" s="3">
        <v>46208</v>
      </c>
      <c r="C850" s="2" t="s">
        <v>122</v>
      </c>
      <c r="D850" s="2" t="s">
        <v>14</v>
      </c>
      <c r="E850" s="2" t="s">
        <v>15</v>
      </c>
      <c r="F850" s="2" t="s">
        <v>55</v>
      </c>
      <c r="G850" s="4">
        <v>25000</v>
      </c>
      <c r="H850" s="5">
        <v>6.0499999999999998E-2</v>
      </c>
      <c r="I850" s="2">
        <v>24</v>
      </c>
      <c r="J850" s="2" t="s">
        <v>40</v>
      </c>
      <c r="K850" s="2" t="s">
        <v>45</v>
      </c>
      <c r="L850" s="3">
        <v>46214</v>
      </c>
      <c r="M850" s="2" t="str">
        <f>_xlfn.XLOOKUP(Deals[[#This Row],[CustomerID]],Customers!A:A,Customers!F:F)</f>
        <v>Affluent</v>
      </c>
      <c r="N850" s="2" t="str">
        <f>_xlfn.XLOOKUP(Deals[[#This Row],[CustomerID]],Customers!A:A,Customers!E:E)</f>
        <v>Non-Kuwaiti</v>
      </c>
      <c r="O850" s="2">
        <f>2026-_xlfn.XLOOKUP(Deals[[#This Row],[CustomerID]],Customers!A:A,Customers!D:D)</f>
        <v>39</v>
      </c>
      <c r="P850" s="2" t="str" cm="1">
        <f t="array" ref="P850">_xlfn.IFS(Deals[[#This Row],[Age]]&lt;30,"Under 30",Deals[[#This Row],[Age]]&lt;45,"30-44",TRUE,"45+")</f>
        <v>30-44</v>
      </c>
      <c r="Q850" s="21">
        <f>IF(Deals[[#This Row],[Status]]="Pending","",Deals[[#This Row],[DecisionDate]]-Deals[[#This Row],[ApplicationDate]])</f>
        <v>6</v>
      </c>
      <c r="R850" s="21">
        <f>IF(Deals[[#This Row],[Status]]="Approved",1,0)</f>
        <v>0</v>
      </c>
      <c r="S850" s="21">
        <f>IF(Deals[[#This Row],[IsApproved]]=1,Deals[[#This Row],[Amount]],0)</f>
        <v>0</v>
      </c>
      <c r="T850" s="21">
        <f>Deals[[#This Row],[ApprovedAmount]]*Deals[[#This Row],[ProfitRate]]</f>
        <v>0</v>
      </c>
    </row>
    <row r="851" spans="1:20">
      <c r="A851" s="2" t="s">
        <v>1504</v>
      </c>
      <c r="B851" s="3">
        <v>46209</v>
      </c>
      <c r="C851" s="2" t="s">
        <v>1505</v>
      </c>
      <c r="D851" s="2" t="s">
        <v>14</v>
      </c>
      <c r="E851" s="2" t="s">
        <v>15</v>
      </c>
      <c r="F851" s="2" t="s">
        <v>31</v>
      </c>
      <c r="G851" s="4">
        <v>8200</v>
      </c>
      <c r="H851" s="5">
        <v>6.6799999999999998E-2</v>
      </c>
      <c r="I851" s="2">
        <v>12</v>
      </c>
      <c r="J851" s="2" t="s">
        <v>48</v>
      </c>
      <c r="K851" s="2" t="s">
        <v>45</v>
      </c>
      <c r="L851" s="3">
        <v>46212</v>
      </c>
      <c r="M851" s="2" t="str">
        <f>_xlfn.XLOOKUP(Deals[[#This Row],[CustomerID]],Customers!A:A,Customers!F:F)</f>
        <v>Affluent</v>
      </c>
      <c r="N851" s="2" t="str">
        <f>_xlfn.XLOOKUP(Deals[[#This Row],[CustomerID]],Customers!A:A,Customers!E:E)</f>
        <v>Non-Kuwaiti</v>
      </c>
      <c r="O851" s="2">
        <f>2026-_xlfn.XLOOKUP(Deals[[#This Row],[CustomerID]],Customers!A:A,Customers!D:D)</f>
        <v>24</v>
      </c>
      <c r="P851" s="2" t="str" cm="1">
        <f t="array" ref="P851">_xlfn.IFS(Deals[[#This Row],[Age]]&lt;30,"Under 30",Deals[[#This Row],[Age]]&lt;45,"30-44",TRUE,"45+")</f>
        <v>Under 30</v>
      </c>
      <c r="Q851" s="21">
        <f>IF(Deals[[#This Row],[Status]]="Pending","",Deals[[#This Row],[DecisionDate]]-Deals[[#This Row],[ApplicationDate]])</f>
        <v>3</v>
      </c>
      <c r="R851" s="21">
        <f>IF(Deals[[#This Row],[Status]]="Approved",1,0)</f>
        <v>0</v>
      </c>
      <c r="S851" s="21">
        <f>IF(Deals[[#This Row],[IsApproved]]=1,Deals[[#This Row],[Amount]],0)</f>
        <v>0</v>
      </c>
      <c r="T851" s="21">
        <f>Deals[[#This Row],[ApprovedAmount]]*Deals[[#This Row],[ProfitRate]]</f>
        <v>0</v>
      </c>
    </row>
    <row r="852" spans="1:20">
      <c r="A852" s="2" t="s">
        <v>1506</v>
      </c>
      <c r="B852" s="3">
        <v>46209</v>
      </c>
      <c r="C852" s="2" t="s">
        <v>740</v>
      </c>
      <c r="D852" s="2" t="s">
        <v>29</v>
      </c>
      <c r="E852" s="2" t="s">
        <v>21</v>
      </c>
      <c r="F852" s="2" t="s">
        <v>55</v>
      </c>
      <c r="G852" s="4">
        <v>118300</v>
      </c>
      <c r="H852" s="5">
        <v>4.3700000000000003E-2</v>
      </c>
      <c r="I852" s="2">
        <v>180</v>
      </c>
      <c r="J852" s="2" t="s">
        <v>32</v>
      </c>
      <c r="K852" s="2" t="s">
        <v>45</v>
      </c>
      <c r="L852" s="3">
        <v>46237</v>
      </c>
      <c r="M852" s="2" t="str">
        <f>_xlfn.XLOOKUP(Deals[[#This Row],[CustomerID]],Customers!A:A,Customers!F:F)</f>
        <v>Affluent</v>
      </c>
      <c r="N852" s="2" t="str">
        <f>_xlfn.XLOOKUP(Deals[[#This Row],[CustomerID]],Customers!A:A,Customers!E:E)</f>
        <v>Non-Kuwaiti</v>
      </c>
      <c r="O852" s="2">
        <f>2026-_xlfn.XLOOKUP(Deals[[#This Row],[CustomerID]],Customers!A:A,Customers!D:D)</f>
        <v>56</v>
      </c>
      <c r="P852" s="2" t="str" cm="1">
        <f t="array" ref="P852">_xlfn.IFS(Deals[[#This Row],[Age]]&lt;30,"Under 30",Deals[[#This Row],[Age]]&lt;45,"30-44",TRUE,"45+")</f>
        <v>45+</v>
      </c>
      <c r="Q852" s="21">
        <f>IF(Deals[[#This Row],[Status]]="Pending","",Deals[[#This Row],[DecisionDate]]-Deals[[#This Row],[ApplicationDate]])</f>
        <v>28</v>
      </c>
      <c r="R852" s="21">
        <f>IF(Deals[[#This Row],[Status]]="Approved",1,0)</f>
        <v>0</v>
      </c>
      <c r="S852" s="21">
        <f>IF(Deals[[#This Row],[IsApproved]]=1,Deals[[#This Row],[Amount]],0)</f>
        <v>0</v>
      </c>
      <c r="T852" s="21">
        <f>Deals[[#This Row],[ApprovedAmount]]*Deals[[#This Row],[ProfitRate]]</f>
        <v>0</v>
      </c>
    </row>
    <row r="853" spans="1:20">
      <c r="A853" s="2" t="s">
        <v>1507</v>
      </c>
      <c r="B853" s="3">
        <v>46209</v>
      </c>
      <c r="C853" s="2" t="s">
        <v>36</v>
      </c>
      <c r="D853" s="2" t="s">
        <v>20</v>
      </c>
      <c r="E853" s="2" t="s">
        <v>15</v>
      </c>
      <c r="F853" s="2" t="s">
        <v>31</v>
      </c>
      <c r="G853" s="4">
        <v>4000</v>
      </c>
      <c r="H853" s="5">
        <v>5.8799999999999998E-2</v>
      </c>
      <c r="I853" s="2">
        <v>48</v>
      </c>
      <c r="J853" s="2" t="s">
        <v>22</v>
      </c>
      <c r="K853" s="2" t="s">
        <v>17</v>
      </c>
      <c r="L853" s="3">
        <v>46210</v>
      </c>
      <c r="M853" s="2" t="str">
        <f>_xlfn.XLOOKUP(Deals[[#This Row],[CustomerID]],Customers!A:A,Customers!F:F)</f>
        <v>Mass</v>
      </c>
      <c r="N853" s="2" t="str">
        <f>_xlfn.XLOOKUP(Deals[[#This Row],[CustomerID]],Customers!A:A,Customers!E:E)</f>
        <v>Kuwaiti</v>
      </c>
      <c r="O853" s="2">
        <f>2026-_xlfn.XLOOKUP(Deals[[#This Row],[CustomerID]],Customers!A:A,Customers!D:D)</f>
        <v>31</v>
      </c>
      <c r="P853" s="2" t="str" cm="1">
        <f t="array" ref="P853">_xlfn.IFS(Deals[[#This Row],[Age]]&lt;30,"Under 30",Deals[[#This Row],[Age]]&lt;45,"30-44",TRUE,"45+")</f>
        <v>30-44</v>
      </c>
      <c r="Q853" s="21">
        <f>IF(Deals[[#This Row],[Status]]="Pending","",Deals[[#This Row],[DecisionDate]]-Deals[[#This Row],[ApplicationDate]])</f>
        <v>1</v>
      </c>
      <c r="R853" s="21">
        <f>IF(Deals[[#This Row],[Status]]="Approved",1,0)</f>
        <v>1</v>
      </c>
      <c r="S853" s="21">
        <f>IF(Deals[[#This Row],[IsApproved]]=1,Deals[[#This Row],[Amount]],0)</f>
        <v>4000</v>
      </c>
      <c r="T853" s="21">
        <f>Deals[[#This Row],[ApprovedAmount]]*Deals[[#This Row],[ProfitRate]]</f>
        <v>235.2</v>
      </c>
    </row>
    <row r="854" spans="1:20">
      <c r="A854" s="2" t="s">
        <v>1508</v>
      </c>
      <c r="B854" s="3">
        <v>46209</v>
      </c>
      <c r="C854" s="2" t="s">
        <v>605</v>
      </c>
      <c r="D854" s="2" t="s">
        <v>25</v>
      </c>
      <c r="E854" s="2" t="s">
        <v>30</v>
      </c>
      <c r="F854" s="2" t="s">
        <v>31</v>
      </c>
      <c r="G854" s="4">
        <v>9800</v>
      </c>
      <c r="H854" s="5">
        <v>3.6499999999999998E-2</v>
      </c>
      <c r="I854" s="2">
        <v>36</v>
      </c>
      <c r="J854" s="2" t="s">
        <v>26</v>
      </c>
      <c r="K854" s="2" t="s">
        <v>17</v>
      </c>
      <c r="L854" s="3">
        <v>46213</v>
      </c>
      <c r="M854" s="2" t="str">
        <f>_xlfn.XLOOKUP(Deals[[#This Row],[CustomerID]],Customers!A:A,Customers!F:F)</f>
        <v>Mass</v>
      </c>
      <c r="N854" s="2" t="str">
        <f>_xlfn.XLOOKUP(Deals[[#This Row],[CustomerID]],Customers!A:A,Customers!E:E)</f>
        <v>Non-Kuwaiti</v>
      </c>
      <c r="O854" s="2">
        <f>2026-_xlfn.XLOOKUP(Deals[[#This Row],[CustomerID]],Customers!A:A,Customers!D:D)</f>
        <v>40</v>
      </c>
      <c r="P854" s="2" t="str" cm="1">
        <f t="array" ref="P854">_xlfn.IFS(Deals[[#This Row],[Age]]&lt;30,"Under 30",Deals[[#This Row],[Age]]&lt;45,"30-44",TRUE,"45+")</f>
        <v>30-44</v>
      </c>
      <c r="Q854" s="21">
        <f>IF(Deals[[#This Row],[Status]]="Pending","",Deals[[#This Row],[DecisionDate]]-Deals[[#This Row],[ApplicationDate]])</f>
        <v>4</v>
      </c>
      <c r="R854" s="21">
        <f>IF(Deals[[#This Row],[Status]]="Approved",1,0)</f>
        <v>1</v>
      </c>
      <c r="S854" s="21">
        <f>IF(Deals[[#This Row],[IsApproved]]=1,Deals[[#This Row],[Amount]],0)</f>
        <v>9800</v>
      </c>
      <c r="T854" s="21">
        <f>Deals[[#This Row],[ApprovedAmount]]*Deals[[#This Row],[ProfitRate]]</f>
        <v>357.7</v>
      </c>
    </row>
    <row r="855" spans="1:20">
      <c r="A855" s="2" t="s">
        <v>1509</v>
      </c>
      <c r="B855" s="3">
        <v>46210</v>
      </c>
      <c r="C855" s="2" t="s">
        <v>1510</v>
      </c>
      <c r="D855" s="2" t="s">
        <v>71</v>
      </c>
      <c r="E855" s="2" t="s">
        <v>30</v>
      </c>
      <c r="F855" s="2" t="s">
        <v>3</v>
      </c>
      <c r="G855" s="4">
        <v>9300</v>
      </c>
      <c r="H855" s="5">
        <v>3.5499999999999997E-2</v>
      </c>
      <c r="I855" s="2">
        <v>48</v>
      </c>
      <c r="J855" s="2" t="s">
        <v>101</v>
      </c>
      <c r="K855" s="2" t="s">
        <v>45</v>
      </c>
      <c r="L855" s="3">
        <v>46216</v>
      </c>
      <c r="M855" s="2" t="str">
        <f>_xlfn.XLOOKUP(Deals[[#This Row],[CustomerID]],Customers!A:A,Customers!F:F)</f>
        <v>Affluent</v>
      </c>
      <c r="N855" s="2" t="str">
        <f>_xlfn.XLOOKUP(Deals[[#This Row],[CustomerID]],Customers!A:A,Customers!E:E)</f>
        <v>Kuwaiti</v>
      </c>
      <c r="O855" s="2">
        <f>2026-_xlfn.XLOOKUP(Deals[[#This Row],[CustomerID]],Customers!A:A,Customers!D:D)</f>
        <v>23</v>
      </c>
      <c r="P855" s="2" t="str" cm="1">
        <f t="array" ref="P855">_xlfn.IFS(Deals[[#This Row],[Age]]&lt;30,"Under 30",Deals[[#This Row],[Age]]&lt;45,"30-44",TRUE,"45+")</f>
        <v>Under 30</v>
      </c>
      <c r="Q855" s="21">
        <f>IF(Deals[[#This Row],[Status]]="Pending","",Deals[[#This Row],[DecisionDate]]-Deals[[#This Row],[ApplicationDate]])</f>
        <v>6</v>
      </c>
      <c r="R855" s="21">
        <f>IF(Deals[[#This Row],[Status]]="Approved",1,0)</f>
        <v>0</v>
      </c>
      <c r="S855" s="21">
        <f>IF(Deals[[#This Row],[IsApproved]]=1,Deals[[#This Row],[Amount]],0)</f>
        <v>0</v>
      </c>
      <c r="T855" s="21">
        <f>Deals[[#This Row],[ApprovedAmount]]*Deals[[#This Row],[ProfitRate]]</f>
        <v>0</v>
      </c>
    </row>
    <row r="856" spans="1:20">
      <c r="A856" s="2" t="s">
        <v>1511</v>
      </c>
      <c r="B856" s="3">
        <v>46210</v>
      </c>
      <c r="C856" s="2" t="s">
        <v>1002</v>
      </c>
      <c r="D856" s="2" t="s">
        <v>25</v>
      </c>
      <c r="E856" s="2" t="s">
        <v>30</v>
      </c>
      <c r="F856" s="2" t="s">
        <v>31</v>
      </c>
      <c r="G856" s="4">
        <v>7600</v>
      </c>
      <c r="H856" s="5">
        <v>4.2700000000000002E-2</v>
      </c>
      <c r="I856" s="2">
        <v>36</v>
      </c>
      <c r="J856" s="2" t="s">
        <v>26</v>
      </c>
      <c r="K856" s="2" t="s">
        <v>17</v>
      </c>
      <c r="L856" s="3">
        <v>46212</v>
      </c>
      <c r="M856" s="2" t="str">
        <f>_xlfn.XLOOKUP(Deals[[#This Row],[CustomerID]],Customers!A:A,Customers!F:F)</f>
        <v>Premium</v>
      </c>
      <c r="N856" s="2" t="str">
        <f>_xlfn.XLOOKUP(Deals[[#This Row],[CustomerID]],Customers!A:A,Customers!E:E)</f>
        <v>Kuwaiti</v>
      </c>
      <c r="O856" s="2">
        <f>2026-_xlfn.XLOOKUP(Deals[[#This Row],[CustomerID]],Customers!A:A,Customers!D:D)</f>
        <v>41</v>
      </c>
      <c r="P856" s="2" t="str" cm="1">
        <f t="array" ref="P856">_xlfn.IFS(Deals[[#This Row],[Age]]&lt;30,"Under 30",Deals[[#This Row],[Age]]&lt;45,"30-44",TRUE,"45+")</f>
        <v>30-44</v>
      </c>
      <c r="Q856" s="21">
        <f>IF(Deals[[#This Row],[Status]]="Pending","",Deals[[#This Row],[DecisionDate]]-Deals[[#This Row],[ApplicationDate]])</f>
        <v>2</v>
      </c>
      <c r="R856" s="21">
        <f>IF(Deals[[#This Row],[Status]]="Approved",1,0)</f>
        <v>1</v>
      </c>
      <c r="S856" s="21">
        <f>IF(Deals[[#This Row],[IsApproved]]=1,Deals[[#This Row],[Amount]],0)</f>
        <v>7600</v>
      </c>
      <c r="T856" s="21">
        <f>Deals[[#This Row],[ApprovedAmount]]*Deals[[#This Row],[ProfitRate]]</f>
        <v>324.52000000000004</v>
      </c>
    </row>
    <row r="857" spans="1:20">
      <c r="A857" s="2" t="s">
        <v>1512</v>
      </c>
      <c r="B857" s="3">
        <v>46210</v>
      </c>
      <c r="C857" s="2" t="s">
        <v>1513</v>
      </c>
      <c r="D857" s="2" t="s">
        <v>29</v>
      </c>
      <c r="E857" s="2" t="s">
        <v>43</v>
      </c>
      <c r="F857" s="2" t="s">
        <v>3</v>
      </c>
      <c r="G857" s="4">
        <v>139000</v>
      </c>
      <c r="H857" s="5">
        <v>6.1100000000000002E-2</v>
      </c>
      <c r="I857" s="2">
        <v>84</v>
      </c>
      <c r="J857" s="2" t="s">
        <v>61</v>
      </c>
      <c r="K857" s="2" t="s">
        <v>17</v>
      </c>
      <c r="L857" s="3">
        <v>46225</v>
      </c>
      <c r="M857" s="2" t="str">
        <f>_xlfn.XLOOKUP(Deals[[#This Row],[CustomerID]],Customers!A:A,Customers!F:F)</f>
        <v>Affluent</v>
      </c>
      <c r="N857" s="2" t="str">
        <f>_xlfn.XLOOKUP(Deals[[#This Row],[CustomerID]],Customers!A:A,Customers!E:E)</f>
        <v>Kuwaiti</v>
      </c>
      <c r="O857" s="2">
        <f>2026-_xlfn.XLOOKUP(Deals[[#This Row],[CustomerID]],Customers!A:A,Customers!D:D)</f>
        <v>36</v>
      </c>
      <c r="P857" s="2" t="str" cm="1">
        <f t="array" ref="P857">_xlfn.IFS(Deals[[#This Row],[Age]]&lt;30,"Under 30",Deals[[#This Row],[Age]]&lt;45,"30-44",TRUE,"45+")</f>
        <v>30-44</v>
      </c>
      <c r="Q857" s="21">
        <f>IF(Deals[[#This Row],[Status]]="Pending","",Deals[[#This Row],[DecisionDate]]-Deals[[#This Row],[ApplicationDate]])</f>
        <v>15</v>
      </c>
      <c r="R857" s="21">
        <f>IF(Deals[[#This Row],[Status]]="Approved",1,0)</f>
        <v>1</v>
      </c>
      <c r="S857" s="21">
        <f>IF(Deals[[#This Row],[IsApproved]]=1,Deals[[#This Row],[Amount]],0)</f>
        <v>139000</v>
      </c>
      <c r="T857" s="21">
        <f>Deals[[#This Row],[ApprovedAmount]]*Deals[[#This Row],[ProfitRate]]</f>
        <v>8492.9</v>
      </c>
    </row>
    <row r="858" spans="1:20">
      <c r="A858" s="2" t="s">
        <v>1514</v>
      </c>
      <c r="B858" s="3">
        <v>46210</v>
      </c>
      <c r="C858" s="2" t="s">
        <v>226</v>
      </c>
      <c r="D858" s="2" t="s">
        <v>20</v>
      </c>
      <c r="E858" s="2" t="s">
        <v>15</v>
      </c>
      <c r="F858" s="2" t="s">
        <v>3</v>
      </c>
      <c r="G858" s="4">
        <v>2100</v>
      </c>
      <c r="H858" s="5">
        <v>6.3100000000000003E-2</v>
      </c>
      <c r="I858" s="2">
        <v>48</v>
      </c>
      <c r="J858" s="2" t="s">
        <v>44</v>
      </c>
      <c r="K858" s="2" t="s">
        <v>17</v>
      </c>
      <c r="L858" s="3">
        <v>46214</v>
      </c>
      <c r="M858" s="2" t="str">
        <f>_xlfn.XLOOKUP(Deals[[#This Row],[CustomerID]],Customers!A:A,Customers!F:F)</f>
        <v>Mass</v>
      </c>
      <c r="N858" s="2" t="str">
        <f>_xlfn.XLOOKUP(Deals[[#This Row],[CustomerID]],Customers!A:A,Customers!E:E)</f>
        <v>Non-Kuwaiti</v>
      </c>
      <c r="O858" s="2">
        <f>2026-_xlfn.XLOOKUP(Deals[[#This Row],[CustomerID]],Customers!A:A,Customers!D:D)</f>
        <v>36</v>
      </c>
      <c r="P858" s="2" t="str" cm="1">
        <f t="array" ref="P858">_xlfn.IFS(Deals[[#This Row],[Age]]&lt;30,"Under 30",Deals[[#This Row],[Age]]&lt;45,"30-44",TRUE,"45+")</f>
        <v>30-44</v>
      </c>
      <c r="Q858" s="21">
        <f>IF(Deals[[#This Row],[Status]]="Pending","",Deals[[#This Row],[DecisionDate]]-Deals[[#This Row],[ApplicationDate]])</f>
        <v>4</v>
      </c>
      <c r="R858" s="21">
        <f>IF(Deals[[#This Row],[Status]]="Approved",1,0)</f>
        <v>1</v>
      </c>
      <c r="S858" s="21">
        <f>IF(Deals[[#This Row],[IsApproved]]=1,Deals[[#This Row],[Amount]],0)</f>
        <v>2100</v>
      </c>
      <c r="T858" s="21">
        <f>Deals[[#This Row],[ApprovedAmount]]*Deals[[#This Row],[ProfitRate]]</f>
        <v>132.51000000000002</v>
      </c>
    </row>
    <row r="859" spans="1:20">
      <c r="A859" s="2" t="s">
        <v>1515</v>
      </c>
      <c r="B859" s="3">
        <v>46211</v>
      </c>
      <c r="C859" s="2" t="s">
        <v>1516</v>
      </c>
      <c r="D859" s="2" t="s">
        <v>29</v>
      </c>
      <c r="E859" s="2" t="s">
        <v>43</v>
      </c>
      <c r="F859" s="2" t="s">
        <v>31</v>
      </c>
      <c r="G859" s="4">
        <v>45700</v>
      </c>
      <c r="H859" s="5">
        <v>6.3500000000000001E-2</v>
      </c>
      <c r="I859" s="2">
        <v>84</v>
      </c>
      <c r="J859" s="2" t="s">
        <v>123</v>
      </c>
      <c r="K859" s="2" t="s">
        <v>17</v>
      </c>
      <c r="L859" s="3">
        <v>46226</v>
      </c>
      <c r="M859" s="2" t="str">
        <f>_xlfn.XLOOKUP(Deals[[#This Row],[CustomerID]],Customers!A:A,Customers!F:F)</f>
        <v>Mass</v>
      </c>
      <c r="N859" s="2" t="str">
        <f>_xlfn.XLOOKUP(Deals[[#This Row],[CustomerID]],Customers!A:A,Customers!E:E)</f>
        <v>Non-Kuwaiti</v>
      </c>
      <c r="O859" s="2">
        <f>2026-_xlfn.XLOOKUP(Deals[[#This Row],[CustomerID]],Customers!A:A,Customers!D:D)</f>
        <v>26</v>
      </c>
      <c r="P859" s="2" t="str" cm="1">
        <f t="array" ref="P859">_xlfn.IFS(Deals[[#This Row],[Age]]&lt;30,"Under 30",Deals[[#This Row],[Age]]&lt;45,"30-44",TRUE,"45+")</f>
        <v>Under 30</v>
      </c>
      <c r="Q859" s="21">
        <f>IF(Deals[[#This Row],[Status]]="Pending","",Deals[[#This Row],[DecisionDate]]-Deals[[#This Row],[ApplicationDate]])</f>
        <v>15</v>
      </c>
      <c r="R859" s="21">
        <f>IF(Deals[[#This Row],[Status]]="Approved",1,0)</f>
        <v>1</v>
      </c>
      <c r="S859" s="21">
        <f>IF(Deals[[#This Row],[IsApproved]]=1,Deals[[#This Row],[Amount]],0)</f>
        <v>45700</v>
      </c>
      <c r="T859" s="21">
        <f>Deals[[#This Row],[ApprovedAmount]]*Deals[[#This Row],[ProfitRate]]</f>
        <v>2901.95</v>
      </c>
    </row>
    <row r="860" spans="1:20">
      <c r="A860" s="2" t="s">
        <v>1517</v>
      </c>
      <c r="B860" s="3">
        <v>46211</v>
      </c>
      <c r="C860" s="2" t="s">
        <v>577</v>
      </c>
      <c r="D860" s="2" t="s">
        <v>14</v>
      </c>
      <c r="E860" s="2" t="s">
        <v>43</v>
      </c>
      <c r="F860" s="2" t="s">
        <v>31</v>
      </c>
      <c r="G860" s="4">
        <v>78800</v>
      </c>
      <c r="H860" s="5">
        <v>6.5699999999999995E-2</v>
      </c>
      <c r="I860" s="2">
        <v>84</v>
      </c>
      <c r="J860" s="2" t="s">
        <v>16</v>
      </c>
      <c r="K860" s="2" t="s">
        <v>45</v>
      </c>
      <c r="L860" s="3">
        <v>46228</v>
      </c>
      <c r="M860" s="2" t="str">
        <f>_xlfn.XLOOKUP(Deals[[#This Row],[CustomerID]],Customers!A:A,Customers!F:F)</f>
        <v>Mass</v>
      </c>
      <c r="N860" s="2" t="str">
        <f>_xlfn.XLOOKUP(Deals[[#This Row],[CustomerID]],Customers!A:A,Customers!E:E)</f>
        <v>Kuwaiti</v>
      </c>
      <c r="O860" s="2">
        <f>2026-_xlfn.XLOOKUP(Deals[[#This Row],[CustomerID]],Customers!A:A,Customers!D:D)</f>
        <v>35</v>
      </c>
      <c r="P860" s="2" t="str" cm="1">
        <f t="array" ref="P860">_xlfn.IFS(Deals[[#This Row],[Age]]&lt;30,"Under 30",Deals[[#This Row],[Age]]&lt;45,"30-44",TRUE,"45+")</f>
        <v>30-44</v>
      </c>
      <c r="Q860" s="21">
        <f>IF(Deals[[#This Row],[Status]]="Pending","",Deals[[#This Row],[DecisionDate]]-Deals[[#This Row],[ApplicationDate]])</f>
        <v>17</v>
      </c>
      <c r="R860" s="21">
        <f>IF(Deals[[#This Row],[Status]]="Approved",1,0)</f>
        <v>0</v>
      </c>
      <c r="S860" s="21">
        <f>IF(Deals[[#This Row],[IsApproved]]=1,Deals[[#This Row],[Amount]],0)</f>
        <v>0</v>
      </c>
      <c r="T860" s="21">
        <f>Deals[[#This Row],[ApprovedAmount]]*Deals[[#This Row],[ProfitRate]]</f>
        <v>0</v>
      </c>
    </row>
    <row r="861" spans="1:20">
      <c r="A861" s="2" t="s">
        <v>1518</v>
      </c>
      <c r="B861" s="3">
        <v>46211</v>
      </c>
      <c r="C861" s="2" t="s">
        <v>1136</v>
      </c>
      <c r="D861" s="2" t="s">
        <v>29</v>
      </c>
      <c r="E861" s="2" t="s">
        <v>30</v>
      </c>
      <c r="F861" s="2" t="s">
        <v>3</v>
      </c>
      <c r="G861" s="4">
        <v>20600</v>
      </c>
      <c r="H861" s="5">
        <v>4.6300000000000001E-2</v>
      </c>
      <c r="I861" s="2">
        <v>36</v>
      </c>
      <c r="J861" s="2" t="s">
        <v>32</v>
      </c>
      <c r="K861" s="2" t="s">
        <v>17</v>
      </c>
      <c r="L861" s="3">
        <v>46216</v>
      </c>
      <c r="M861" s="2" t="str">
        <f>_xlfn.XLOOKUP(Deals[[#This Row],[CustomerID]],Customers!A:A,Customers!F:F)</f>
        <v>Premium</v>
      </c>
      <c r="N861" s="2" t="str">
        <f>_xlfn.XLOOKUP(Deals[[#This Row],[CustomerID]],Customers!A:A,Customers!E:E)</f>
        <v>Kuwaiti</v>
      </c>
      <c r="O861" s="2">
        <f>2026-_xlfn.XLOOKUP(Deals[[#This Row],[CustomerID]],Customers!A:A,Customers!D:D)</f>
        <v>24</v>
      </c>
      <c r="P861" s="2" t="str" cm="1">
        <f t="array" ref="P861">_xlfn.IFS(Deals[[#This Row],[Age]]&lt;30,"Under 30",Deals[[#This Row],[Age]]&lt;45,"30-44",TRUE,"45+")</f>
        <v>Under 30</v>
      </c>
      <c r="Q861" s="21">
        <f>IF(Deals[[#This Row],[Status]]="Pending","",Deals[[#This Row],[DecisionDate]]-Deals[[#This Row],[ApplicationDate]])</f>
        <v>5</v>
      </c>
      <c r="R861" s="21">
        <f>IF(Deals[[#This Row],[Status]]="Approved",1,0)</f>
        <v>1</v>
      </c>
      <c r="S861" s="21">
        <f>IF(Deals[[#This Row],[IsApproved]]=1,Deals[[#This Row],[Amount]],0)</f>
        <v>20600</v>
      </c>
      <c r="T861" s="21">
        <f>Deals[[#This Row],[ApprovedAmount]]*Deals[[#This Row],[ProfitRate]]</f>
        <v>953.78</v>
      </c>
    </row>
    <row r="862" spans="1:20">
      <c r="A862" s="2" t="s">
        <v>1519</v>
      </c>
      <c r="B862" s="3">
        <v>46211</v>
      </c>
      <c r="C862" s="2" t="s">
        <v>1520</v>
      </c>
      <c r="D862" s="2" t="s">
        <v>54</v>
      </c>
      <c r="E862" s="2" t="s">
        <v>15</v>
      </c>
      <c r="F862" s="2" t="s">
        <v>3</v>
      </c>
      <c r="G862" s="4">
        <v>17200</v>
      </c>
      <c r="H862" s="5">
        <v>5.8799999999999998E-2</v>
      </c>
      <c r="I862" s="2">
        <v>36</v>
      </c>
      <c r="J862" s="2" t="s">
        <v>56</v>
      </c>
      <c r="K862" s="2" t="s">
        <v>45</v>
      </c>
      <c r="L862" s="3">
        <v>46213</v>
      </c>
      <c r="M862" s="2" t="str">
        <f>_xlfn.XLOOKUP(Deals[[#This Row],[CustomerID]],Customers!A:A,Customers!F:F)</f>
        <v>Mass</v>
      </c>
      <c r="N862" s="2" t="str">
        <f>_xlfn.XLOOKUP(Deals[[#This Row],[CustomerID]],Customers!A:A,Customers!E:E)</f>
        <v>Kuwaiti</v>
      </c>
      <c r="O862" s="2">
        <f>2026-_xlfn.XLOOKUP(Deals[[#This Row],[CustomerID]],Customers!A:A,Customers!D:D)</f>
        <v>43</v>
      </c>
      <c r="P862" s="2" t="str" cm="1">
        <f t="array" ref="P862">_xlfn.IFS(Deals[[#This Row],[Age]]&lt;30,"Under 30",Deals[[#This Row],[Age]]&lt;45,"30-44",TRUE,"45+")</f>
        <v>30-44</v>
      </c>
      <c r="Q862" s="21">
        <f>IF(Deals[[#This Row],[Status]]="Pending","",Deals[[#This Row],[DecisionDate]]-Deals[[#This Row],[ApplicationDate]])</f>
        <v>2</v>
      </c>
      <c r="R862" s="21">
        <f>IF(Deals[[#This Row],[Status]]="Approved",1,0)</f>
        <v>0</v>
      </c>
      <c r="S862" s="21">
        <f>IF(Deals[[#This Row],[IsApproved]]=1,Deals[[#This Row],[Amount]],0)</f>
        <v>0</v>
      </c>
      <c r="T862" s="21">
        <f>Deals[[#This Row],[ApprovedAmount]]*Deals[[#This Row],[ProfitRate]]</f>
        <v>0</v>
      </c>
    </row>
    <row r="863" spans="1:20">
      <c r="A863" s="2" t="s">
        <v>1522</v>
      </c>
      <c r="B863" s="3">
        <v>46212</v>
      </c>
      <c r="C863" s="2" t="s">
        <v>1523</v>
      </c>
      <c r="D863" s="2" t="s">
        <v>20</v>
      </c>
      <c r="E863" s="2" t="s">
        <v>30</v>
      </c>
      <c r="F863" s="2" t="s">
        <v>3</v>
      </c>
      <c r="G863" s="4">
        <v>14900</v>
      </c>
      <c r="H863" s="5">
        <v>4.8800000000000003E-2</v>
      </c>
      <c r="I863" s="2">
        <v>48</v>
      </c>
      <c r="J863" s="2" t="s">
        <v>37</v>
      </c>
      <c r="K863" s="2" t="s">
        <v>17</v>
      </c>
      <c r="L863" s="3">
        <v>46217</v>
      </c>
      <c r="M863" s="2" t="str">
        <f>_xlfn.XLOOKUP(Deals[[#This Row],[CustomerID]],Customers!A:A,Customers!F:F)</f>
        <v>Mass</v>
      </c>
      <c r="N863" s="2" t="str">
        <f>_xlfn.XLOOKUP(Deals[[#This Row],[CustomerID]],Customers!A:A,Customers!E:E)</f>
        <v>Kuwaiti</v>
      </c>
      <c r="O863" s="2">
        <f>2026-_xlfn.XLOOKUP(Deals[[#This Row],[CustomerID]],Customers!A:A,Customers!D:D)</f>
        <v>32</v>
      </c>
      <c r="P863" s="2" t="str" cm="1">
        <f t="array" ref="P863">_xlfn.IFS(Deals[[#This Row],[Age]]&lt;30,"Under 30",Deals[[#This Row],[Age]]&lt;45,"30-44",TRUE,"45+")</f>
        <v>30-44</v>
      </c>
      <c r="Q863" s="21">
        <f>IF(Deals[[#This Row],[Status]]="Pending","",Deals[[#This Row],[DecisionDate]]-Deals[[#This Row],[ApplicationDate]])</f>
        <v>5</v>
      </c>
      <c r="R863" s="21">
        <f>IF(Deals[[#This Row],[Status]]="Approved",1,0)</f>
        <v>1</v>
      </c>
      <c r="S863" s="21">
        <f>IF(Deals[[#This Row],[IsApproved]]=1,Deals[[#This Row],[Amount]],0)</f>
        <v>14900</v>
      </c>
      <c r="T863" s="21">
        <f>Deals[[#This Row],[ApprovedAmount]]*Deals[[#This Row],[ProfitRate]]</f>
        <v>727.12</v>
      </c>
    </row>
    <row r="864" spans="1:20">
      <c r="A864" s="2" t="s">
        <v>1524</v>
      </c>
      <c r="B864" s="3">
        <v>46212</v>
      </c>
      <c r="C864" s="2" t="s">
        <v>1525</v>
      </c>
      <c r="D864" s="2" t="s">
        <v>14</v>
      </c>
      <c r="E864" s="2" t="s">
        <v>30</v>
      </c>
      <c r="F864" s="2" t="s">
        <v>3</v>
      </c>
      <c r="G864" s="4">
        <v>6200</v>
      </c>
      <c r="H864" s="5">
        <v>4.9700000000000001E-2</v>
      </c>
      <c r="I864" s="2">
        <v>48</v>
      </c>
      <c r="J864" s="2" t="s">
        <v>48</v>
      </c>
      <c r="K864" s="2" t="s">
        <v>17</v>
      </c>
      <c r="L864" s="3">
        <v>46216</v>
      </c>
      <c r="M864" s="2" t="str">
        <f>_xlfn.XLOOKUP(Deals[[#This Row],[CustomerID]],Customers!A:A,Customers!F:F)</f>
        <v>Mass</v>
      </c>
      <c r="N864" s="2" t="str">
        <f>_xlfn.XLOOKUP(Deals[[#This Row],[CustomerID]],Customers!A:A,Customers!E:E)</f>
        <v>Kuwaiti</v>
      </c>
      <c r="O864" s="2">
        <f>2026-_xlfn.XLOOKUP(Deals[[#This Row],[CustomerID]],Customers!A:A,Customers!D:D)</f>
        <v>53</v>
      </c>
      <c r="P864" s="2" t="str" cm="1">
        <f t="array" ref="P864">_xlfn.IFS(Deals[[#This Row],[Age]]&lt;30,"Under 30",Deals[[#This Row],[Age]]&lt;45,"30-44",TRUE,"45+")</f>
        <v>45+</v>
      </c>
      <c r="Q864" s="21">
        <f>IF(Deals[[#This Row],[Status]]="Pending","",Deals[[#This Row],[DecisionDate]]-Deals[[#This Row],[ApplicationDate]])</f>
        <v>4</v>
      </c>
      <c r="R864" s="21">
        <f>IF(Deals[[#This Row],[Status]]="Approved",1,0)</f>
        <v>1</v>
      </c>
      <c r="S864" s="21">
        <f>IF(Deals[[#This Row],[IsApproved]]=1,Deals[[#This Row],[Amount]],0)</f>
        <v>6200</v>
      </c>
      <c r="T864" s="21">
        <f>Deals[[#This Row],[ApprovedAmount]]*Deals[[#This Row],[ProfitRate]]</f>
        <v>308.14</v>
      </c>
    </row>
    <row r="865" spans="1:20">
      <c r="A865" s="2" t="s">
        <v>1526</v>
      </c>
      <c r="B865" s="3">
        <v>46212</v>
      </c>
      <c r="C865" s="2" t="s">
        <v>1246</v>
      </c>
      <c r="D865" s="2" t="s">
        <v>29</v>
      </c>
      <c r="E865" s="2" t="s">
        <v>43</v>
      </c>
      <c r="F865" s="2" t="s">
        <v>3</v>
      </c>
      <c r="G865" s="4">
        <v>120800</v>
      </c>
      <c r="H865" s="5">
        <v>6.4399999999999999E-2</v>
      </c>
      <c r="I865" s="2">
        <v>36</v>
      </c>
      <c r="J865" s="2" t="s">
        <v>123</v>
      </c>
      <c r="K865" s="2" t="s">
        <v>17</v>
      </c>
      <c r="L865" s="3">
        <v>46220</v>
      </c>
      <c r="M865" s="2" t="str">
        <f>_xlfn.XLOOKUP(Deals[[#This Row],[CustomerID]],Customers!A:A,Customers!F:F)</f>
        <v>Mass</v>
      </c>
      <c r="N865" s="2" t="str">
        <f>_xlfn.XLOOKUP(Deals[[#This Row],[CustomerID]],Customers!A:A,Customers!E:E)</f>
        <v>Non-Kuwaiti</v>
      </c>
      <c r="O865" s="2">
        <f>2026-_xlfn.XLOOKUP(Deals[[#This Row],[CustomerID]],Customers!A:A,Customers!D:D)</f>
        <v>28</v>
      </c>
      <c r="P865" s="2" t="str" cm="1">
        <f t="array" ref="P865">_xlfn.IFS(Deals[[#This Row],[Age]]&lt;30,"Under 30",Deals[[#This Row],[Age]]&lt;45,"30-44",TRUE,"45+")</f>
        <v>Under 30</v>
      </c>
      <c r="Q865" s="21">
        <f>IF(Deals[[#This Row],[Status]]="Pending","",Deals[[#This Row],[DecisionDate]]-Deals[[#This Row],[ApplicationDate]])</f>
        <v>8</v>
      </c>
      <c r="R865" s="21">
        <f>IF(Deals[[#This Row],[Status]]="Approved",1,0)</f>
        <v>1</v>
      </c>
      <c r="S865" s="21">
        <f>IF(Deals[[#This Row],[IsApproved]]=1,Deals[[#This Row],[Amount]],0)</f>
        <v>120800</v>
      </c>
      <c r="T865" s="21">
        <f>Deals[[#This Row],[ApprovedAmount]]*Deals[[#This Row],[ProfitRate]]</f>
        <v>7779.5199999999995</v>
      </c>
    </row>
    <row r="866" spans="1:20">
      <c r="A866" s="2" t="s">
        <v>1527</v>
      </c>
      <c r="B866" s="3">
        <v>46212</v>
      </c>
      <c r="C866" s="2" t="s">
        <v>819</v>
      </c>
      <c r="D866" s="2" t="s">
        <v>14</v>
      </c>
      <c r="E866" s="2" t="s">
        <v>43</v>
      </c>
      <c r="F866" s="2" t="s">
        <v>31</v>
      </c>
      <c r="G866" s="4">
        <v>56400</v>
      </c>
      <c r="H866" s="5">
        <v>6.4899999999999999E-2</v>
      </c>
      <c r="I866" s="2">
        <v>84</v>
      </c>
      <c r="J866" s="2" t="s">
        <v>40</v>
      </c>
      <c r="K866" s="2" t="s">
        <v>17</v>
      </c>
      <c r="L866" s="3">
        <v>46229</v>
      </c>
      <c r="M866" s="2" t="str">
        <f>_xlfn.XLOOKUP(Deals[[#This Row],[CustomerID]],Customers!A:A,Customers!F:F)</f>
        <v>Premium</v>
      </c>
      <c r="N866" s="2" t="str">
        <f>_xlfn.XLOOKUP(Deals[[#This Row],[CustomerID]],Customers!A:A,Customers!E:E)</f>
        <v>Kuwaiti</v>
      </c>
      <c r="O866" s="2">
        <f>2026-_xlfn.XLOOKUP(Deals[[#This Row],[CustomerID]],Customers!A:A,Customers!D:D)</f>
        <v>49</v>
      </c>
      <c r="P866" s="2" t="str" cm="1">
        <f t="array" ref="P866">_xlfn.IFS(Deals[[#This Row],[Age]]&lt;30,"Under 30",Deals[[#This Row],[Age]]&lt;45,"30-44",TRUE,"45+")</f>
        <v>45+</v>
      </c>
      <c r="Q866" s="21">
        <f>IF(Deals[[#This Row],[Status]]="Pending","",Deals[[#This Row],[DecisionDate]]-Deals[[#This Row],[ApplicationDate]])</f>
        <v>17</v>
      </c>
      <c r="R866" s="21">
        <f>IF(Deals[[#This Row],[Status]]="Approved",1,0)</f>
        <v>1</v>
      </c>
      <c r="S866" s="21">
        <f>IF(Deals[[#This Row],[IsApproved]]=1,Deals[[#This Row],[Amount]],0)</f>
        <v>56400</v>
      </c>
      <c r="T866" s="21">
        <f>Deals[[#This Row],[ApprovedAmount]]*Deals[[#This Row],[ProfitRate]]</f>
        <v>3660.36</v>
      </c>
    </row>
    <row r="867" spans="1:20">
      <c r="A867" s="2" t="s">
        <v>1528</v>
      </c>
      <c r="B867" s="3">
        <v>46213</v>
      </c>
      <c r="C867" s="2" t="s">
        <v>427</v>
      </c>
      <c r="D867" s="2" t="s">
        <v>20</v>
      </c>
      <c r="E867" s="2" t="s">
        <v>15</v>
      </c>
      <c r="F867" s="2" t="s">
        <v>31</v>
      </c>
      <c r="G867" s="4">
        <v>24500</v>
      </c>
      <c r="H867" s="5">
        <v>6.4500000000000002E-2</v>
      </c>
      <c r="I867" s="2">
        <v>60</v>
      </c>
      <c r="J867" s="2" t="s">
        <v>37</v>
      </c>
      <c r="K867" s="2" t="s">
        <v>17</v>
      </c>
      <c r="L867" s="3">
        <v>46217</v>
      </c>
      <c r="M867" s="2" t="str">
        <f>_xlfn.XLOOKUP(Deals[[#This Row],[CustomerID]],Customers!A:A,Customers!F:F)</f>
        <v>Mass</v>
      </c>
      <c r="N867" s="2" t="str">
        <f>_xlfn.XLOOKUP(Deals[[#This Row],[CustomerID]],Customers!A:A,Customers!E:E)</f>
        <v>Kuwaiti</v>
      </c>
      <c r="O867" s="2">
        <f>2026-_xlfn.XLOOKUP(Deals[[#This Row],[CustomerID]],Customers!A:A,Customers!D:D)</f>
        <v>53</v>
      </c>
      <c r="P867" s="2" t="str" cm="1">
        <f t="array" ref="P867">_xlfn.IFS(Deals[[#This Row],[Age]]&lt;30,"Under 30",Deals[[#This Row],[Age]]&lt;45,"30-44",TRUE,"45+")</f>
        <v>45+</v>
      </c>
      <c r="Q867" s="21">
        <f>IF(Deals[[#This Row],[Status]]="Pending","",Deals[[#This Row],[DecisionDate]]-Deals[[#This Row],[ApplicationDate]])</f>
        <v>4</v>
      </c>
      <c r="R867" s="21">
        <f>IF(Deals[[#This Row],[Status]]="Approved",1,0)</f>
        <v>1</v>
      </c>
      <c r="S867" s="21">
        <f>IF(Deals[[#This Row],[IsApproved]]=1,Deals[[#This Row],[Amount]],0)</f>
        <v>24500</v>
      </c>
      <c r="T867" s="21">
        <f>Deals[[#This Row],[ApprovedAmount]]*Deals[[#This Row],[ProfitRate]]</f>
        <v>1580.25</v>
      </c>
    </row>
    <row r="868" spans="1:20">
      <c r="A868" s="2" t="s">
        <v>1529</v>
      </c>
      <c r="B868" s="3">
        <v>46213</v>
      </c>
      <c r="C868" s="2" t="s">
        <v>462</v>
      </c>
      <c r="D868" s="2" t="s">
        <v>25</v>
      </c>
      <c r="E868" s="2" t="s">
        <v>30</v>
      </c>
      <c r="F868" s="2" t="s">
        <v>31</v>
      </c>
      <c r="G868" s="4">
        <v>11900</v>
      </c>
      <c r="H868" s="5">
        <v>4.2500000000000003E-2</v>
      </c>
      <c r="I868" s="2">
        <v>48</v>
      </c>
      <c r="J868" s="2" t="s">
        <v>181</v>
      </c>
      <c r="K868" s="2" t="s">
        <v>45</v>
      </c>
      <c r="L868" s="3">
        <v>46215</v>
      </c>
      <c r="M868" s="2" t="str">
        <f>_xlfn.XLOOKUP(Deals[[#This Row],[CustomerID]],Customers!A:A,Customers!F:F)</f>
        <v>Mass</v>
      </c>
      <c r="N868" s="2" t="str">
        <f>_xlfn.XLOOKUP(Deals[[#This Row],[CustomerID]],Customers!A:A,Customers!E:E)</f>
        <v>Non-Kuwaiti</v>
      </c>
      <c r="O868" s="2">
        <f>2026-_xlfn.XLOOKUP(Deals[[#This Row],[CustomerID]],Customers!A:A,Customers!D:D)</f>
        <v>61</v>
      </c>
      <c r="P868" s="2" t="str" cm="1">
        <f t="array" ref="P868">_xlfn.IFS(Deals[[#This Row],[Age]]&lt;30,"Under 30",Deals[[#This Row],[Age]]&lt;45,"30-44",TRUE,"45+")</f>
        <v>45+</v>
      </c>
      <c r="Q868" s="21">
        <f>IF(Deals[[#This Row],[Status]]="Pending","",Deals[[#This Row],[DecisionDate]]-Deals[[#This Row],[ApplicationDate]])</f>
        <v>2</v>
      </c>
      <c r="R868" s="21">
        <f>IF(Deals[[#This Row],[Status]]="Approved",1,0)</f>
        <v>0</v>
      </c>
      <c r="S868" s="21">
        <f>IF(Deals[[#This Row],[IsApproved]]=1,Deals[[#This Row],[Amount]],0)</f>
        <v>0</v>
      </c>
      <c r="T868" s="21">
        <f>Deals[[#This Row],[ApprovedAmount]]*Deals[[#This Row],[ProfitRate]]</f>
        <v>0</v>
      </c>
    </row>
    <row r="869" spans="1:20">
      <c r="A869" s="2" t="s">
        <v>1530</v>
      </c>
      <c r="B869" s="3">
        <v>46213</v>
      </c>
      <c r="C869" s="2" t="s">
        <v>1531</v>
      </c>
      <c r="D869" s="2" t="s">
        <v>71</v>
      </c>
      <c r="E869" s="2" t="s">
        <v>21</v>
      </c>
      <c r="F869" s="2" t="s">
        <v>3</v>
      </c>
      <c r="G869" s="4">
        <v>198800</v>
      </c>
      <c r="H869" s="5">
        <v>4.0300000000000002E-2</v>
      </c>
      <c r="I869" s="2">
        <v>120</v>
      </c>
      <c r="J869" s="2" t="s">
        <v>101</v>
      </c>
      <c r="K869" s="2" t="s">
        <v>45</v>
      </c>
      <c r="L869" s="3">
        <v>46241</v>
      </c>
      <c r="M869" s="2" t="str">
        <f>_xlfn.XLOOKUP(Deals[[#This Row],[CustomerID]],Customers!A:A,Customers!F:F)</f>
        <v>Affluent</v>
      </c>
      <c r="N869" s="2" t="str">
        <f>_xlfn.XLOOKUP(Deals[[#This Row],[CustomerID]],Customers!A:A,Customers!E:E)</f>
        <v>Kuwaiti</v>
      </c>
      <c r="O869" s="2">
        <f>2026-_xlfn.XLOOKUP(Deals[[#This Row],[CustomerID]],Customers!A:A,Customers!D:D)</f>
        <v>47</v>
      </c>
      <c r="P869" s="2" t="str" cm="1">
        <f t="array" ref="P869">_xlfn.IFS(Deals[[#This Row],[Age]]&lt;30,"Under 30",Deals[[#This Row],[Age]]&lt;45,"30-44",TRUE,"45+")</f>
        <v>45+</v>
      </c>
      <c r="Q869" s="21">
        <f>IF(Deals[[#This Row],[Status]]="Pending","",Deals[[#This Row],[DecisionDate]]-Deals[[#This Row],[ApplicationDate]])</f>
        <v>28</v>
      </c>
      <c r="R869" s="21">
        <f>IF(Deals[[#This Row],[Status]]="Approved",1,0)</f>
        <v>0</v>
      </c>
      <c r="S869" s="21">
        <f>IF(Deals[[#This Row],[IsApproved]]=1,Deals[[#This Row],[Amount]],0)</f>
        <v>0</v>
      </c>
      <c r="T869" s="21">
        <f>Deals[[#This Row],[ApprovedAmount]]*Deals[[#This Row],[ProfitRate]]</f>
        <v>0</v>
      </c>
    </row>
    <row r="870" spans="1:20">
      <c r="A870" s="2" t="s">
        <v>1532</v>
      </c>
      <c r="B870" s="3">
        <v>46213</v>
      </c>
      <c r="C870" s="2" t="s">
        <v>1533</v>
      </c>
      <c r="D870" s="2" t="s">
        <v>25</v>
      </c>
      <c r="E870" s="2" t="s">
        <v>30</v>
      </c>
      <c r="F870" s="2" t="s">
        <v>55</v>
      </c>
      <c r="G870" s="4">
        <v>11600</v>
      </c>
      <c r="H870" s="5">
        <v>4.02E-2</v>
      </c>
      <c r="I870" s="2">
        <v>60</v>
      </c>
      <c r="J870" s="2" t="s">
        <v>181</v>
      </c>
      <c r="K870" s="2" t="s">
        <v>17</v>
      </c>
      <c r="L870" s="3">
        <v>46218</v>
      </c>
      <c r="M870" s="2" t="str">
        <f>_xlfn.XLOOKUP(Deals[[#This Row],[CustomerID]],Customers!A:A,Customers!F:F)</f>
        <v>Affluent</v>
      </c>
      <c r="N870" s="2" t="str">
        <f>_xlfn.XLOOKUP(Deals[[#This Row],[CustomerID]],Customers!A:A,Customers!E:E)</f>
        <v>Kuwaiti</v>
      </c>
      <c r="O870" s="2">
        <f>2026-_xlfn.XLOOKUP(Deals[[#This Row],[CustomerID]],Customers!A:A,Customers!D:D)</f>
        <v>26</v>
      </c>
      <c r="P870" s="2" t="str" cm="1">
        <f t="array" ref="P870">_xlfn.IFS(Deals[[#This Row],[Age]]&lt;30,"Under 30",Deals[[#This Row],[Age]]&lt;45,"30-44",TRUE,"45+")</f>
        <v>Under 30</v>
      </c>
      <c r="Q870" s="21">
        <f>IF(Deals[[#This Row],[Status]]="Pending","",Deals[[#This Row],[DecisionDate]]-Deals[[#This Row],[ApplicationDate]])</f>
        <v>5</v>
      </c>
      <c r="R870" s="21">
        <f>IF(Deals[[#This Row],[Status]]="Approved",1,0)</f>
        <v>1</v>
      </c>
      <c r="S870" s="21">
        <f>IF(Deals[[#This Row],[IsApproved]]=1,Deals[[#This Row],[Amount]],0)</f>
        <v>11600</v>
      </c>
      <c r="T870" s="21">
        <f>Deals[[#This Row],[ApprovedAmount]]*Deals[[#This Row],[ProfitRate]]</f>
        <v>466.32</v>
      </c>
    </row>
    <row r="871" spans="1:20">
      <c r="A871" s="2" t="s">
        <v>1534</v>
      </c>
      <c r="B871" s="3">
        <v>46213</v>
      </c>
      <c r="C871" s="2" t="s">
        <v>1096</v>
      </c>
      <c r="D871" s="2" t="s">
        <v>14</v>
      </c>
      <c r="E871" s="2" t="s">
        <v>30</v>
      </c>
      <c r="F871" s="2" t="s">
        <v>31</v>
      </c>
      <c r="G871" s="4">
        <v>4900</v>
      </c>
      <c r="H871" s="5">
        <v>4.1200000000000001E-2</v>
      </c>
      <c r="I871" s="2">
        <v>48</v>
      </c>
      <c r="J871" s="2" t="s">
        <v>48</v>
      </c>
      <c r="K871" s="2" t="s">
        <v>17</v>
      </c>
      <c r="L871" s="3">
        <v>46216</v>
      </c>
      <c r="M871" s="2" t="str">
        <f>_xlfn.XLOOKUP(Deals[[#This Row],[CustomerID]],Customers!A:A,Customers!F:F)</f>
        <v>Affluent</v>
      </c>
      <c r="N871" s="2" t="str">
        <f>_xlfn.XLOOKUP(Deals[[#This Row],[CustomerID]],Customers!A:A,Customers!E:E)</f>
        <v>Non-Kuwaiti</v>
      </c>
      <c r="O871" s="2">
        <f>2026-_xlfn.XLOOKUP(Deals[[#This Row],[CustomerID]],Customers!A:A,Customers!D:D)</f>
        <v>44</v>
      </c>
      <c r="P871" s="2" t="str" cm="1">
        <f t="array" ref="P871">_xlfn.IFS(Deals[[#This Row],[Age]]&lt;30,"Under 30",Deals[[#This Row],[Age]]&lt;45,"30-44",TRUE,"45+")</f>
        <v>30-44</v>
      </c>
      <c r="Q871" s="21">
        <f>IF(Deals[[#This Row],[Status]]="Pending","",Deals[[#This Row],[DecisionDate]]-Deals[[#This Row],[ApplicationDate]])</f>
        <v>3</v>
      </c>
      <c r="R871" s="21">
        <f>IF(Deals[[#This Row],[Status]]="Approved",1,0)</f>
        <v>1</v>
      </c>
      <c r="S871" s="21">
        <f>IF(Deals[[#This Row],[IsApproved]]=1,Deals[[#This Row],[Amount]],0)</f>
        <v>4900</v>
      </c>
      <c r="T871" s="21">
        <f>Deals[[#This Row],[ApprovedAmount]]*Deals[[#This Row],[ProfitRate]]</f>
        <v>201.88</v>
      </c>
    </row>
    <row r="872" spans="1:20">
      <c r="A872" s="2" t="s">
        <v>1535</v>
      </c>
      <c r="B872" s="3">
        <v>46213</v>
      </c>
      <c r="C872" s="2" t="s">
        <v>114</v>
      </c>
      <c r="D872" s="2" t="s">
        <v>25</v>
      </c>
      <c r="E872" s="2" t="s">
        <v>15</v>
      </c>
      <c r="F872" s="2" t="s">
        <v>3</v>
      </c>
      <c r="G872" s="4">
        <v>3700</v>
      </c>
      <c r="H872" s="5">
        <v>6.1400000000000003E-2</v>
      </c>
      <c r="I872" s="2">
        <v>36</v>
      </c>
      <c r="J872" s="2" t="s">
        <v>181</v>
      </c>
      <c r="K872" s="2" t="s">
        <v>17</v>
      </c>
      <c r="L872" s="3">
        <v>46214</v>
      </c>
      <c r="M872" s="2" t="str">
        <f>_xlfn.XLOOKUP(Deals[[#This Row],[CustomerID]],Customers!A:A,Customers!F:F)</f>
        <v>Mass</v>
      </c>
      <c r="N872" s="2" t="str">
        <f>_xlfn.XLOOKUP(Deals[[#This Row],[CustomerID]],Customers!A:A,Customers!E:E)</f>
        <v>Kuwaiti</v>
      </c>
      <c r="O872" s="2">
        <f>2026-_xlfn.XLOOKUP(Deals[[#This Row],[CustomerID]],Customers!A:A,Customers!D:D)</f>
        <v>40</v>
      </c>
      <c r="P872" s="2" t="str" cm="1">
        <f t="array" ref="P872">_xlfn.IFS(Deals[[#This Row],[Age]]&lt;30,"Under 30",Deals[[#This Row],[Age]]&lt;45,"30-44",TRUE,"45+")</f>
        <v>30-44</v>
      </c>
      <c r="Q872" s="21">
        <f>IF(Deals[[#This Row],[Status]]="Pending","",Deals[[#This Row],[DecisionDate]]-Deals[[#This Row],[ApplicationDate]])</f>
        <v>1</v>
      </c>
      <c r="R872" s="21">
        <f>IF(Deals[[#This Row],[Status]]="Approved",1,0)</f>
        <v>1</v>
      </c>
      <c r="S872" s="21">
        <f>IF(Deals[[#This Row],[IsApproved]]=1,Deals[[#This Row],[Amount]],0)</f>
        <v>3700</v>
      </c>
      <c r="T872" s="21">
        <f>Deals[[#This Row],[ApprovedAmount]]*Deals[[#This Row],[ProfitRate]]</f>
        <v>227.18</v>
      </c>
    </row>
    <row r="873" spans="1:20">
      <c r="A873" s="2" t="s">
        <v>1536</v>
      </c>
      <c r="B873" s="3">
        <v>46213</v>
      </c>
      <c r="C873" s="2" t="s">
        <v>1537</v>
      </c>
      <c r="D873" s="2" t="s">
        <v>71</v>
      </c>
      <c r="E873" s="2" t="s">
        <v>30</v>
      </c>
      <c r="F873" s="2" t="s">
        <v>55</v>
      </c>
      <c r="G873" s="4">
        <v>4800</v>
      </c>
      <c r="H873" s="5">
        <v>4.1300000000000003E-2</v>
      </c>
      <c r="I873" s="2">
        <v>48</v>
      </c>
      <c r="J873" s="2" t="s">
        <v>94</v>
      </c>
      <c r="K873" s="2" t="s">
        <v>17</v>
      </c>
      <c r="L873" s="3">
        <v>46219</v>
      </c>
      <c r="M873" s="2" t="str">
        <f>_xlfn.XLOOKUP(Deals[[#This Row],[CustomerID]],Customers!A:A,Customers!F:F)</f>
        <v>Affluent</v>
      </c>
      <c r="N873" s="2" t="str">
        <f>_xlfn.XLOOKUP(Deals[[#This Row],[CustomerID]],Customers!A:A,Customers!E:E)</f>
        <v>Kuwaiti</v>
      </c>
      <c r="O873" s="2">
        <f>2026-_xlfn.XLOOKUP(Deals[[#This Row],[CustomerID]],Customers!A:A,Customers!D:D)</f>
        <v>26</v>
      </c>
      <c r="P873" s="2" t="str" cm="1">
        <f t="array" ref="P873">_xlfn.IFS(Deals[[#This Row],[Age]]&lt;30,"Under 30",Deals[[#This Row],[Age]]&lt;45,"30-44",TRUE,"45+")</f>
        <v>Under 30</v>
      </c>
      <c r="Q873" s="21">
        <f>IF(Deals[[#This Row],[Status]]="Pending","",Deals[[#This Row],[DecisionDate]]-Deals[[#This Row],[ApplicationDate]])</f>
        <v>6</v>
      </c>
      <c r="R873" s="21">
        <f>IF(Deals[[#This Row],[Status]]="Approved",1,0)</f>
        <v>1</v>
      </c>
      <c r="S873" s="21">
        <f>IF(Deals[[#This Row],[IsApproved]]=1,Deals[[#This Row],[Amount]],0)</f>
        <v>4800</v>
      </c>
      <c r="T873" s="21">
        <f>Deals[[#This Row],[ApprovedAmount]]*Deals[[#This Row],[ProfitRate]]</f>
        <v>198.24</v>
      </c>
    </row>
    <row r="874" spans="1:20">
      <c r="A874" s="2" t="s">
        <v>1538</v>
      </c>
      <c r="B874" s="3">
        <v>46213</v>
      </c>
      <c r="C874" s="2" t="s">
        <v>1060</v>
      </c>
      <c r="D874" s="2" t="s">
        <v>14</v>
      </c>
      <c r="E874" s="2" t="s">
        <v>21</v>
      </c>
      <c r="F874" s="2" t="s">
        <v>3</v>
      </c>
      <c r="G874" s="4">
        <v>119900</v>
      </c>
      <c r="H874" s="5">
        <v>3.6700000000000003E-2</v>
      </c>
      <c r="I874" s="2">
        <v>180</v>
      </c>
      <c r="J874" s="2" t="s">
        <v>48</v>
      </c>
      <c r="K874" s="2" t="s">
        <v>45</v>
      </c>
      <c r="L874" s="3">
        <v>46236</v>
      </c>
      <c r="M874" s="2" t="str">
        <f>_xlfn.XLOOKUP(Deals[[#This Row],[CustomerID]],Customers!A:A,Customers!F:F)</f>
        <v>Mass</v>
      </c>
      <c r="N874" s="2" t="str">
        <f>_xlfn.XLOOKUP(Deals[[#This Row],[CustomerID]],Customers!A:A,Customers!E:E)</f>
        <v>Non-Kuwaiti</v>
      </c>
      <c r="O874" s="2">
        <f>2026-_xlfn.XLOOKUP(Deals[[#This Row],[CustomerID]],Customers!A:A,Customers!D:D)</f>
        <v>43</v>
      </c>
      <c r="P874" s="2" t="str" cm="1">
        <f t="array" ref="P874">_xlfn.IFS(Deals[[#This Row],[Age]]&lt;30,"Under 30",Deals[[#This Row],[Age]]&lt;45,"30-44",TRUE,"45+")</f>
        <v>30-44</v>
      </c>
      <c r="Q874" s="21">
        <f>IF(Deals[[#This Row],[Status]]="Pending","",Deals[[#This Row],[DecisionDate]]-Deals[[#This Row],[ApplicationDate]])</f>
        <v>23</v>
      </c>
      <c r="R874" s="21">
        <f>IF(Deals[[#This Row],[Status]]="Approved",1,0)</f>
        <v>0</v>
      </c>
      <c r="S874" s="21">
        <f>IF(Deals[[#This Row],[IsApproved]]=1,Deals[[#This Row],[Amount]],0)</f>
        <v>0</v>
      </c>
      <c r="T874" s="21">
        <f>Deals[[#This Row],[ApprovedAmount]]*Deals[[#This Row],[ProfitRate]]</f>
        <v>0</v>
      </c>
    </row>
    <row r="875" spans="1:20">
      <c r="A875" s="2" t="s">
        <v>1539</v>
      </c>
      <c r="B875" s="3">
        <v>46214</v>
      </c>
      <c r="C875" s="2" t="s">
        <v>475</v>
      </c>
      <c r="D875" s="2" t="s">
        <v>29</v>
      </c>
      <c r="E875" s="2" t="s">
        <v>30</v>
      </c>
      <c r="F875" s="2" t="s">
        <v>3</v>
      </c>
      <c r="G875" s="4">
        <v>12900</v>
      </c>
      <c r="H875" s="5">
        <v>4.2200000000000001E-2</v>
      </c>
      <c r="I875" s="2">
        <v>60</v>
      </c>
      <c r="J875" s="2" t="s">
        <v>61</v>
      </c>
      <c r="K875" s="2" t="s">
        <v>17</v>
      </c>
      <c r="L875" s="3">
        <v>46219</v>
      </c>
      <c r="M875" s="2" t="str">
        <f>_xlfn.XLOOKUP(Deals[[#This Row],[CustomerID]],Customers!A:A,Customers!F:F)</f>
        <v>Mass</v>
      </c>
      <c r="N875" s="2" t="str">
        <f>_xlfn.XLOOKUP(Deals[[#This Row],[CustomerID]],Customers!A:A,Customers!E:E)</f>
        <v>Kuwaiti</v>
      </c>
      <c r="O875" s="2">
        <f>2026-_xlfn.XLOOKUP(Deals[[#This Row],[CustomerID]],Customers!A:A,Customers!D:D)</f>
        <v>26</v>
      </c>
      <c r="P875" s="2" t="str" cm="1">
        <f t="array" ref="P875">_xlfn.IFS(Deals[[#This Row],[Age]]&lt;30,"Under 30",Deals[[#This Row],[Age]]&lt;45,"30-44",TRUE,"45+")</f>
        <v>Under 30</v>
      </c>
      <c r="Q875" s="21">
        <f>IF(Deals[[#This Row],[Status]]="Pending","",Deals[[#This Row],[DecisionDate]]-Deals[[#This Row],[ApplicationDate]])</f>
        <v>5</v>
      </c>
      <c r="R875" s="21">
        <f>IF(Deals[[#This Row],[Status]]="Approved",1,0)</f>
        <v>1</v>
      </c>
      <c r="S875" s="21">
        <f>IF(Deals[[#This Row],[IsApproved]]=1,Deals[[#This Row],[Amount]],0)</f>
        <v>12900</v>
      </c>
      <c r="T875" s="21">
        <f>Deals[[#This Row],[ApprovedAmount]]*Deals[[#This Row],[ProfitRate]]</f>
        <v>544.38</v>
      </c>
    </row>
    <row r="876" spans="1:20">
      <c r="A876" s="2" t="s">
        <v>1540</v>
      </c>
      <c r="B876" s="3">
        <v>46214</v>
      </c>
      <c r="C876" s="2" t="s">
        <v>1000</v>
      </c>
      <c r="D876" s="2" t="s">
        <v>14</v>
      </c>
      <c r="E876" s="2" t="s">
        <v>30</v>
      </c>
      <c r="F876" s="2" t="s">
        <v>3</v>
      </c>
      <c r="G876" s="4">
        <v>15000</v>
      </c>
      <c r="H876" s="5">
        <v>3.9600000000000003E-2</v>
      </c>
      <c r="I876" s="2">
        <v>60</v>
      </c>
      <c r="J876" s="2" t="s">
        <v>16</v>
      </c>
      <c r="K876" s="2" t="s">
        <v>45</v>
      </c>
      <c r="L876" s="3">
        <v>46217</v>
      </c>
      <c r="M876" s="2" t="str">
        <f>_xlfn.XLOOKUP(Deals[[#This Row],[CustomerID]],Customers!A:A,Customers!F:F)</f>
        <v>Mass</v>
      </c>
      <c r="N876" s="2" t="str">
        <f>_xlfn.XLOOKUP(Deals[[#This Row],[CustomerID]],Customers!A:A,Customers!E:E)</f>
        <v>Non-Kuwaiti</v>
      </c>
      <c r="O876" s="2">
        <f>2026-_xlfn.XLOOKUP(Deals[[#This Row],[CustomerID]],Customers!A:A,Customers!D:D)</f>
        <v>26</v>
      </c>
      <c r="P876" s="2" t="str" cm="1">
        <f t="array" ref="P876">_xlfn.IFS(Deals[[#This Row],[Age]]&lt;30,"Under 30",Deals[[#This Row],[Age]]&lt;45,"30-44",TRUE,"45+")</f>
        <v>Under 30</v>
      </c>
      <c r="Q876" s="21">
        <f>IF(Deals[[#This Row],[Status]]="Pending","",Deals[[#This Row],[DecisionDate]]-Deals[[#This Row],[ApplicationDate]])</f>
        <v>3</v>
      </c>
      <c r="R876" s="21">
        <f>IF(Deals[[#This Row],[Status]]="Approved",1,0)</f>
        <v>0</v>
      </c>
      <c r="S876" s="21">
        <f>IF(Deals[[#This Row],[IsApproved]]=1,Deals[[#This Row],[Amount]],0)</f>
        <v>0</v>
      </c>
      <c r="T876" s="21">
        <f>Deals[[#This Row],[ApprovedAmount]]*Deals[[#This Row],[ProfitRate]]</f>
        <v>0</v>
      </c>
    </row>
    <row r="877" spans="1:20">
      <c r="A877" s="2" t="s">
        <v>1541</v>
      </c>
      <c r="B877" s="3">
        <v>46214</v>
      </c>
      <c r="C877" s="2" t="s">
        <v>284</v>
      </c>
      <c r="D877" s="2" t="s">
        <v>25</v>
      </c>
      <c r="E877" s="2" t="s">
        <v>15</v>
      </c>
      <c r="F877" s="2" t="s">
        <v>3</v>
      </c>
      <c r="G877" s="4">
        <v>7000</v>
      </c>
      <c r="H877" s="5">
        <v>5.7200000000000001E-2</v>
      </c>
      <c r="I877" s="2">
        <v>24</v>
      </c>
      <c r="J877" s="2" t="s">
        <v>181</v>
      </c>
      <c r="K877" s="2" t="s">
        <v>45</v>
      </c>
      <c r="L877" s="3">
        <v>46220</v>
      </c>
      <c r="M877" s="2" t="str">
        <f>_xlfn.XLOOKUP(Deals[[#This Row],[CustomerID]],Customers!A:A,Customers!F:F)</f>
        <v>Mass</v>
      </c>
      <c r="N877" s="2" t="str">
        <f>_xlfn.XLOOKUP(Deals[[#This Row],[CustomerID]],Customers!A:A,Customers!E:E)</f>
        <v>Non-Kuwaiti</v>
      </c>
      <c r="O877" s="2">
        <f>2026-_xlfn.XLOOKUP(Deals[[#This Row],[CustomerID]],Customers!A:A,Customers!D:D)</f>
        <v>52</v>
      </c>
      <c r="P877" s="2" t="str" cm="1">
        <f t="array" ref="P877">_xlfn.IFS(Deals[[#This Row],[Age]]&lt;30,"Under 30",Deals[[#This Row],[Age]]&lt;45,"30-44",TRUE,"45+")</f>
        <v>45+</v>
      </c>
      <c r="Q877" s="21">
        <f>IF(Deals[[#This Row],[Status]]="Pending","",Deals[[#This Row],[DecisionDate]]-Deals[[#This Row],[ApplicationDate]])</f>
        <v>6</v>
      </c>
      <c r="R877" s="21">
        <f>IF(Deals[[#This Row],[Status]]="Approved",1,0)</f>
        <v>0</v>
      </c>
      <c r="S877" s="21">
        <f>IF(Deals[[#This Row],[IsApproved]]=1,Deals[[#This Row],[Amount]],0)</f>
        <v>0</v>
      </c>
      <c r="T877" s="21">
        <f>Deals[[#This Row],[ApprovedAmount]]*Deals[[#This Row],[ProfitRate]]</f>
        <v>0</v>
      </c>
    </row>
    <row r="878" spans="1:20">
      <c r="A878" s="2" t="s">
        <v>1542</v>
      </c>
      <c r="B878" s="3">
        <v>46215</v>
      </c>
      <c r="C878" s="2" t="s">
        <v>1543</v>
      </c>
      <c r="D878" s="2" t="s">
        <v>20</v>
      </c>
      <c r="E878" s="2" t="s">
        <v>43</v>
      </c>
      <c r="F878" s="2" t="s">
        <v>3</v>
      </c>
      <c r="G878" s="4">
        <v>133000</v>
      </c>
      <c r="H878" s="5">
        <v>5.7799999999999997E-2</v>
      </c>
      <c r="I878" s="2">
        <v>84</v>
      </c>
      <c r="J878" s="2" t="s">
        <v>37</v>
      </c>
      <c r="K878" s="2" t="s">
        <v>45</v>
      </c>
      <c r="L878" s="3">
        <v>46228</v>
      </c>
      <c r="M878" s="2" t="str">
        <f>_xlfn.XLOOKUP(Deals[[#This Row],[CustomerID]],Customers!A:A,Customers!F:F)</f>
        <v>Mass</v>
      </c>
      <c r="N878" s="2" t="str">
        <f>_xlfn.XLOOKUP(Deals[[#This Row],[CustomerID]],Customers!A:A,Customers!E:E)</f>
        <v>Kuwaiti</v>
      </c>
      <c r="O878" s="2">
        <f>2026-_xlfn.XLOOKUP(Deals[[#This Row],[CustomerID]],Customers!A:A,Customers!D:D)</f>
        <v>30</v>
      </c>
      <c r="P878" s="2" t="str" cm="1">
        <f t="array" ref="P878">_xlfn.IFS(Deals[[#This Row],[Age]]&lt;30,"Under 30",Deals[[#This Row],[Age]]&lt;45,"30-44",TRUE,"45+")</f>
        <v>30-44</v>
      </c>
      <c r="Q878" s="21">
        <f>IF(Deals[[#This Row],[Status]]="Pending","",Deals[[#This Row],[DecisionDate]]-Deals[[#This Row],[ApplicationDate]])</f>
        <v>13</v>
      </c>
      <c r="R878" s="21">
        <f>IF(Deals[[#This Row],[Status]]="Approved",1,0)</f>
        <v>0</v>
      </c>
      <c r="S878" s="21">
        <f>IF(Deals[[#This Row],[IsApproved]]=1,Deals[[#This Row],[Amount]],0)</f>
        <v>0</v>
      </c>
      <c r="T878" s="21">
        <f>Deals[[#This Row],[ApprovedAmount]]*Deals[[#This Row],[ProfitRate]]</f>
        <v>0</v>
      </c>
    </row>
    <row r="879" spans="1:20">
      <c r="A879" s="2" t="s">
        <v>1544</v>
      </c>
      <c r="B879" s="3">
        <v>46215</v>
      </c>
      <c r="C879" s="2" t="s">
        <v>588</v>
      </c>
      <c r="D879" s="2" t="s">
        <v>71</v>
      </c>
      <c r="E879" s="2" t="s">
        <v>15</v>
      </c>
      <c r="F879" s="2" t="s">
        <v>3</v>
      </c>
      <c r="G879" s="4">
        <v>23400</v>
      </c>
      <c r="H879" s="5">
        <v>5.3600000000000002E-2</v>
      </c>
      <c r="I879" s="2">
        <v>24</v>
      </c>
      <c r="J879" s="2" t="s">
        <v>101</v>
      </c>
      <c r="K879" s="2" t="s">
        <v>17</v>
      </c>
      <c r="L879" s="3">
        <v>46222</v>
      </c>
      <c r="M879" s="2" t="str">
        <f>_xlfn.XLOOKUP(Deals[[#This Row],[CustomerID]],Customers!A:A,Customers!F:F)</f>
        <v>Premium</v>
      </c>
      <c r="N879" s="2" t="str">
        <f>_xlfn.XLOOKUP(Deals[[#This Row],[CustomerID]],Customers!A:A,Customers!E:E)</f>
        <v>Kuwaiti</v>
      </c>
      <c r="O879" s="2">
        <f>2026-_xlfn.XLOOKUP(Deals[[#This Row],[CustomerID]],Customers!A:A,Customers!D:D)</f>
        <v>45</v>
      </c>
      <c r="P879" s="2" t="str" cm="1">
        <f t="array" ref="P879">_xlfn.IFS(Deals[[#This Row],[Age]]&lt;30,"Under 30",Deals[[#This Row],[Age]]&lt;45,"30-44",TRUE,"45+")</f>
        <v>45+</v>
      </c>
      <c r="Q879" s="21">
        <f>IF(Deals[[#This Row],[Status]]="Pending","",Deals[[#This Row],[DecisionDate]]-Deals[[#This Row],[ApplicationDate]])</f>
        <v>7</v>
      </c>
      <c r="R879" s="21">
        <f>IF(Deals[[#This Row],[Status]]="Approved",1,0)</f>
        <v>1</v>
      </c>
      <c r="S879" s="21">
        <f>IF(Deals[[#This Row],[IsApproved]]=1,Deals[[#This Row],[Amount]],0)</f>
        <v>23400</v>
      </c>
      <c r="T879" s="21">
        <f>Deals[[#This Row],[ApprovedAmount]]*Deals[[#This Row],[ProfitRate]]</f>
        <v>1254.24</v>
      </c>
    </row>
    <row r="880" spans="1:20">
      <c r="A880" s="2" t="s">
        <v>1545</v>
      </c>
      <c r="B880" s="3">
        <v>46215</v>
      </c>
      <c r="C880" s="2" t="s">
        <v>816</v>
      </c>
      <c r="D880" s="2" t="s">
        <v>25</v>
      </c>
      <c r="E880" s="2" t="s">
        <v>15</v>
      </c>
      <c r="F880" s="2" t="s">
        <v>3</v>
      </c>
      <c r="G880" s="4">
        <v>16400</v>
      </c>
      <c r="H880" s="5">
        <v>5.3499999999999999E-2</v>
      </c>
      <c r="I880" s="2">
        <v>12</v>
      </c>
      <c r="J880" s="2" t="s">
        <v>26</v>
      </c>
      <c r="K880" s="2" t="s">
        <v>17</v>
      </c>
      <c r="L880" s="3">
        <v>46219</v>
      </c>
      <c r="M880" s="2" t="str">
        <f>_xlfn.XLOOKUP(Deals[[#This Row],[CustomerID]],Customers!A:A,Customers!F:F)</f>
        <v>Mass</v>
      </c>
      <c r="N880" s="2" t="str">
        <f>_xlfn.XLOOKUP(Deals[[#This Row],[CustomerID]],Customers!A:A,Customers!E:E)</f>
        <v>Non-Kuwaiti</v>
      </c>
      <c r="O880" s="2">
        <f>2026-_xlfn.XLOOKUP(Deals[[#This Row],[CustomerID]],Customers!A:A,Customers!D:D)</f>
        <v>36</v>
      </c>
      <c r="P880" s="2" t="str" cm="1">
        <f t="array" ref="P880">_xlfn.IFS(Deals[[#This Row],[Age]]&lt;30,"Under 30",Deals[[#This Row],[Age]]&lt;45,"30-44",TRUE,"45+")</f>
        <v>30-44</v>
      </c>
      <c r="Q880" s="21">
        <f>IF(Deals[[#This Row],[Status]]="Pending","",Deals[[#This Row],[DecisionDate]]-Deals[[#This Row],[ApplicationDate]])</f>
        <v>4</v>
      </c>
      <c r="R880" s="21">
        <f>IF(Deals[[#This Row],[Status]]="Approved",1,0)</f>
        <v>1</v>
      </c>
      <c r="S880" s="21">
        <f>IF(Deals[[#This Row],[IsApproved]]=1,Deals[[#This Row],[Amount]],0)</f>
        <v>16400</v>
      </c>
      <c r="T880" s="21">
        <f>Deals[[#This Row],[ApprovedAmount]]*Deals[[#This Row],[ProfitRate]]</f>
        <v>877.4</v>
      </c>
    </row>
    <row r="881" spans="1:20">
      <c r="A881" s="2" t="s">
        <v>1546</v>
      </c>
      <c r="B881" s="3">
        <v>46215</v>
      </c>
      <c r="C881" s="2" t="s">
        <v>1547</v>
      </c>
      <c r="D881" s="2" t="s">
        <v>25</v>
      </c>
      <c r="E881" s="2" t="s">
        <v>30</v>
      </c>
      <c r="F881" s="2" t="s">
        <v>3</v>
      </c>
      <c r="G881" s="4">
        <v>12700</v>
      </c>
      <c r="H881" s="5">
        <v>4.2599999999999999E-2</v>
      </c>
      <c r="I881" s="2">
        <v>48</v>
      </c>
      <c r="J881" s="2" t="s">
        <v>66</v>
      </c>
      <c r="K881" s="2" t="s">
        <v>17</v>
      </c>
      <c r="L881" s="3">
        <v>46219</v>
      </c>
      <c r="M881" s="2" t="str">
        <f>_xlfn.XLOOKUP(Deals[[#This Row],[CustomerID]],Customers!A:A,Customers!F:F)</f>
        <v>Affluent</v>
      </c>
      <c r="N881" s="2" t="str">
        <f>_xlfn.XLOOKUP(Deals[[#This Row],[CustomerID]],Customers!A:A,Customers!E:E)</f>
        <v>Kuwaiti</v>
      </c>
      <c r="O881" s="2">
        <f>2026-_xlfn.XLOOKUP(Deals[[#This Row],[CustomerID]],Customers!A:A,Customers!D:D)</f>
        <v>47</v>
      </c>
      <c r="P881" s="2" t="str" cm="1">
        <f t="array" ref="P881">_xlfn.IFS(Deals[[#This Row],[Age]]&lt;30,"Under 30",Deals[[#This Row],[Age]]&lt;45,"30-44",TRUE,"45+")</f>
        <v>45+</v>
      </c>
      <c r="Q881" s="21">
        <f>IF(Deals[[#This Row],[Status]]="Pending","",Deals[[#This Row],[DecisionDate]]-Deals[[#This Row],[ApplicationDate]])</f>
        <v>4</v>
      </c>
      <c r="R881" s="21">
        <f>IF(Deals[[#This Row],[Status]]="Approved",1,0)</f>
        <v>1</v>
      </c>
      <c r="S881" s="21">
        <f>IF(Deals[[#This Row],[IsApproved]]=1,Deals[[#This Row],[Amount]],0)</f>
        <v>12700</v>
      </c>
      <c r="T881" s="21">
        <f>Deals[[#This Row],[ApprovedAmount]]*Deals[[#This Row],[ProfitRate]]</f>
        <v>541.02</v>
      </c>
    </row>
    <row r="882" spans="1:20">
      <c r="A882" s="2" t="s">
        <v>1548</v>
      </c>
      <c r="B882" s="3">
        <v>46216</v>
      </c>
      <c r="C882" s="2" t="s">
        <v>557</v>
      </c>
      <c r="D882" s="2" t="s">
        <v>25</v>
      </c>
      <c r="E882" s="2" t="s">
        <v>30</v>
      </c>
      <c r="F882" s="2" t="s">
        <v>3</v>
      </c>
      <c r="G882" s="4">
        <v>5000</v>
      </c>
      <c r="H882" s="5">
        <v>3.6200000000000003E-2</v>
      </c>
      <c r="I882" s="2">
        <v>48</v>
      </c>
      <c r="J882" s="2" t="s">
        <v>181</v>
      </c>
      <c r="K882" s="2" t="s">
        <v>17</v>
      </c>
      <c r="L882" s="3">
        <v>46221</v>
      </c>
      <c r="M882" s="2" t="str">
        <f>_xlfn.XLOOKUP(Deals[[#This Row],[CustomerID]],Customers!A:A,Customers!F:F)</f>
        <v>Mass</v>
      </c>
      <c r="N882" s="2" t="str">
        <f>_xlfn.XLOOKUP(Deals[[#This Row],[CustomerID]],Customers!A:A,Customers!E:E)</f>
        <v>Non-Kuwaiti</v>
      </c>
      <c r="O882" s="2">
        <f>2026-_xlfn.XLOOKUP(Deals[[#This Row],[CustomerID]],Customers!A:A,Customers!D:D)</f>
        <v>29</v>
      </c>
      <c r="P882" s="2" t="str" cm="1">
        <f t="array" ref="P882">_xlfn.IFS(Deals[[#This Row],[Age]]&lt;30,"Under 30",Deals[[#This Row],[Age]]&lt;45,"30-44",TRUE,"45+")</f>
        <v>Under 30</v>
      </c>
      <c r="Q882" s="21">
        <f>IF(Deals[[#This Row],[Status]]="Pending","",Deals[[#This Row],[DecisionDate]]-Deals[[#This Row],[ApplicationDate]])</f>
        <v>5</v>
      </c>
      <c r="R882" s="21">
        <f>IF(Deals[[#This Row],[Status]]="Approved",1,0)</f>
        <v>1</v>
      </c>
      <c r="S882" s="21">
        <f>IF(Deals[[#This Row],[IsApproved]]=1,Deals[[#This Row],[Amount]],0)</f>
        <v>5000</v>
      </c>
      <c r="T882" s="21">
        <f>Deals[[#This Row],[ApprovedAmount]]*Deals[[#This Row],[ProfitRate]]</f>
        <v>181.00000000000003</v>
      </c>
    </row>
    <row r="883" spans="1:20">
      <c r="A883" s="2" t="s">
        <v>1549</v>
      </c>
      <c r="B883" s="3">
        <v>46216</v>
      </c>
      <c r="C883" s="2" t="s">
        <v>1550</v>
      </c>
      <c r="D883" s="2" t="s">
        <v>25</v>
      </c>
      <c r="E883" s="2" t="s">
        <v>43</v>
      </c>
      <c r="F883" s="2" t="s">
        <v>55</v>
      </c>
      <c r="G883" s="4">
        <v>27800</v>
      </c>
      <c r="H883" s="5">
        <v>6.5199999999999994E-2</v>
      </c>
      <c r="I883" s="2">
        <v>84</v>
      </c>
      <c r="J883" s="2" t="s">
        <v>26</v>
      </c>
      <c r="K883" s="2" t="s">
        <v>45</v>
      </c>
      <c r="L883" s="3">
        <v>46236</v>
      </c>
      <c r="M883" s="2" t="str">
        <f>_xlfn.XLOOKUP(Deals[[#This Row],[CustomerID]],Customers!A:A,Customers!F:F)</f>
        <v>Mass</v>
      </c>
      <c r="N883" s="2" t="str">
        <f>_xlfn.XLOOKUP(Deals[[#This Row],[CustomerID]],Customers!A:A,Customers!E:E)</f>
        <v>Kuwaiti</v>
      </c>
      <c r="O883" s="2">
        <f>2026-_xlfn.XLOOKUP(Deals[[#This Row],[CustomerID]],Customers!A:A,Customers!D:D)</f>
        <v>42</v>
      </c>
      <c r="P883" s="2" t="str" cm="1">
        <f t="array" ref="P883">_xlfn.IFS(Deals[[#This Row],[Age]]&lt;30,"Under 30",Deals[[#This Row],[Age]]&lt;45,"30-44",TRUE,"45+")</f>
        <v>30-44</v>
      </c>
      <c r="Q883" s="21">
        <f>IF(Deals[[#This Row],[Status]]="Pending","",Deals[[#This Row],[DecisionDate]]-Deals[[#This Row],[ApplicationDate]])</f>
        <v>20</v>
      </c>
      <c r="R883" s="21">
        <f>IF(Deals[[#This Row],[Status]]="Approved",1,0)</f>
        <v>0</v>
      </c>
      <c r="S883" s="21">
        <f>IF(Deals[[#This Row],[IsApproved]]=1,Deals[[#This Row],[Amount]],0)</f>
        <v>0</v>
      </c>
      <c r="T883" s="21">
        <f>Deals[[#This Row],[ApprovedAmount]]*Deals[[#This Row],[ProfitRate]]</f>
        <v>0</v>
      </c>
    </row>
    <row r="884" spans="1:20">
      <c r="A884" s="2" t="s">
        <v>1551</v>
      </c>
      <c r="B884" s="3">
        <v>46216</v>
      </c>
      <c r="C884" s="2" t="s">
        <v>1335</v>
      </c>
      <c r="D884" s="2" t="s">
        <v>29</v>
      </c>
      <c r="E884" s="2" t="s">
        <v>30</v>
      </c>
      <c r="F884" s="2" t="s">
        <v>55</v>
      </c>
      <c r="G884" s="4">
        <v>4900</v>
      </c>
      <c r="H884" s="5">
        <v>3.7900000000000003E-2</v>
      </c>
      <c r="I884" s="2">
        <v>48</v>
      </c>
      <c r="J884" s="2" t="s">
        <v>32</v>
      </c>
      <c r="K884" s="2" t="s">
        <v>17</v>
      </c>
      <c r="L884" s="3">
        <v>46218</v>
      </c>
      <c r="M884" s="2" t="str">
        <f>_xlfn.XLOOKUP(Deals[[#This Row],[CustomerID]],Customers!A:A,Customers!F:F)</f>
        <v>Mass</v>
      </c>
      <c r="N884" s="2" t="str">
        <f>_xlfn.XLOOKUP(Deals[[#This Row],[CustomerID]],Customers!A:A,Customers!E:E)</f>
        <v>Kuwaiti</v>
      </c>
      <c r="O884" s="2">
        <f>2026-_xlfn.XLOOKUP(Deals[[#This Row],[CustomerID]],Customers!A:A,Customers!D:D)</f>
        <v>47</v>
      </c>
      <c r="P884" s="2" t="str" cm="1">
        <f t="array" ref="P884">_xlfn.IFS(Deals[[#This Row],[Age]]&lt;30,"Under 30",Deals[[#This Row],[Age]]&lt;45,"30-44",TRUE,"45+")</f>
        <v>45+</v>
      </c>
      <c r="Q884" s="21">
        <f>IF(Deals[[#This Row],[Status]]="Pending","",Deals[[#This Row],[DecisionDate]]-Deals[[#This Row],[ApplicationDate]])</f>
        <v>2</v>
      </c>
      <c r="R884" s="21">
        <f>IF(Deals[[#This Row],[Status]]="Approved",1,0)</f>
        <v>1</v>
      </c>
      <c r="S884" s="21">
        <f>IF(Deals[[#This Row],[IsApproved]]=1,Deals[[#This Row],[Amount]],0)</f>
        <v>4900</v>
      </c>
      <c r="T884" s="21">
        <f>Deals[[#This Row],[ApprovedAmount]]*Deals[[#This Row],[ProfitRate]]</f>
        <v>185.71</v>
      </c>
    </row>
    <row r="885" spans="1:20">
      <c r="A885" s="2" t="s">
        <v>1552</v>
      </c>
      <c r="B885" s="3">
        <v>46216</v>
      </c>
      <c r="C885" s="2" t="s">
        <v>1380</v>
      </c>
      <c r="D885" s="2" t="s">
        <v>20</v>
      </c>
      <c r="E885" s="2" t="s">
        <v>43</v>
      </c>
      <c r="F885" s="2" t="s">
        <v>3</v>
      </c>
      <c r="G885" s="4">
        <v>33600</v>
      </c>
      <c r="H885" s="5">
        <v>7.3999999999999996E-2</v>
      </c>
      <c r="I885" s="2">
        <v>36</v>
      </c>
      <c r="J885" s="2" t="s">
        <v>22</v>
      </c>
      <c r="K885" s="2" t="s">
        <v>17</v>
      </c>
      <c r="L885" s="3">
        <v>46231</v>
      </c>
      <c r="M885" s="2" t="str">
        <f>_xlfn.XLOOKUP(Deals[[#This Row],[CustomerID]],Customers!A:A,Customers!F:F)</f>
        <v>Affluent</v>
      </c>
      <c r="N885" s="2" t="str">
        <f>_xlfn.XLOOKUP(Deals[[#This Row],[CustomerID]],Customers!A:A,Customers!E:E)</f>
        <v>Kuwaiti</v>
      </c>
      <c r="O885" s="2">
        <f>2026-_xlfn.XLOOKUP(Deals[[#This Row],[CustomerID]],Customers!A:A,Customers!D:D)</f>
        <v>23</v>
      </c>
      <c r="P885" s="2" t="str" cm="1">
        <f t="array" ref="P885">_xlfn.IFS(Deals[[#This Row],[Age]]&lt;30,"Under 30",Deals[[#This Row],[Age]]&lt;45,"30-44",TRUE,"45+")</f>
        <v>Under 30</v>
      </c>
      <c r="Q885" s="21">
        <f>IF(Deals[[#This Row],[Status]]="Pending","",Deals[[#This Row],[DecisionDate]]-Deals[[#This Row],[ApplicationDate]])</f>
        <v>15</v>
      </c>
      <c r="R885" s="21">
        <f>IF(Deals[[#This Row],[Status]]="Approved",1,0)</f>
        <v>1</v>
      </c>
      <c r="S885" s="21">
        <f>IF(Deals[[#This Row],[IsApproved]]=1,Deals[[#This Row],[Amount]],0)</f>
        <v>33600</v>
      </c>
      <c r="T885" s="21">
        <f>Deals[[#This Row],[ApprovedAmount]]*Deals[[#This Row],[ProfitRate]]</f>
        <v>2486.4</v>
      </c>
    </row>
    <row r="886" spans="1:20">
      <c r="A886" s="2" t="s">
        <v>1553</v>
      </c>
      <c r="B886" s="3">
        <v>46216</v>
      </c>
      <c r="C886" s="2" t="s">
        <v>1068</v>
      </c>
      <c r="D886" s="2" t="s">
        <v>14</v>
      </c>
      <c r="E886" s="2" t="s">
        <v>21</v>
      </c>
      <c r="F886" s="2" t="s">
        <v>31</v>
      </c>
      <c r="G886" s="4">
        <v>295200</v>
      </c>
      <c r="H886" s="5">
        <v>3.0499999999999999E-2</v>
      </c>
      <c r="I886" s="2">
        <v>240</v>
      </c>
      <c r="J886" s="2" t="s">
        <v>40</v>
      </c>
      <c r="K886" s="2" t="s">
        <v>45</v>
      </c>
      <c r="L886" s="3">
        <v>46244</v>
      </c>
      <c r="M886" s="2" t="str">
        <f>_xlfn.XLOOKUP(Deals[[#This Row],[CustomerID]],Customers!A:A,Customers!F:F)</f>
        <v>Premium</v>
      </c>
      <c r="N886" s="2" t="str">
        <f>_xlfn.XLOOKUP(Deals[[#This Row],[CustomerID]],Customers!A:A,Customers!E:E)</f>
        <v>Kuwaiti</v>
      </c>
      <c r="O886" s="2">
        <f>2026-_xlfn.XLOOKUP(Deals[[#This Row],[CustomerID]],Customers!A:A,Customers!D:D)</f>
        <v>45</v>
      </c>
      <c r="P886" s="2" t="str" cm="1">
        <f t="array" ref="P886">_xlfn.IFS(Deals[[#This Row],[Age]]&lt;30,"Under 30",Deals[[#This Row],[Age]]&lt;45,"30-44",TRUE,"45+")</f>
        <v>45+</v>
      </c>
      <c r="Q886" s="21">
        <f>IF(Deals[[#This Row],[Status]]="Pending","",Deals[[#This Row],[DecisionDate]]-Deals[[#This Row],[ApplicationDate]])</f>
        <v>28</v>
      </c>
      <c r="R886" s="21">
        <f>IF(Deals[[#This Row],[Status]]="Approved",1,0)</f>
        <v>0</v>
      </c>
      <c r="S886" s="21">
        <f>IF(Deals[[#This Row],[IsApproved]]=1,Deals[[#This Row],[Amount]],0)</f>
        <v>0</v>
      </c>
      <c r="T886" s="21">
        <f>Deals[[#This Row],[ApprovedAmount]]*Deals[[#This Row],[ProfitRate]]</f>
        <v>0</v>
      </c>
    </row>
    <row r="887" spans="1:20">
      <c r="A887" s="2" t="s">
        <v>1554</v>
      </c>
      <c r="B887" s="3">
        <v>46216</v>
      </c>
      <c r="C887" s="2" t="s">
        <v>1272</v>
      </c>
      <c r="D887" s="2" t="s">
        <v>14</v>
      </c>
      <c r="E887" s="2" t="s">
        <v>30</v>
      </c>
      <c r="F887" s="2" t="s">
        <v>3</v>
      </c>
      <c r="G887" s="4">
        <v>4700</v>
      </c>
      <c r="H887" s="5">
        <v>3.5900000000000001E-2</v>
      </c>
      <c r="I887" s="2">
        <v>60</v>
      </c>
      <c r="J887" s="2" t="s">
        <v>48</v>
      </c>
      <c r="K887" s="2" t="s">
        <v>17</v>
      </c>
      <c r="L887" s="3">
        <v>46218</v>
      </c>
      <c r="M887" s="2" t="str">
        <f>_xlfn.XLOOKUP(Deals[[#This Row],[CustomerID]],Customers!A:A,Customers!F:F)</f>
        <v>Affluent</v>
      </c>
      <c r="N887" s="2" t="str">
        <f>_xlfn.XLOOKUP(Deals[[#This Row],[CustomerID]],Customers!A:A,Customers!E:E)</f>
        <v>Kuwaiti</v>
      </c>
      <c r="O887" s="2">
        <f>2026-_xlfn.XLOOKUP(Deals[[#This Row],[CustomerID]],Customers!A:A,Customers!D:D)</f>
        <v>24</v>
      </c>
      <c r="P887" s="2" t="str" cm="1">
        <f t="array" ref="P887">_xlfn.IFS(Deals[[#This Row],[Age]]&lt;30,"Under 30",Deals[[#This Row],[Age]]&lt;45,"30-44",TRUE,"45+")</f>
        <v>Under 30</v>
      </c>
      <c r="Q887" s="21">
        <f>IF(Deals[[#This Row],[Status]]="Pending","",Deals[[#This Row],[DecisionDate]]-Deals[[#This Row],[ApplicationDate]])</f>
        <v>2</v>
      </c>
      <c r="R887" s="21">
        <f>IF(Deals[[#This Row],[Status]]="Approved",1,0)</f>
        <v>1</v>
      </c>
      <c r="S887" s="21">
        <f>IF(Deals[[#This Row],[IsApproved]]=1,Deals[[#This Row],[Amount]],0)</f>
        <v>4700</v>
      </c>
      <c r="T887" s="21">
        <f>Deals[[#This Row],[ApprovedAmount]]*Deals[[#This Row],[ProfitRate]]</f>
        <v>168.73000000000002</v>
      </c>
    </row>
    <row r="888" spans="1:20">
      <c r="A888" s="2" t="s">
        <v>1555</v>
      </c>
      <c r="B888" s="3">
        <v>46217</v>
      </c>
      <c r="C888" s="2" t="s">
        <v>537</v>
      </c>
      <c r="D888" s="2" t="s">
        <v>71</v>
      </c>
      <c r="E888" s="2" t="s">
        <v>30</v>
      </c>
      <c r="F888" s="2" t="s">
        <v>31</v>
      </c>
      <c r="G888" s="4">
        <v>12400</v>
      </c>
      <c r="H888" s="5">
        <v>4.5199999999999997E-2</v>
      </c>
      <c r="I888" s="2">
        <v>60</v>
      </c>
      <c r="J888" s="2" t="s">
        <v>101</v>
      </c>
      <c r="K888" s="2" t="s">
        <v>45</v>
      </c>
      <c r="L888" s="3">
        <v>46224</v>
      </c>
      <c r="M888" s="2" t="str">
        <f>_xlfn.XLOOKUP(Deals[[#This Row],[CustomerID]],Customers!A:A,Customers!F:F)</f>
        <v>Mass</v>
      </c>
      <c r="N888" s="2" t="str">
        <f>_xlfn.XLOOKUP(Deals[[#This Row],[CustomerID]],Customers!A:A,Customers!E:E)</f>
        <v>Kuwaiti</v>
      </c>
      <c r="O888" s="2">
        <f>2026-_xlfn.XLOOKUP(Deals[[#This Row],[CustomerID]],Customers!A:A,Customers!D:D)</f>
        <v>30</v>
      </c>
      <c r="P888" s="2" t="str" cm="1">
        <f t="array" ref="P888">_xlfn.IFS(Deals[[#This Row],[Age]]&lt;30,"Under 30",Deals[[#This Row],[Age]]&lt;45,"30-44",TRUE,"45+")</f>
        <v>30-44</v>
      </c>
      <c r="Q888" s="21">
        <f>IF(Deals[[#This Row],[Status]]="Pending","",Deals[[#This Row],[DecisionDate]]-Deals[[#This Row],[ApplicationDate]])</f>
        <v>7</v>
      </c>
      <c r="R888" s="21">
        <f>IF(Deals[[#This Row],[Status]]="Approved",1,0)</f>
        <v>0</v>
      </c>
      <c r="S888" s="21">
        <f>IF(Deals[[#This Row],[IsApproved]]=1,Deals[[#This Row],[Amount]],0)</f>
        <v>0</v>
      </c>
      <c r="T888" s="21">
        <f>Deals[[#This Row],[ApprovedAmount]]*Deals[[#This Row],[ProfitRate]]</f>
        <v>0</v>
      </c>
    </row>
    <row r="889" spans="1:20">
      <c r="A889" s="2" t="s">
        <v>1556</v>
      </c>
      <c r="B889" s="3">
        <v>46217</v>
      </c>
      <c r="C889" s="2" t="s">
        <v>888</v>
      </c>
      <c r="D889" s="2" t="s">
        <v>20</v>
      </c>
      <c r="E889" s="2" t="s">
        <v>30</v>
      </c>
      <c r="F889" s="2" t="s">
        <v>31</v>
      </c>
      <c r="G889" s="4">
        <v>13100</v>
      </c>
      <c r="H889" s="5">
        <v>0.04</v>
      </c>
      <c r="I889" s="2">
        <v>48</v>
      </c>
      <c r="J889" s="2" t="s">
        <v>44</v>
      </c>
      <c r="K889" s="2" t="s">
        <v>17</v>
      </c>
      <c r="L889" s="3">
        <v>46220</v>
      </c>
      <c r="M889" s="2" t="str">
        <f>_xlfn.XLOOKUP(Deals[[#This Row],[CustomerID]],Customers!A:A,Customers!F:F)</f>
        <v>Affluent</v>
      </c>
      <c r="N889" s="2" t="str">
        <f>_xlfn.XLOOKUP(Deals[[#This Row],[CustomerID]],Customers!A:A,Customers!E:E)</f>
        <v>Kuwaiti</v>
      </c>
      <c r="O889" s="2">
        <f>2026-_xlfn.XLOOKUP(Deals[[#This Row],[CustomerID]],Customers!A:A,Customers!D:D)</f>
        <v>24</v>
      </c>
      <c r="P889" s="2" t="str" cm="1">
        <f t="array" ref="P889">_xlfn.IFS(Deals[[#This Row],[Age]]&lt;30,"Under 30",Deals[[#This Row],[Age]]&lt;45,"30-44",TRUE,"45+")</f>
        <v>Under 30</v>
      </c>
      <c r="Q889" s="21">
        <f>IF(Deals[[#This Row],[Status]]="Pending","",Deals[[#This Row],[DecisionDate]]-Deals[[#This Row],[ApplicationDate]])</f>
        <v>3</v>
      </c>
      <c r="R889" s="21">
        <f>IF(Deals[[#This Row],[Status]]="Approved",1,0)</f>
        <v>1</v>
      </c>
      <c r="S889" s="21">
        <f>IF(Deals[[#This Row],[IsApproved]]=1,Deals[[#This Row],[Amount]],0)</f>
        <v>13100</v>
      </c>
      <c r="T889" s="21">
        <f>Deals[[#This Row],[ApprovedAmount]]*Deals[[#This Row],[ProfitRate]]</f>
        <v>524</v>
      </c>
    </row>
    <row r="890" spans="1:20">
      <c r="A890" s="2" t="s">
        <v>1557</v>
      </c>
      <c r="B890" s="3">
        <v>46217</v>
      </c>
      <c r="C890" s="2" t="s">
        <v>1558</v>
      </c>
      <c r="D890" s="2" t="s">
        <v>14</v>
      </c>
      <c r="E890" s="2" t="s">
        <v>15</v>
      </c>
      <c r="F890" s="2" t="s">
        <v>3</v>
      </c>
      <c r="G890" s="4">
        <v>6600</v>
      </c>
      <c r="H890" s="5">
        <v>5.57E-2</v>
      </c>
      <c r="I890" s="2">
        <v>12</v>
      </c>
      <c r="J890" s="2" t="s">
        <v>40</v>
      </c>
      <c r="K890" s="2" t="s">
        <v>45</v>
      </c>
      <c r="L890" s="3">
        <v>46219</v>
      </c>
      <c r="M890" s="2" t="str">
        <f>_xlfn.XLOOKUP(Deals[[#This Row],[CustomerID]],Customers!A:A,Customers!F:F)</f>
        <v>Mass</v>
      </c>
      <c r="N890" s="2" t="str">
        <f>_xlfn.XLOOKUP(Deals[[#This Row],[CustomerID]],Customers!A:A,Customers!E:E)</f>
        <v>Non-Kuwaiti</v>
      </c>
      <c r="O890" s="2">
        <f>2026-_xlfn.XLOOKUP(Deals[[#This Row],[CustomerID]],Customers!A:A,Customers!D:D)</f>
        <v>39</v>
      </c>
      <c r="P890" s="2" t="str" cm="1">
        <f t="array" ref="P890">_xlfn.IFS(Deals[[#This Row],[Age]]&lt;30,"Under 30",Deals[[#This Row],[Age]]&lt;45,"30-44",TRUE,"45+")</f>
        <v>30-44</v>
      </c>
      <c r="Q890" s="21">
        <f>IF(Deals[[#This Row],[Status]]="Pending","",Deals[[#This Row],[DecisionDate]]-Deals[[#This Row],[ApplicationDate]])</f>
        <v>2</v>
      </c>
      <c r="R890" s="21">
        <f>IF(Deals[[#This Row],[Status]]="Approved",1,0)</f>
        <v>0</v>
      </c>
      <c r="S890" s="21">
        <f>IF(Deals[[#This Row],[IsApproved]]=1,Deals[[#This Row],[Amount]],0)</f>
        <v>0</v>
      </c>
      <c r="T890" s="21">
        <f>Deals[[#This Row],[ApprovedAmount]]*Deals[[#This Row],[ProfitRate]]</f>
        <v>0</v>
      </c>
    </row>
    <row r="891" spans="1:20">
      <c r="A891" s="2" t="s">
        <v>1559</v>
      </c>
      <c r="B891" s="3">
        <v>46217</v>
      </c>
      <c r="C891" s="2" t="s">
        <v>445</v>
      </c>
      <c r="D891" s="2" t="s">
        <v>14</v>
      </c>
      <c r="E891" s="2" t="s">
        <v>15</v>
      </c>
      <c r="F891" s="2" t="s">
        <v>55</v>
      </c>
      <c r="G891" s="4">
        <v>3300</v>
      </c>
      <c r="H891" s="5">
        <v>7.0000000000000007E-2</v>
      </c>
      <c r="I891" s="2">
        <v>12</v>
      </c>
      <c r="J891" s="2" t="s">
        <v>48</v>
      </c>
      <c r="K891" s="2" t="s">
        <v>17</v>
      </c>
      <c r="L891" s="3">
        <v>46219</v>
      </c>
      <c r="M891" s="2" t="str">
        <f>_xlfn.XLOOKUP(Deals[[#This Row],[CustomerID]],Customers!A:A,Customers!F:F)</f>
        <v>Mass</v>
      </c>
      <c r="N891" s="2" t="str">
        <f>_xlfn.XLOOKUP(Deals[[#This Row],[CustomerID]],Customers!A:A,Customers!E:E)</f>
        <v>Kuwaiti</v>
      </c>
      <c r="O891" s="2">
        <f>2026-_xlfn.XLOOKUP(Deals[[#This Row],[CustomerID]],Customers!A:A,Customers!D:D)</f>
        <v>43</v>
      </c>
      <c r="P891" s="2" t="str" cm="1">
        <f t="array" ref="P891">_xlfn.IFS(Deals[[#This Row],[Age]]&lt;30,"Under 30",Deals[[#This Row],[Age]]&lt;45,"30-44",TRUE,"45+")</f>
        <v>30-44</v>
      </c>
      <c r="Q891" s="21">
        <f>IF(Deals[[#This Row],[Status]]="Pending","",Deals[[#This Row],[DecisionDate]]-Deals[[#This Row],[ApplicationDate]])</f>
        <v>2</v>
      </c>
      <c r="R891" s="21">
        <f>IF(Deals[[#This Row],[Status]]="Approved",1,0)</f>
        <v>1</v>
      </c>
      <c r="S891" s="21">
        <f>IF(Deals[[#This Row],[IsApproved]]=1,Deals[[#This Row],[Amount]],0)</f>
        <v>3300</v>
      </c>
      <c r="T891" s="21">
        <f>Deals[[#This Row],[ApprovedAmount]]*Deals[[#This Row],[ProfitRate]]</f>
        <v>231.00000000000003</v>
      </c>
    </row>
    <row r="892" spans="1:20">
      <c r="A892" s="2" t="s">
        <v>1560</v>
      </c>
      <c r="B892" s="3">
        <v>46217</v>
      </c>
      <c r="C892" s="2" t="s">
        <v>1081</v>
      </c>
      <c r="D892" s="2" t="s">
        <v>25</v>
      </c>
      <c r="E892" s="2" t="s">
        <v>30</v>
      </c>
      <c r="F892" s="2" t="s">
        <v>3</v>
      </c>
      <c r="G892" s="4">
        <v>12400</v>
      </c>
      <c r="H892" s="5">
        <v>4.48E-2</v>
      </c>
      <c r="I892" s="2">
        <v>48</v>
      </c>
      <c r="J892" s="2" t="s">
        <v>26</v>
      </c>
      <c r="K892" s="2" t="s">
        <v>17</v>
      </c>
      <c r="L892" s="3">
        <v>46220</v>
      </c>
      <c r="M892" s="2" t="str">
        <f>_xlfn.XLOOKUP(Deals[[#This Row],[CustomerID]],Customers!A:A,Customers!F:F)</f>
        <v>Affluent</v>
      </c>
      <c r="N892" s="2" t="str">
        <f>_xlfn.XLOOKUP(Deals[[#This Row],[CustomerID]],Customers!A:A,Customers!E:E)</f>
        <v>Kuwaiti</v>
      </c>
      <c r="O892" s="2">
        <f>2026-_xlfn.XLOOKUP(Deals[[#This Row],[CustomerID]],Customers!A:A,Customers!D:D)</f>
        <v>45</v>
      </c>
      <c r="P892" s="2" t="str" cm="1">
        <f t="array" ref="P892">_xlfn.IFS(Deals[[#This Row],[Age]]&lt;30,"Under 30",Deals[[#This Row],[Age]]&lt;45,"30-44",TRUE,"45+")</f>
        <v>45+</v>
      </c>
      <c r="Q892" s="21">
        <f>IF(Deals[[#This Row],[Status]]="Pending","",Deals[[#This Row],[DecisionDate]]-Deals[[#This Row],[ApplicationDate]])</f>
        <v>3</v>
      </c>
      <c r="R892" s="21">
        <f>IF(Deals[[#This Row],[Status]]="Approved",1,0)</f>
        <v>1</v>
      </c>
      <c r="S892" s="21">
        <f>IF(Deals[[#This Row],[IsApproved]]=1,Deals[[#This Row],[Amount]],0)</f>
        <v>12400</v>
      </c>
      <c r="T892" s="21">
        <f>Deals[[#This Row],[ApprovedAmount]]*Deals[[#This Row],[ProfitRate]]</f>
        <v>555.52</v>
      </c>
    </row>
    <row r="893" spans="1:20">
      <c r="A893" s="2" t="s">
        <v>1561</v>
      </c>
      <c r="B893" s="3">
        <v>46217</v>
      </c>
      <c r="C893" s="2" t="s">
        <v>1562</v>
      </c>
      <c r="D893" s="2" t="s">
        <v>20</v>
      </c>
      <c r="E893" s="2" t="s">
        <v>43</v>
      </c>
      <c r="F893" s="2" t="s">
        <v>31</v>
      </c>
      <c r="G893" s="4">
        <v>25100</v>
      </c>
      <c r="H893" s="5">
        <v>7.8200000000000006E-2</v>
      </c>
      <c r="I893" s="2">
        <v>60</v>
      </c>
      <c r="J893" s="2" t="s">
        <v>44</v>
      </c>
      <c r="K893" s="2" t="s">
        <v>45</v>
      </c>
      <c r="L893" s="3">
        <v>46233</v>
      </c>
      <c r="M893" s="2" t="str">
        <f>_xlfn.XLOOKUP(Deals[[#This Row],[CustomerID]],Customers!A:A,Customers!F:F)</f>
        <v>Mass</v>
      </c>
      <c r="N893" s="2" t="str">
        <f>_xlfn.XLOOKUP(Deals[[#This Row],[CustomerID]],Customers!A:A,Customers!E:E)</f>
        <v>Kuwaiti</v>
      </c>
      <c r="O893" s="2">
        <f>2026-_xlfn.XLOOKUP(Deals[[#This Row],[CustomerID]],Customers!A:A,Customers!D:D)</f>
        <v>55</v>
      </c>
      <c r="P893" s="2" t="str" cm="1">
        <f t="array" ref="P893">_xlfn.IFS(Deals[[#This Row],[Age]]&lt;30,"Under 30",Deals[[#This Row],[Age]]&lt;45,"30-44",TRUE,"45+")</f>
        <v>45+</v>
      </c>
      <c r="Q893" s="21">
        <f>IF(Deals[[#This Row],[Status]]="Pending","",Deals[[#This Row],[DecisionDate]]-Deals[[#This Row],[ApplicationDate]])</f>
        <v>16</v>
      </c>
      <c r="R893" s="21">
        <f>IF(Deals[[#This Row],[Status]]="Approved",1,0)</f>
        <v>0</v>
      </c>
      <c r="S893" s="21">
        <f>IF(Deals[[#This Row],[IsApproved]]=1,Deals[[#This Row],[Amount]],0)</f>
        <v>0</v>
      </c>
      <c r="T893" s="21">
        <f>Deals[[#This Row],[ApprovedAmount]]*Deals[[#This Row],[ProfitRate]]</f>
        <v>0</v>
      </c>
    </row>
    <row r="894" spans="1:20">
      <c r="A894" s="2" t="s">
        <v>1563</v>
      </c>
      <c r="B894" s="3">
        <v>46217</v>
      </c>
      <c r="C894" s="2" t="s">
        <v>1564</v>
      </c>
      <c r="D894" s="2" t="s">
        <v>14</v>
      </c>
      <c r="E894" s="2" t="s">
        <v>30</v>
      </c>
      <c r="F894" s="2" t="s">
        <v>3</v>
      </c>
      <c r="G894" s="4">
        <v>10700</v>
      </c>
      <c r="H894" s="5">
        <v>4.0300000000000002E-2</v>
      </c>
      <c r="I894" s="2">
        <v>60</v>
      </c>
      <c r="J894" s="2" t="s">
        <v>40</v>
      </c>
      <c r="K894" s="2" t="s">
        <v>17</v>
      </c>
      <c r="L894" s="3">
        <v>46222</v>
      </c>
      <c r="M894" s="2" t="str">
        <f>_xlfn.XLOOKUP(Deals[[#This Row],[CustomerID]],Customers!A:A,Customers!F:F)</f>
        <v>Affluent</v>
      </c>
      <c r="N894" s="2" t="str">
        <f>_xlfn.XLOOKUP(Deals[[#This Row],[CustomerID]],Customers!A:A,Customers!E:E)</f>
        <v>Kuwaiti</v>
      </c>
      <c r="O894" s="2">
        <f>2026-_xlfn.XLOOKUP(Deals[[#This Row],[CustomerID]],Customers!A:A,Customers!D:D)</f>
        <v>51</v>
      </c>
      <c r="P894" s="2" t="str" cm="1">
        <f t="array" ref="P894">_xlfn.IFS(Deals[[#This Row],[Age]]&lt;30,"Under 30",Deals[[#This Row],[Age]]&lt;45,"30-44",TRUE,"45+")</f>
        <v>45+</v>
      </c>
      <c r="Q894" s="21">
        <f>IF(Deals[[#This Row],[Status]]="Pending","",Deals[[#This Row],[DecisionDate]]-Deals[[#This Row],[ApplicationDate]])</f>
        <v>5</v>
      </c>
      <c r="R894" s="21">
        <f>IF(Deals[[#This Row],[Status]]="Approved",1,0)</f>
        <v>1</v>
      </c>
      <c r="S894" s="21">
        <f>IF(Deals[[#This Row],[IsApproved]]=1,Deals[[#This Row],[Amount]],0)</f>
        <v>10700</v>
      </c>
      <c r="T894" s="21">
        <f>Deals[[#This Row],[ApprovedAmount]]*Deals[[#This Row],[ProfitRate]]</f>
        <v>431.21000000000004</v>
      </c>
    </row>
    <row r="895" spans="1:20">
      <c r="A895" s="2" t="s">
        <v>1565</v>
      </c>
      <c r="B895" s="3">
        <v>46218</v>
      </c>
      <c r="C895" s="2" t="s">
        <v>579</v>
      </c>
      <c r="D895" s="2" t="s">
        <v>14</v>
      </c>
      <c r="E895" s="2" t="s">
        <v>15</v>
      </c>
      <c r="F895" s="2" t="s">
        <v>31</v>
      </c>
      <c r="G895" s="4">
        <v>19200</v>
      </c>
      <c r="H895" s="5">
        <v>6.7500000000000004E-2</v>
      </c>
      <c r="I895" s="2">
        <v>60</v>
      </c>
      <c r="J895" s="2" t="s">
        <v>16</v>
      </c>
      <c r="K895" s="2" t="s">
        <v>45</v>
      </c>
      <c r="L895" s="3">
        <v>46220</v>
      </c>
      <c r="M895" s="2" t="str">
        <f>_xlfn.XLOOKUP(Deals[[#This Row],[CustomerID]],Customers!A:A,Customers!F:F)</f>
        <v>Premium</v>
      </c>
      <c r="N895" s="2" t="str">
        <f>_xlfn.XLOOKUP(Deals[[#This Row],[CustomerID]],Customers!A:A,Customers!E:E)</f>
        <v>Kuwaiti</v>
      </c>
      <c r="O895" s="2">
        <f>2026-_xlfn.XLOOKUP(Deals[[#This Row],[CustomerID]],Customers!A:A,Customers!D:D)</f>
        <v>29</v>
      </c>
      <c r="P895" s="2" t="str" cm="1">
        <f t="array" ref="P895">_xlfn.IFS(Deals[[#This Row],[Age]]&lt;30,"Under 30",Deals[[#This Row],[Age]]&lt;45,"30-44",TRUE,"45+")</f>
        <v>Under 30</v>
      </c>
      <c r="Q895" s="21">
        <f>IF(Deals[[#This Row],[Status]]="Pending","",Deals[[#This Row],[DecisionDate]]-Deals[[#This Row],[ApplicationDate]])</f>
        <v>2</v>
      </c>
      <c r="R895" s="21">
        <f>IF(Deals[[#This Row],[Status]]="Approved",1,0)</f>
        <v>0</v>
      </c>
      <c r="S895" s="21">
        <f>IF(Deals[[#This Row],[IsApproved]]=1,Deals[[#This Row],[Amount]],0)</f>
        <v>0</v>
      </c>
      <c r="T895" s="21">
        <f>Deals[[#This Row],[ApprovedAmount]]*Deals[[#This Row],[ProfitRate]]</f>
        <v>0</v>
      </c>
    </row>
    <row r="896" spans="1:20">
      <c r="A896" s="2" t="s">
        <v>1566</v>
      </c>
      <c r="B896" s="3">
        <v>46218</v>
      </c>
      <c r="C896" s="2" t="s">
        <v>1567</v>
      </c>
      <c r="D896" s="2" t="s">
        <v>14</v>
      </c>
      <c r="E896" s="2" t="s">
        <v>30</v>
      </c>
      <c r="F896" s="2" t="s">
        <v>3</v>
      </c>
      <c r="G896" s="4">
        <v>4900</v>
      </c>
      <c r="H896" s="5">
        <v>4.1000000000000002E-2</v>
      </c>
      <c r="I896" s="2">
        <v>36</v>
      </c>
      <c r="J896" s="2" t="s">
        <v>16</v>
      </c>
      <c r="K896" s="2" t="s">
        <v>17</v>
      </c>
      <c r="L896" s="3">
        <v>46220</v>
      </c>
      <c r="M896" s="2" t="str">
        <f>_xlfn.XLOOKUP(Deals[[#This Row],[CustomerID]],Customers!A:A,Customers!F:F)</f>
        <v>Affluent</v>
      </c>
      <c r="N896" s="2" t="str">
        <f>_xlfn.XLOOKUP(Deals[[#This Row],[CustomerID]],Customers!A:A,Customers!E:E)</f>
        <v>Kuwaiti</v>
      </c>
      <c r="O896" s="2">
        <f>2026-_xlfn.XLOOKUP(Deals[[#This Row],[CustomerID]],Customers!A:A,Customers!D:D)</f>
        <v>33</v>
      </c>
      <c r="P896" s="2" t="str" cm="1">
        <f t="array" ref="P896">_xlfn.IFS(Deals[[#This Row],[Age]]&lt;30,"Under 30",Deals[[#This Row],[Age]]&lt;45,"30-44",TRUE,"45+")</f>
        <v>30-44</v>
      </c>
      <c r="Q896" s="21">
        <f>IF(Deals[[#This Row],[Status]]="Pending","",Deals[[#This Row],[DecisionDate]]-Deals[[#This Row],[ApplicationDate]])</f>
        <v>2</v>
      </c>
      <c r="R896" s="21">
        <f>IF(Deals[[#This Row],[Status]]="Approved",1,0)</f>
        <v>1</v>
      </c>
      <c r="S896" s="21">
        <f>IF(Deals[[#This Row],[IsApproved]]=1,Deals[[#This Row],[Amount]],0)</f>
        <v>4900</v>
      </c>
      <c r="T896" s="21">
        <f>Deals[[#This Row],[ApprovedAmount]]*Deals[[#This Row],[ProfitRate]]</f>
        <v>200.9</v>
      </c>
    </row>
    <row r="897" spans="1:20">
      <c r="A897" s="2" t="s">
        <v>1568</v>
      </c>
      <c r="B897" s="3">
        <v>46219</v>
      </c>
      <c r="C897" s="2" t="s">
        <v>858</v>
      </c>
      <c r="D897" s="2" t="s">
        <v>29</v>
      </c>
      <c r="E897" s="2" t="s">
        <v>30</v>
      </c>
      <c r="F897" s="2" t="s">
        <v>3</v>
      </c>
      <c r="G897" s="4">
        <v>12100</v>
      </c>
      <c r="H897" s="5">
        <v>4.2500000000000003E-2</v>
      </c>
      <c r="I897" s="2">
        <v>36</v>
      </c>
      <c r="J897" s="2" t="s">
        <v>61</v>
      </c>
      <c r="K897" s="2" t="s">
        <v>17</v>
      </c>
      <c r="L897" s="3">
        <v>46223</v>
      </c>
      <c r="M897" s="2" t="str">
        <f>_xlfn.XLOOKUP(Deals[[#This Row],[CustomerID]],Customers!A:A,Customers!F:F)</f>
        <v>Affluent</v>
      </c>
      <c r="N897" s="2" t="str">
        <f>_xlfn.XLOOKUP(Deals[[#This Row],[CustomerID]],Customers!A:A,Customers!E:E)</f>
        <v>Kuwaiti</v>
      </c>
      <c r="O897" s="2">
        <f>2026-_xlfn.XLOOKUP(Deals[[#This Row],[CustomerID]],Customers!A:A,Customers!D:D)</f>
        <v>68</v>
      </c>
      <c r="P897" s="2" t="str" cm="1">
        <f t="array" ref="P897">_xlfn.IFS(Deals[[#This Row],[Age]]&lt;30,"Under 30",Deals[[#This Row],[Age]]&lt;45,"30-44",TRUE,"45+")</f>
        <v>45+</v>
      </c>
      <c r="Q897" s="21">
        <f>IF(Deals[[#This Row],[Status]]="Pending","",Deals[[#This Row],[DecisionDate]]-Deals[[#This Row],[ApplicationDate]])</f>
        <v>4</v>
      </c>
      <c r="R897" s="21">
        <f>IF(Deals[[#This Row],[Status]]="Approved",1,0)</f>
        <v>1</v>
      </c>
      <c r="S897" s="21">
        <f>IF(Deals[[#This Row],[IsApproved]]=1,Deals[[#This Row],[Amount]],0)</f>
        <v>12100</v>
      </c>
      <c r="T897" s="21">
        <f>Deals[[#This Row],[ApprovedAmount]]*Deals[[#This Row],[ProfitRate]]</f>
        <v>514.25</v>
      </c>
    </row>
    <row r="898" spans="1:20">
      <c r="A898" s="2" t="s">
        <v>1569</v>
      </c>
      <c r="B898" s="3">
        <v>46219</v>
      </c>
      <c r="C898" s="2" t="s">
        <v>1491</v>
      </c>
      <c r="D898" s="2" t="s">
        <v>71</v>
      </c>
      <c r="E898" s="2" t="s">
        <v>15</v>
      </c>
      <c r="F898" s="2" t="s">
        <v>31</v>
      </c>
      <c r="G898" s="4">
        <v>20700</v>
      </c>
      <c r="H898" s="5">
        <v>6.6400000000000001E-2</v>
      </c>
      <c r="I898" s="2">
        <v>48</v>
      </c>
      <c r="J898" s="2" t="s">
        <v>94</v>
      </c>
      <c r="K898" s="2" t="s">
        <v>45</v>
      </c>
      <c r="L898" s="3">
        <v>46226</v>
      </c>
      <c r="M898" s="2" t="str">
        <f>_xlfn.XLOOKUP(Deals[[#This Row],[CustomerID]],Customers!A:A,Customers!F:F)</f>
        <v>Affluent</v>
      </c>
      <c r="N898" s="2" t="str">
        <f>_xlfn.XLOOKUP(Deals[[#This Row],[CustomerID]],Customers!A:A,Customers!E:E)</f>
        <v>Non-Kuwaiti</v>
      </c>
      <c r="O898" s="2">
        <f>2026-_xlfn.XLOOKUP(Deals[[#This Row],[CustomerID]],Customers!A:A,Customers!D:D)</f>
        <v>51</v>
      </c>
      <c r="P898" s="2" t="str" cm="1">
        <f t="array" ref="P898">_xlfn.IFS(Deals[[#This Row],[Age]]&lt;30,"Under 30",Deals[[#This Row],[Age]]&lt;45,"30-44",TRUE,"45+")</f>
        <v>45+</v>
      </c>
      <c r="Q898" s="21">
        <f>IF(Deals[[#This Row],[Status]]="Pending","",Deals[[#This Row],[DecisionDate]]-Deals[[#This Row],[ApplicationDate]])</f>
        <v>7</v>
      </c>
      <c r="R898" s="21">
        <f>IF(Deals[[#This Row],[Status]]="Approved",1,0)</f>
        <v>0</v>
      </c>
      <c r="S898" s="21">
        <f>IF(Deals[[#This Row],[IsApproved]]=1,Deals[[#This Row],[Amount]],0)</f>
        <v>0</v>
      </c>
      <c r="T898" s="21">
        <f>Deals[[#This Row],[ApprovedAmount]]*Deals[[#This Row],[ProfitRate]]</f>
        <v>0</v>
      </c>
    </row>
    <row r="899" spans="1:20">
      <c r="A899" s="2" t="s">
        <v>1570</v>
      </c>
      <c r="B899" s="3">
        <v>46219</v>
      </c>
      <c r="C899" s="2" t="s">
        <v>1571</v>
      </c>
      <c r="D899" s="2" t="s">
        <v>25</v>
      </c>
      <c r="E899" s="2" t="s">
        <v>30</v>
      </c>
      <c r="F899" s="2" t="s">
        <v>31</v>
      </c>
      <c r="G899" s="4">
        <v>6900</v>
      </c>
      <c r="H899" s="5">
        <v>4.8300000000000003E-2</v>
      </c>
      <c r="I899" s="2">
        <v>48</v>
      </c>
      <c r="J899" s="2" t="s">
        <v>66</v>
      </c>
      <c r="K899" s="2" t="s">
        <v>17</v>
      </c>
      <c r="L899" s="3">
        <v>46222</v>
      </c>
      <c r="M899" s="2" t="str">
        <f>_xlfn.XLOOKUP(Deals[[#This Row],[CustomerID]],Customers!A:A,Customers!F:F)</f>
        <v>Affluent</v>
      </c>
      <c r="N899" s="2" t="str">
        <f>_xlfn.XLOOKUP(Deals[[#This Row],[CustomerID]],Customers!A:A,Customers!E:E)</f>
        <v>Non-Kuwaiti</v>
      </c>
      <c r="O899" s="2">
        <f>2026-_xlfn.XLOOKUP(Deals[[#This Row],[CustomerID]],Customers!A:A,Customers!D:D)</f>
        <v>58</v>
      </c>
      <c r="P899" s="2" t="str" cm="1">
        <f t="array" ref="P899">_xlfn.IFS(Deals[[#This Row],[Age]]&lt;30,"Under 30",Deals[[#This Row],[Age]]&lt;45,"30-44",TRUE,"45+")</f>
        <v>45+</v>
      </c>
      <c r="Q899" s="21">
        <f>IF(Deals[[#This Row],[Status]]="Pending","",Deals[[#This Row],[DecisionDate]]-Deals[[#This Row],[ApplicationDate]])</f>
        <v>3</v>
      </c>
      <c r="R899" s="21">
        <f>IF(Deals[[#This Row],[Status]]="Approved",1,0)</f>
        <v>1</v>
      </c>
      <c r="S899" s="21">
        <f>IF(Deals[[#This Row],[IsApproved]]=1,Deals[[#This Row],[Amount]],0)</f>
        <v>6900</v>
      </c>
      <c r="T899" s="21">
        <f>Deals[[#This Row],[ApprovedAmount]]*Deals[[#This Row],[ProfitRate]]</f>
        <v>333.27000000000004</v>
      </c>
    </row>
    <row r="900" spans="1:20">
      <c r="A900" s="2" t="s">
        <v>1572</v>
      </c>
      <c r="B900" s="3">
        <v>46219</v>
      </c>
      <c r="C900" s="2" t="s">
        <v>1573</v>
      </c>
      <c r="D900" s="2" t="s">
        <v>14</v>
      </c>
      <c r="E900" s="2" t="s">
        <v>21</v>
      </c>
      <c r="F900" s="2" t="s">
        <v>31</v>
      </c>
      <c r="G900" s="4">
        <v>110900</v>
      </c>
      <c r="H900" s="5">
        <v>3.3700000000000001E-2</v>
      </c>
      <c r="I900" s="2">
        <v>180</v>
      </c>
      <c r="J900" s="2" t="s">
        <v>40</v>
      </c>
      <c r="K900" s="2" t="s">
        <v>45</v>
      </c>
      <c r="L900" s="3">
        <v>46244</v>
      </c>
      <c r="M900" s="2" t="str">
        <f>_xlfn.XLOOKUP(Deals[[#This Row],[CustomerID]],Customers!A:A,Customers!F:F)</f>
        <v>Premium</v>
      </c>
      <c r="N900" s="2" t="str">
        <f>_xlfn.XLOOKUP(Deals[[#This Row],[CustomerID]],Customers!A:A,Customers!E:E)</f>
        <v>Kuwaiti</v>
      </c>
      <c r="O900" s="2">
        <f>2026-_xlfn.XLOOKUP(Deals[[#This Row],[CustomerID]],Customers!A:A,Customers!D:D)</f>
        <v>55</v>
      </c>
      <c r="P900" s="2" t="str" cm="1">
        <f t="array" ref="P900">_xlfn.IFS(Deals[[#This Row],[Age]]&lt;30,"Under 30",Deals[[#This Row],[Age]]&lt;45,"30-44",TRUE,"45+")</f>
        <v>45+</v>
      </c>
      <c r="Q900" s="21">
        <f>IF(Deals[[#This Row],[Status]]="Pending","",Deals[[#This Row],[DecisionDate]]-Deals[[#This Row],[ApplicationDate]])</f>
        <v>25</v>
      </c>
      <c r="R900" s="21">
        <f>IF(Deals[[#This Row],[Status]]="Approved",1,0)</f>
        <v>0</v>
      </c>
      <c r="S900" s="21">
        <f>IF(Deals[[#This Row],[IsApproved]]=1,Deals[[#This Row],[Amount]],0)</f>
        <v>0</v>
      </c>
      <c r="T900" s="21">
        <f>Deals[[#This Row],[ApprovedAmount]]*Deals[[#This Row],[ProfitRate]]</f>
        <v>0</v>
      </c>
    </row>
    <row r="901" spans="1:20">
      <c r="A901" s="2" t="s">
        <v>1574</v>
      </c>
      <c r="B901" s="3">
        <v>46220</v>
      </c>
      <c r="C901" s="2" t="s">
        <v>1575</v>
      </c>
      <c r="D901" s="2" t="s">
        <v>20</v>
      </c>
      <c r="E901" s="2" t="s">
        <v>30</v>
      </c>
      <c r="F901" s="2" t="s">
        <v>3</v>
      </c>
      <c r="G901" s="4">
        <v>5900</v>
      </c>
      <c r="H901" s="5">
        <v>4.6899999999999997E-2</v>
      </c>
      <c r="I901" s="2">
        <v>48</v>
      </c>
      <c r="J901" s="2" t="s">
        <v>44</v>
      </c>
      <c r="K901" s="2" t="s">
        <v>17</v>
      </c>
      <c r="L901" s="3">
        <v>46224</v>
      </c>
      <c r="M901" s="2" t="str">
        <f>_xlfn.XLOOKUP(Deals[[#This Row],[CustomerID]],Customers!A:A,Customers!F:F)</f>
        <v>Affluent</v>
      </c>
      <c r="N901" s="2" t="str">
        <f>_xlfn.XLOOKUP(Deals[[#This Row],[CustomerID]],Customers!A:A,Customers!E:E)</f>
        <v>Kuwaiti</v>
      </c>
      <c r="O901" s="2">
        <f>2026-_xlfn.XLOOKUP(Deals[[#This Row],[CustomerID]],Customers!A:A,Customers!D:D)</f>
        <v>56</v>
      </c>
      <c r="P901" s="2" t="str" cm="1">
        <f t="array" ref="P901">_xlfn.IFS(Deals[[#This Row],[Age]]&lt;30,"Under 30",Deals[[#This Row],[Age]]&lt;45,"30-44",TRUE,"45+")</f>
        <v>45+</v>
      </c>
      <c r="Q901" s="21">
        <f>IF(Deals[[#This Row],[Status]]="Pending","",Deals[[#This Row],[DecisionDate]]-Deals[[#This Row],[ApplicationDate]])</f>
        <v>4</v>
      </c>
      <c r="R901" s="21">
        <f>IF(Deals[[#This Row],[Status]]="Approved",1,0)</f>
        <v>1</v>
      </c>
      <c r="S901" s="21">
        <f>IF(Deals[[#This Row],[IsApproved]]=1,Deals[[#This Row],[Amount]],0)</f>
        <v>5900</v>
      </c>
      <c r="T901" s="21">
        <f>Deals[[#This Row],[ApprovedAmount]]*Deals[[#This Row],[ProfitRate]]</f>
        <v>276.70999999999998</v>
      </c>
    </row>
    <row r="902" spans="1:20">
      <c r="A902" s="2" t="s">
        <v>1576</v>
      </c>
      <c r="B902" s="3">
        <v>46220</v>
      </c>
      <c r="C902" s="2" t="s">
        <v>493</v>
      </c>
      <c r="D902" s="2" t="s">
        <v>14</v>
      </c>
      <c r="E902" s="2" t="s">
        <v>15</v>
      </c>
      <c r="F902" s="2" t="s">
        <v>31</v>
      </c>
      <c r="G902" s="4">
        <v>9800</v>
      </c>
      <c r="H902" s="5">
        <v>5.1700000000000003E-2</v>
      </c>
      <c r="I902" s="2">
        <v>36</v>
      </c>
      <c r="J902" s="2" t="s">
        <v>40</v>
      </c>
      <c r="K902" s="2" t="s">
        <v>17</v>
      </c>
      <c r="L902" s="3">
        <v>46221</v>
      </c>
      <c r="M902" s="2" t="str">
        <f>_xlfn.XLOOKUP(Deals[[#This Row],[CustomerID]],Customers!A:A,Customers!F:F)</f>
        <v>Affluent</v>
      </c>
      <c r="N902" s="2" t="str">
        <f>_xlfn.XLOOKUP(Deals[[#This Row],[CustomerID]],Customers!A:A,Customers!E:E)</f>
        <v>Kuwaiti</v>
      </c>
      <c r="O902" s="2">
        <f>2026-_xlfn.XLOOKUP(Deals[[#This Row],[CustomerID]],Customers!A:A,Customers!D:D)</f>
        <v>50</v>
      </c>
      <c r="P902" s="2" t="str" cm="1">
        <f t="array" ref="P902">_xlfn.IFS(Deals[[#This Row],[Age]]&lt;30,"Under 30",Deals[[#This Row],[Age]]&lt;45,"30-44",TRUE,"45+")</f>
        <v>45+</v>
      </c>
      <c r="Q902" s="21">
        <f>IF(Deals[[#This Row],[Status]]="Pending","",Deals[[#This Row],[DecisionDate]]-Deals[[#This Row],[ApplicationDate]])</f>
        <v>1</v>
      </c>
      <c r="R902" s="21">
        <f>IF(Deals[[#This Row],[Status]]="Approved",1,0)</f>
        <v>1</v>
      </c>
      <c r="S902" s="21">
        <f>IF(Deals[[#This Row],[IsApproved]]=1,Deals[[#This Row],[Amount]],0)</f>
        <v>9800</v>
      </c>
      <c r="T902" s="21">
        <f>Deals[[#This Row],[ApprovedAmount]]*Deals[[#This Row],[ProfitRate]]</f>
        <v>506.66</v>
      </c>
    </row>
    <row r="903" spans="1:20">
      <c r="A903" s="2" t="s">
        <v>1577</v>
      </c>
      <c r="B903" s="3">
        <v>46220</v>
      </c>
      <c r="C903" s="2" t="s">
        <v>1578</v>
      </c>
      <c r="D903" s="2" t="s">
        <v>54</v>
      </c>
      <c r="E903" s="2" t="s">
        <v>30</v>
      </c>
      <c r="F903" s="2" t="s">
        <v>31</v>
      </c>
      <c r="G903" s="4">
        <v>12300</v>
      </c>
      <c r="H903" s="5">
        <v>4.4299999999999999E-2</v>
      </c>
      <c r="I903" s="2">
        <v>60</v>
      </c>
      <c r="J903" s="2" t="s">
        <v>186</v>
      </c>
      <c r="K903" s="2" t="s">
        <v>17</v>
      </c>
      <c r="L903" s="3">
        <v>46222</v>
      </c>
      <c r="M903" s="2" t="str">
        <f>_xlfn.XLOOKUP(Deals[[#This Row],[CustomerID]],Customers!A:A,Customers!F:F)</f>
        <v>Affluent</v>
      </c>
      <c r="N903" s="2" t="str">
        <f>_xlfn.XLOOKUP(Deals[[#This Row],[CustomerID]],Customers!A:A,Customers!E:E)</f>
        <v>Non-Kuwaiti</v>
      </c>
      <c r="O903" s="2">
        <f>2026-_xlfn.XLOOKUP(Deals[[#This Row],[CustomerID]],Customers!A:A,Customers!D:D)</f>
        <v>35</v>
      </c>
      <c r="P903" s="2" t="str" cm="1">
        <f t="array" ref="P903">_xlfn.IFS(Deals[[#This Row],[Age]]&lt;30,"Under 30",Deals[[#This Row],[Age]]&lt;45,"30-44",TRUE,"45+")</f>
        <v>30-44</v>
      </c>
      <c r="Q903" s="21">
        <f>IF(Deals[[#This Row],[Status]]="Pending","",Deals[[#This Row],[DecisionDate]]-Deals[[#This Row],[ApplicationDate]])</f>
        <v>2</v>
      </c>
      <c r="R903" s="21">
        <f>IF(Deals[[#This Row],[Status]]="Approved",1,0)</f>
        <v>1</v>
      </c>
      <c r="S903" s="21">
        <f>IF(Deals[[#This Row],[IsApproved]]=1,Deals[[#This Row],[Amount]],0)</f>
        <v>12300</v>
      </c>
      <c r="T903" s="21">
        <f>Deals[[#This Row],[ApprovedAmount]]*Deals[[#This Row],[ProfitRate]]</f>
        <v>544.89</v>
      </c>
    </row>
    <row r="904" spans="1:20">
      <c r="A904" s="2" t="s">
        <v>1579</v>
      </c>
      <c r="B904" s="3">
        <v>46221</v>
      </c>
      <c r="C904" s="2" t="s">
        <v>1250</v>
      </c>
      <c r="D904" s="2" t="s">
        <v>20</v>
      </c>
      <c r="E904" s="2" t="s">
        <v>15</v>
      </c>
      <c r="F904" s="2" t="s">
        <v>3</v>
      </c>
      <c r="G904" s="4">
        <v>3400</v>
      </c>
      <c r="H904" s="5">
        <v>5.3800000000000001E-2</v>
      </c>
      <c r="I904" s="2">
        <v>12</v>
      </c>
      <c r="J904" s="2" t="s">
        <v>37</v>
      </c>
      <c r="K904" s="2" t="s">
        <v>17</v>
      </c>
      <c r="L904" s="3">
        <v>46222</v>
      </c>
      <c r="M904" s="2" t="str">
        <f>_xlfn.XLOOKUP(Deals[[#This Row],[CustomerID]],Customers!A:A,Customers!F:F)</f>
        <v>Mass</v>
      </c>
      <c r="N904" s="2" t="str">
        <f>_xlfn.XLOOKUP(Deals[[#This Row],[CustomerID]],Customers!A:A,Customers!E:E)</f>
        <v>Kuwaiti</v>
      </c>
      <c r="O904" s="2">
        <f>2026-_xlfn.XLOOKUP(Deals[[#This Row],[CustomerID]],Customers!A:A,Customers!D:D)</f>
        <v>31</v>
      </c>
      <c r="P904" s="2" t="str" cm="1">
        <f t="array" ref="P904">_xlfn.IFS(Deals[[#This Row],[Age]]&lt;30,"Under 30",Deals[[#This Row],[Age]]&lt;45,"30-44",TRUE,"45+")</f>
        <v>30-44</v>
      </c>
      <c r="Q904" s="21">
        <f>IF(Deals[[#This Row],[Status]]="Pending","",Deals[[#This Row],[DecisionDate]]-Deals[[#This Row],[ApplicationDate]])</f>
        <v>1</v>
      </c>
      <c r="R904" s="21">
        <f>IF(Deals[[#This Row],[Status]]="Approved",1,0)</f>
        <v>1</v>
      </c>
      <c r="S904" s="21">
        <f>IF(Deals[[#This Row],[IsApproved]]=1,Deals[[#This Row],[Amount]],0)</f>
        <v>3400</v>
      </c>
      <c r="T904" s="21">
        <f>Deals[[#This Row],[ApprovedAmount]]*Deals[[#This Row],[ProfitRate]]</f>
        <v>182.92000000000002</v>
      </c>
    </row>
    <row r="905" spans="1:20">
      <c r="A905" s="2" t="s">
        <v>1580</v>
      </c>
      <c r="B905" s="3">
        <v>46221</v>
      </c>
      <c r="C905" s="2" t="s">
        <v>1581</v>
      </c>
      <c r="D905" s="2" t="s">
        <v>29</v>
      </c>
      <c r="E905" s="2" t="s">
        <v>21</v>
      </c>
      <c r="F905" s="2" t="s">
        <v>3</v>
      </c>
      <c r="G905" s="4">
        <v>155000</v>
      </c>
      <c r="H905" s="5">
        <v>3.4500000000000003E-2</v>
      </c>
      <c r="I905" s="2">
        <v>180</v>
      </c>
      <c r="J905" s="2" t="s">
        <v>32</v>
      </c>
      <c r="K905" s="2" t="s">
        <v>17</v>
      </c>
      <c r="L905" s="3">
        <v>46237</v>
      </c>
      <c r="M905" s="2" t="str">
        <f>_xlfn.XLOOKUP(Deals[[#This Row],[CustomerID]],Customers!A:A,Customers!F:F)</f>
        <v>Mass</v>
      </c>
      <c r="N905" s="2" t="str">
        <f>_xlfn.XLOOKUP(Deals[[#This Row],[CustomerID]],Customers!A:A,Customers!E:E)</f>
        <v>Kuwaiti</v>
      </c>
      <c r="O905" s="2">
        <f>2026-_xlfn.XLOOKUP(Deals[[#This Row],[CustomerID]],Customers!A:A,Customers!D:D)</f>
        <v>56</v>
      </c>
      <c r="P905" s="2" t="str" cm="1">
        <f t="array" ref="P905">_xlfn.IFS(Deals[[#This Row],[Age]]&lt;30,"Under 30",Deals[[#This Row],[Age]]&lt;45,"30-44",TRUE,"45+")</f>
        <v>45+</v>
      </c>
      <c r="Q905" s="21">
        <f>IF(Deals[[#This Row],[Status]]="Pending","",Deals[[#This Row],[DecisionDate]]-Deals[[#This Row],[ApplicationDate]])</f>
        <v>16</v>
      </c>
      <c r="R905" s="21">
        <f>IF(Deals[[#This Row],[Status]]="Approved",1,0)</f>
        <v>1</v>
      </c>
      <c r="S905" s="21">
        <f>IF(Deals[[#This Row],[IsApproved]]=1,Deals[[#This Row],[Amount]],0)</f>
        <v>155000</v>
      </c>
      <c r="T905" s="21">
        <f>Deals[[#This Row],[ApprovedAmount]]*Deals[[#This Row],[ProfitRate]]</f>
        <v>5347.5</v>
      </c>
    </row>
    <row r="906" spans="1:20">
      <c r="A906" s="2" t="s">
        <v>1582</v>
      </c>
      <c r="B906" s="3">
        <v>46221</v>
      </c>
      <c r="C906" s="2" t="s">
        <v>616</v>
      </c>
      <c r="D906" s="2" t="s">
        <v>71</v>
      </c>
      <c r="E906" s="2" t="s">
        <v>15</v>
      </c>
      <c r="F906" s="2" t="s">
        <v>31</v>
      </c>
      <c r="G906" s="4">
        <v>10700</v>
      </c>
      <c r="H906" s="5">
        <v>6.1499999999999999E-2</v>
      </c>
      <c r="I906" s="2">
        <v>12</v>
      </c>
      <c r="J906" s="2" t="s">
        <v>101</v>
      </c>
      <c r="K906" s="2" t="s">
        <v>45</v>
      </c>
      <c r="L906" s="3">
        <v>46226</v>
      </c>
      <c r="M906" s="2" t="str">
        <f>_xlfn.XLOOKUP(Deals[[#This Row],[CustomerID]],Customers!A:A,Customers!F:F)</f>
        <v>Affluent</v>
      </c>
      <c r="N906" s="2" t="str">
        <f>_xlfn.XLOOKUP(Deals[[#This Row],[CustomerID]],Customers!A:A,Customers!E:E)</f>
        <v>Non-Kuwaiti</v>
      </c>
      <c r="O906" s="2">
        <f>2026-_xlfn.XLOOKUP(Deals[[#This Row],[CustomerID]],Customers!A:A,Customers!D:D)</f>
        <v>26</v>
      </c>
      <c r="P906" s="2" t="str" cm="1">
        <f t="array" ref="P906">_xlfn.IFS(Deals[[#This Row],[Age]]&lt;30,"Under 30",Deals[[#This Row],[Age]]&lt;45,"30-44",TRUE,"45+")</f>
        <v>Under 30</v>
      </c>
      <c r="Q906" s="21">
        <f>IF(Deals[[#This Row],[Status]]="Pending","",Deals[[#This Row],[DecisionDate]]-Deals[[#This Row],[ApplicationDate]])</f>
        <v>5</v>
      </c>
      <c r="R906" s="21">
        <f>IF(Deals[[#This Row],[Status]]="Approved",1,0)</f>
        <v>0</v>
      </c>
      <c r="S906" s="21">
        <f>IF(Deals[[#This Row],[IsApproved]]=1,Deals[[#This Row],[Amount]],0)</f>
        <v>0</v>
      </c>
      <c r="T906" s="21">
        <f>Deals[[#This Row],[ApprovedAmount]]*Deals[[#This Row],[ProfitRate]]</f>
        <v>0</v>
      </c>
    </row>
    <row r="907" spans="1:20">
      <c r="A907" s="2" t="s">
        <v>1583</v>
      </c>
      <c r="B907" s="3">
        <v>46221</v>
      </c>
      <c r="C907" s="2" t="s">
        <v>1584</v>
      </c>
      <c r="D907" s="2" t="s">
        <v>25</v>
      </c>
      <c r="E907" s="2" t="s">
        <v>15</v>
      </c>
      <c r="F907" s="2" t="s">
        <v>3</v>
      </c>
      <c r="G907" s="4">
        <v>2600</v>
      </c>
      <c r="H907" s="5">
        <v>5.0500000000000003E-2</v>
      </c>
      <c r="I907" s="2">
        <v>60</v>
      </c>
      <c r="J907" s="2" t="s">
        <v>66</v>
      </c>
      <c r="K907" s="2" t="s">
        <v>17</v>
      </c>
      <c r="L907" s="3">
        <v>46227</v>
      </c>
      <c r="M907" s="2" t="str">
        <f>_xlfn.XLOOKUP(Deals[[#This Row],[CustomerID]],Customers!A:A,Customers!F:F)</f>
        <v>Mass</v>
      </c>
      <c r="N907" s="2" t="str">
        <f>_xlfn.XLOOKUP(Deals[[#This Row],[CustomerID]],Customers!A:A,Customers!E:E)</f>
        <v>Non-Kuwaiti</v>
      </c>
      <c r="O907" s="2">
        <f>2026-_xlfn.XLOOKUP(Deals[[#This Row],[CustomerID]],Customers!A:A,Customers!D:D)</f>
        <v>52</v>
      </c>
      <c r="P907" s="2" t="str" cm="1">
        <f t="array" ref="P907">_xlfn.IFS(Deals[[#This Row],[Age]]&lt;30,"Under 30",Deals[[#This Row],[Age]]&lt;45,"30-44",TRUE,"45+")</f>
        <v>45+</v>
      </c>
      <c r="Q907" s="21">
        <f>IF(Deals[[#This Row],[Status]]="Pending","",Deals[[#This Row],[DecisionDate]]-Deals[[#This Row],[ApplicationDate]])</f>
        <v>6</v>
      </c>
      <c r="R907" s="21">
        <f>IF(Deals[[#This Row],[Status]]="Approved",1,0)</f>
        <v>1</v>
      </c>
      <c r="S907" s="21">
        <f>IF(Deals[[#This Row],[IsApproved]]=1,Deals[[#This Row],[Amount]],0)</f>
        <v>2600</v>
      </c>
      <c r="T907" s="21">
        <f>Deals[[#This Row],[ApprovedAmount]]*Deals[[#This Row],[ProfitRate]]</f>
        <v>131.30000000000001</v>
      </c>
    </row>
    <row r="908" spans="1:20">
      <c r="A908" s="2" t="s">
        <v>1585</v>
      </c>
      <c r="B908" s="3">
        <v>46222</v>
      </c>
      <c r="C908" s="2" t="s">
        <v>1043</v>
      </c>
      <c r="D908" s="2" t="s">
        <v>20</v>
      </c>
      <c r="E908" s="2" t="s">
        <v>30</v>
      </c>
      <c r="F908" s="2" t="s">
        <v>55</v>
      </c>
      <c r="G908" s="4">
        <v>14200</v>
      </c>
      <c r="H908" s="5">
        <v>4.0399999999999998E-2</v>
      </c>
      <c r="I908" s="2">
        <v>60</v>
      </c>
      <c r="J908" s="2" t="s">
        <v>22</v>
      </c>
      <c r="K908" s="2" t="s">
        <v>17</v>
      </c>
      <c r="L908" s="3">
        <v>46226</v>
      </c>
      <c r="M908" s="2" t="str">
        <f>_xlfn.XLOOKUP(Deals[[#This Row],[CustomerID]],Customers!A:A,Customers!F:F)</f>
        <v>Mass</v>
      </c>
      <c r="N908" s="2" t="str">
        <f>_xlfn.XLOOKUP(Deals[[#This Row],[CustomerID]],Customers!A:A,Customers!E:E)</f>
        <v>Kuwaiti</v>
      </c>
      <c r="O908" s="2">
        <f>2026-_xlfn.XLOOKUP(Deals[[#This Row],[CustomerID]],Customers!A:A,Customers!D:D)</f>
        <v>46</v>
      </c>
      <c r="P908" s="2" t="str" cm="1">
        <f t="array" ref="P908">_xlfn.IFS(Deals[[#This Row],[Age]]&lt;30,"Under 30",Deals[[#This Row],[Age]]&lt;45,"30-44",TRUE,"45+")</f>
        <v>45+</v>
      </c>
      <c r="Q908" s="21">
        <f>IF(Deals[[#This Row],[Status]]="Pending","",Deals[[#This Row],[DecisionDate]]-Deals[[#This Row],[ApplicationDate]])</f>
        <v>4</v>
      </c>
      <c r="R908" s="21">
        <f>IF(Deals[[#This Row],[Status]]="Approved",1,0)</f>
        <v>1</v>
      </c>
      <c r="S908" s="21">
        <f>IF(Deals[[#This Row],[IsApproved]]=1,Deals[[#This Row],[Amount]],0)</f>
        <v>14200</v>
      </c>
      <c r="T908" s="21">
        <f>Deals[[#This Row],[ApprovedAmount]]*Deals[[#This Row],[ProfitRate]]</f>
        <v>573.67999999999995</v>
      </c>
    </row>
    <row r="909" spans="1:20">
      <c r="A909" s="2" t="s">
        <v>1586</v>
      </c>
      <c r="B909" s="3">
        <v>46222</v>
      </c>
      <c r="C909" s="2" t="s">
        <v>1587</v>
      </c>
      <c r="D909" s="2" t="s">
        <v>20</v>
      </c>
      <c r="E909" s="2" t="s">
        <v>15</v>
      </c>
      <c r="F909" s="2" t="s">
        <v>3</v>
      </c>
      <c r="G909" s="4">
        <v>10600</v>
      </c>
      <c r="H909" s="5">
        <v>6.7100000000000007E-2</v>
      </c>
      <c r="I909" s="2">
        <v>60</v>
      </c>
      <c r="J909" s="2" t="s">
        <v>37</v>
      </c>
      <c r="K909" s="2" t="s">
        <v>17</v>
      </c>
      <c r="L909" s="3">
        <v>46223</v>
      </c>
      <c r="M909" s="2" t="str">
        <f>_xlfn.XLOOKUP(Deals[[#This Row],[CustomerID]],Customers!A:A,Customers!F:F)</f>
        <v>Mass</v>
      </c>
      <c r="N909" s="2" t="str">
        <f>_xlfn.XLOOKUP(Deals[[#This Row],[CustomerID]],Customers!A:A,Customers!E:E)</f>
        <v>Kuwaiti</v>
      </c>
      <c r="O909" s="2">
        <f>2026-_xlfn.XLOOKUP(Deals[[#This Row],[CustomerID]],Customers!A:A,Customers!D:D)</f>
        <v>28</v>
      </c>
      <c r="P909" s="2" t="str" cm="1">
        <f t="array" ref="P909">_xlfn.IFS(Deals[[#This Row],[Age]]&lt;30,"Under 30",Deals[[#This Row],[Age]]&lt;45,"30-44",TRUE,"45+")</f>
        <v>Under 30</v>
      </c>
      <c r="Q909" s="21">
        <f>IF(Deals[[#This Row],[Status]]="Pending","",Deals[[#This Row],[DecisionDate]]-Deals[[#This Row],[ApplicationDate]])</f>
        <v>1</v>
      </c>
      <c r="R909" s="21">
        <f>IF(Deals[[#This Row],[Status]]="Approved",1,0)</f>
        <v>1</v>
      </c>
      <c r="S909" s="21">
        <f>IF(Deals[[#This Row],[IsApproved]]=1,Deals[[#This Row],[Amount]],0)</f>
        <v>10600</v>
      </c>
      <c r="T909" s="21">
        <f>Deals[[#This Row],[ApprovedAmount]]*Deals[[#This Row],[ProfitRate]]</f>
        <v>711.2600000000001</v>
      </c>
    </row>
    <row r="910" spans="1:20">
      <c r="A910" s="2" t="s">
        <v>1588</v>
      </c>
      <c r="B910" s="3">
        <v>46222</v>
      </c>
      <c r="C910" s="2" t="s">
        <v>732</v>
      </c>
      <c r="D910" s="2" t="s">
        <v>14</v>
      </c>
      <c r="E910" s="2" t="s">
        <v>30</v>
      </c>
      <c r="F910" s="2" t="s">
        <v>3</v>
      </c>
      <c r="G910" s="4">
        <v>12900</v>
      </c>
      <c r="H910" s="5">
        <v>4.5400000000000003E-2</v>
      </c>
      <c r="I910" s="2">
        <v>36</v>
      </c>
      <c r="J910" s="2" t="s">
        <v>40</v>
      </c>
      <c r="K910" s="2" t="s">
        <v>17</v>
      </c>
      <c r="L910" s="3">
        <v>46224</v>
      </c>
      <c r="M910" s="2" t="str">
        <f>_xlfn.XLOOKUP(Deals[[#This Row],[CustomerID]],Customers!A:A,Customers!F:F)</f>
        <v>Mass</v>
      </c>
      <c r="N910" s="2" t="str">
        <f>_xlfn.XLOOKUP(Deals[[#This Row],[CustomerID]],Customers!A:A,Customers!E:E)</f>
        <v>Kuwaiti</v>
      </c>
      <c r="O910" s="2">
        <f>2026-_xlfn.XLOOKUP(Deals[[#This Row],[CustomerID]],Customers!A:A,Customers!D:D)</f>
        <v>41</v>
      </c>
      <c r="P910" s="2" t="str" cm="1">
        <f t="array" ref="P910">_xlfn.IFS(Deals[[#This Row],[Age]]&lt;30,"Under 30",Deals[[#This Row],[Age]]&lt;45,"30-44",TRUE,"45+")</f>
        <v>30-44</v>
      </c>
      <c r="Q910" s="21">
        <f>IF(Deals[[#This Row],[Status]]="Pending","",Deals[[#This Row],[DecisionDate]]-Deals[[#This Row],[ApplicationDate]])</f>
        <v>2</v>
      </c>
      <c r="R910" s="21">
        <f>IF(Deals[[#This Row],[Status]]="Approved",1,0)</f>
        <v>1</v>
      </c>
      <c r="S910" s="21">
        <f>IF(Deals[[#This Row],[IsApproved]]=1,Deals[[#This Row],[Amount]],0)</f>
        <v>12900</v>
      </c>
      <c r="T910" s="21">
        <f>Deals[[#This Row],[ApprovedAmount]]*Deals[[#This Row],[ProfitRate]]</f>
        <v>585.66000000000008</v>
      </c>
    </row>
    <row r="911" spans="1:20">
      <c r="A911" s="2" t="s">
        <v>1589</v>
      </c>
      <c r="B911" s="3">
        <v>46222</v>
      </c>
      <c r="C911" s="2" t="s">
        <v>1590</v>
      </c>
      <c r="D911" s="2" t="s">
        <v>20</v>
      </c>
      <c r="E911" s="2" t="s">
        <v>30</v>
      </c>
      <c r="F911" s="2" t="s">
        <v>3</v>
      </c>
      <c r="G911" s="4">
        <v>12800</v>
      </c>
      <c r="H911" s="5">
        <v>4.02E-2</v>
      </c>
      <c r="I911" s="2">
        <v>48</v>
      </c>
      <c r="J911" s="2" t="s">
        <v>22</v>
      </c>
      <c r="K911" s="2" t="s">
        <v>45</v>
      </c>
      <c r="L911" s="3">
        <v>46226</v>
      </c>
      <c r="M911" s="2" t="str">
        <f>_xlfn.XLOOKUP(Deals[[#This Row],[CustomerID]],Customers!A:A,Customers!F:F)</f>
        <v>Affluent</v>
      </c>
      <c r="N911" s="2" t="str">
        <f>_xlfn.XLOOKUP(Deals[[#This Row],[CustomerID]],Customers!A:A,Customers!E:E)</f>
        <v>Kuwaiti</v>
      </c>
      <c r="O911" s="2">
        <f>2026-_xlfn.XLOOKUP(Deals[[#This Row],[CustomerID]],Customers!A:A,Customers!D:D)</f>
        <v>51</v>
      </c>
      <c r="P911" s="2" t="str" cm="1">
        <f t="array" ref="P911">_xlfn.IFS(Deals[[#This Row],[Age]]&lt;30,"Under 30",Deals[[#This Row],[Age]]&lt;45,"30-44",TRUE,"45+")</f>
        <v>45+</v>
      </c>
      <c r="Q911" s="21">
        <f>IF(Deals[[#This Row],[Status]]="Pending","",Deals[[#This Row],[DecisionDate]]-Deals[[#This Row],[ApplicationDate]])</f>
        <v>4</v>
      </c>
      <c r="R911" s="21">
        <f>IF(Deals[[#This Row],[Status]]="Approved",1,0)</f>
        <v>0</v>
      </c>
      <c r="S911" s="21">
        <f>IF(Deals[[#This Row],[IsApproved]]=1,Deals[[#This Row],[Amount]],0)</f>
        <v>0</v>
      </c>
      <c r="T911" s="21">
        <f>Deals[[#This Row],[ApprovedAmount]]*Deals[[#This Row],[ProfitRate]]</f>
        <v>0</v>
      </c>
    </row>
    <row r="912" spans="1:20">
      <c r="A912" s="2" t="s">
        <v>1591</v>
      </c>
      <c r="B912" s="3">
        <v>46223</v>
      </c>
      <c r="C912" s="2" t="s">
        <v>1326</v>
      </c>
      <c r="D912" s="2" t="s">
        <v>14</v>
      </c>
      <c r="E912" s="2" t="s">
        <v>43</v>
      </c>
      <c r="F912" s="2" t="s">
        <v>3</v>
      </c>
      <c r="G912" s="4">
        <v>50200</v>
      </c>
      <c r="H912" s="5">
        <v>6.4199999999999993E-2</v>
      </c>
      <c r="I912" s="2">
        <v>24</v>
      </c>
      <c r="J912" s="2" t="s">
        <v>16</v>
      </c>
      <c r="K912" s="2" t="s">
        <v>45</v>
      </c>
      <c r="L912" s="3">
        <v>46232</v>
      </c>
      <c r="M912" s="2" t="str">
        <f>_xlfn.XLOOKUP(Deals[[#This Row],[CustomerID]],Customers!A:A,Customers!F:F)</f>
        <v>Affluent</v>
      </c>
      <c r="N912" s="2" t="str">
        <f>_xlfn.XLOOKUP(Deals[[#This Row],[CustomerID]],Customers!A:A,Customers!E:E)</f>
        <v>Kuwaiti</v>
      </c>
      <c r="O912" s="2">
        <f>2026-_xlfn.XLOOKUP(Deals[[#This Row],[CustomerID]],Customers!A:A,Customers!D:D)</f>
        <v>30</v>
      </c>
      <c r="P912" s="2" t="str" cm="1">
        <f t="array" ref="P912">_xlfn.IFS(Deals[[#This Row],[Age]]&lt;30,"Under 30",Deals[[#This Row],[Age]]&lt;45,"30-44",TRUE,"45+")</f>
        <v>30-44</v>
      </c>
      <c r="Q912" s="21">
        <f>IF(Deals[[#This Row],[Status]]="Pending","",Deals[[#This Row],[DecisionDate]]-Deals[[#This Row],[ApplicationDate]])</f>
        <v>9</v>
      </c>
      <c r="R912" s="21">
        <f>IF(Deals[[#This Row],[Status]]="Approved",1,0)</f>
        <v>0</v>
      </c>
      <c r="S912" s="21">
        <f>IF(Deals[[#This Row],[IsApproved]]=1,Deals[[#This Row],[Amount]],0)</f>
        <v>0</v>
      </c>
      <c r="T912" s="21">
        <f>Deals[[#This Row],[ApprovedAmount]]*Deals[[#This Row],[ProfitRate]]</f>
        <v>0</v>
      </c>
    </row>
    <row r="913" spans="1:20">
      <c r="A913" s="2" t="s">
        <v>1592</v>
      </c>
      <c r="B913" s="3">
        <v>46223</v>
      </c>
      <c r="C913" s="2" t="s">
        <v>1593</v>
      </c>
      <c r="D913" s="2" t="s">
        <v>20</v>
      </c>
      <c r="E913" s="2" t="s">
        <v>30</v>
      </c>
      <c r="F913" s="2" t="s">
        <v>55</v>
      </c>
      <c r="G913" s="4">
        <v>10300</v>
      </c>
      <c r="H913" s="5">
        <v>4.6600000000000003E-2</v>
      </c>
      <c r="I913" s="2">
        <v>60</v>
      </c>
      <c r="J913" s="2" t="s">
        <v>37</v>
      </c>
      <c r="K913" s="2" t="s">
        <v>17</v>
      </c>
      <c r="L913" s="3">
        <v>46227</v>
      </c>
      <c r="M913" s="2" t="str">
        <f>_xlfn.XLOOKUP(Deals[[#This Row],[CustomerID]],Customers!A:A,Customers!F:F)</f>
        <v>Affluent</v>
      </c>
      <c r="N913" s="2" t="str">
        <f>_xlfn.XLOOKUP(Deals[[#This Row],[CustomerID]],Customers!A:A,Customers!E:E)</f>
        <v>Kuwaiti</v>
      </c>
      <c r="O913" s="2">
        <f>2026-_xlfn.XLOOKUP(Deals[[#This Row],[CustomerID]],Customers!A:A,Customers!D:D)</f>
        <v>29</v>
      </c>
      <c r="P913" s="2" t="str" cm="1">
        <f t="array" ref="P913">_xlfn.IFS(Deals[[#This Row],[Age]]&lt;30,"Under 30",Deals[[#This Row],[Age]]&lt;45,"30-44",TRUE,"45+")</f>
        <v>Under 30</v>
      </c>
      <c r="Q913" s="21">
        <f>IF(Deals[[#This Row],[Status]]="Pending","",Deals[[#This Row],[DecisionDate]]-Deals[[#This Row],[ApplicationDate]])</f>
        <v>4</v>
      </c>
      <c r="R913" s="21">
        <f>IF(Deals[[#This Row],[Status]]="Approved",1,0)</f>
        <v>1</v>
      </c>
      <c r="S913" s="21">
        <f>IF(Deals[[#This Row],[IsApproved]]=1,Deals[[#This Row],[Amount]],0)</f>
        <v>10300</v>
      </c>
      <c r="T913" s="21">
        <f>Deals[[#This Row],[ApprovedAmount]]*Deals[[#This Row],[ProfitRate]]</f>
        <v>479.98</v>
      </c>
    </row>
    <row r="914" spans="1:20">
      <c r="A914" s="2" t="s">
        <v>1594</v>
      </c>
      <c r="B914" s="3">
        <v>46223</v>
      </c>
      <c r="C914" s="2" t="s">
        <v>78</v>
      </c>
      <c r="D914" s="2" t="s">
        <v>25</v>
      </c>
      <c r="E914" s="2" t="s">
        <v>43</v>
      </c>
      <c r="F914" s="2" t="s">
        <v>3</v>
      </c>
      <c r="G914" s="4">
        <v>95700</v>
      </c>
      <c r="H914" s="5">
        <v>7.2300000000000003E-2</v>
      </c>
      <c r="I914" s="2">
        <v>36</v>
      </c>
      <c r="J914" s="2" t="s">
        <v>26</v>
      </c>
      <c r="K914" s="2" t="s">
        <v>17</v>
      </c>
      <c r="L914" s="3">
        <v>46240</v>
      </c>
      <c r="M914" s="2" t="str">
        <f>_xlfn.XLOOKUP(Deals[[#This Row],[CustomerID]],Customers!A:A,Customers!F:F)</f>
        <v>Mass</v>
      </c>
      <c r="N914" s="2" t="str">
        <f>_xlfn.XLOOKUP(Deals[[#This Row],[CustomerID]],Customers!A:A,Customers!E:E)</f>
        <v>Kuwaiti</v>
      </c>
      <c r="O914" s="2">
        <f>2026-_xlfn.XLOOKUP(Deals[[#This Row],[CustomerID]],Customers!A:A,Customers!D:D)</f>
        <v>34</v>
      </c>
      <c r="P914" s="2" t="str" cm="1">
        <f t="array" ref="P914">_xlfn.IFS(Deals[[#This Row],[Age]]&lt;30,"Under 30",Deals[[#This Row],[Age]]&lt;45,"30-44",TRUE,"45+")</f>
        <v>30-44</v>
      </c>
      <c r="Q914" s="21">
        <f>IF(Deals[[#This Row],[Status]]="Pending","",Deals[[#This Row],[DecisionDate]]-Deals[[#This Row],[ApplicationDate]])</f>
        <v>17</v>
      </c>
      <c r="R914" s="21">
        <f>IF(Deals[[#This Row],[Status]]="Approved",1,0)</f>
        <v>1</v>
      </c>
      <c r="S914" s="21">
        <f>IF(Deals[[#This Row],[IsApproved]]=1,Deals[[#This Row],[Amount]],0)</f>
        <v>95700</v>
      </c>
      <c r="T914" s="21">
        <f>Deals[[#This Row],[ApprovedAmount]]*Deals[[#This Row],[ProfitRate]]</f>
        <v>6919.1100000000006</v>
      </c>
    </row>
    <row r="915" spans="1:20">
      <c r="A915" s="2" t="s">
        <v>1595</v>
      </c>
      <c r="B915" s="3">
        <v>46223</v>
      </c>
      <c r="C915" s="2" t="s">
        <v>1596</v>
      </c>
      <c r="D915" s="2" t="s">
        <v>29</v>
      </c>
      <c r="E915" s="2" t="s">
        <v>30</v>
      </c>
      <c r="F915" s="2" t="s">
        <v>31</v>
      </c>
      <c r="G915" s="4">
        <v>7500</v>
      </c>
      <c r="H915" s="5">
        <v>4.1799999999999997E-2</v>
      </c>
      <c r="I915" s="2">
        <v>60</v>
      </c>
      <c r="J915" s="2" t="s">
        <v>123</v>
      </c>
      <c r="K915" s="2" t="s">
        <v>45</v>
      </c>
      <c r="L915" s="3">
        <v>46226</v>
      </c>
      <c r="M915" s="2" t="str">
        <f>_xlfn.XLOOKUP(Deals[[#This Row],[CustomerID]],Customers!A:A,Customers!F:F)</f>
        <v>Mass</v>
      </c>
      <c r="N915" s="2" t="str">
        <f>_xlfn.XLOOKUP(Deals[[#This Row],[CustomerID]],Customers!A:A,Customers!E:E)</f>
        <v>Kuwaiti</v>
      </c>
      <c r="O915" s="2">
        <f>2026-_xlfn.XLOOKUP(Deals[[#This Row],[CustomerID]],Customers!A:A,Customers!D:D)</f>
        <v>23</v>
      </c>
      <c r="P915" s="2" t="str" cm="1">
        <f t="array" ref="P915">_xlfn.IFS(Deals[[#This Row],[Age]]&lt;30,"Under 30",Deals[[#This Row],[Age]]&lt;45,"30-44",TRUE,"45+")</f>
        <v>Under 30</v>
      </c>
      <c r="Q915" s="21">
        <f>IF(Deals[[#This Row],[Status]]="Pending","",Deals[[#This Row],[DecisionDate]]-Deals[[#This Row],[ApplicationDate]])</f>
        <v>3</v>
      </c>
      <c r="R915" s="21">
        <f>IF(Deals[[#This Row],[Status]]="Approved",1,0)</f>
        <v>0</v>
      </c>
      <c r="S915" s="21">
        <f>IF(Deals[[#This Row],[IsApproved]]=1,Deals[[#This Row],[Amount]],0)</f>
        <v>0</v>
      </c>
      <c r="T915" s="21">
        <f>Deals[[#This Row],[ApprovedAmount]]*Deals[[#This Row],[ProfitRate]]</f>
        <v>0</v>
      </c>
    </row>
    <row r="916" spans="1:20">
      <c r="A916" s="2" t="s">
        <v>1598</v>
      </c>
      <c r="B916" s="3">
        <v>46223</v>
      </c>
      <c r="C916" s="2" t="s">
        <v>1168</v>
      </c>
      <c r="D916" s="2" t="s">
        <v>20</v>
      </c>
      <c r="E916" s="2" t="s">
        <v>30</v>
      </c>
      <c r="F916" s="2" t="s">
        <v>3</v>
      </c>
      <c r="G916" s="4">
        <v>4900</v>
      </c>
      <c r="H916" s="5">
        <v>4.4400000000000002E-2</v>
      </c>
      <c r="I916" s="2">
        <v>48</v>
      </c>
      <c r="J916" s="2" t="s">
        <v>22</v>
      </c>
      <c r="K916" s="2" t="s">
        <v>17</v>
      </c>
      <c r="L916" s="3">
        <v>46225</v>
      </c>
      <c r="M916" s="2" t="str">
        <f>_xlfn.XLOOKUP(Deals[[#This Row],[CustomerID]],Customers!A:A,Customers!F:F)</f>
        <v>Mass</v>
      </c>
      <c r="N916" s="2" t="str">
        <f>_xlfn.XLOOKUP(Deals[[#This Row],[CustomerID]],Customers!A:A,Customers!E:E)</f>
        <v>Kuwaiti</v>
      </c>
      <c r="O916" s="2">
        <f>2026-_xlfn.XLOOKUP(Deals[[#This Row],[CustomerID]],Customers!A:A,Customers!D:D)</f>
        <v>27</v>
      </c>
      <c r="P916" s="2" t="str" cm="1">
        <f t="array" ref="P916">_xlfn.IFS(Deals[[#This Row],[Age]]&lt;30,"Under 30",Deals[[#This Row],[Age]]&lt;45,"30-44",TRUE,"45+")</f>
        <v>Under 30</v>
      </c>
      <c r="Q916" s="21">
        <f>IF(Deals[[#This Row],[Status]]="Pending","",Deals[[#This Row],[DecisionDate]]-Deals[[#This Row],[ApplicationDate]])</f>
        <v>2</v>
      </c>
      <c r="R916" s="21">
        <f>IF(Deals[[#This Row],[Status]]="Approved",1,0)</f>
        <v>1</v>
      </c>
      <c r="S916" s="21">
        <f>IF(Deals[[#This Row],[IsApproved]]=1,Deals[[#This Row],[Amount]],0)</f>
        <v>4900</v>
      </c>
      <c r="T916" s="21">
        <f>Deals[[#This Row],[ApprovedAmount]]*Deals[[#This Row],[ProfitRate]]</f>
        <v>217.56</v>
      </c>
    </row>
    <row r="917" spans="1:20">
      <c r="A917" s="2" t="s">
        <v>1599</v>
      </c>
      <c r="B917" s="3">
        <v>46223</v>
      </c>
      <c r="C917" s="2" t="s">
        <v>1209</v>
      </c>
      <c r="D917" s="2" t="s">
        <v>71</v>
      </c>
      <c r="E917" s="2" t="s">
        <v>30</v>
      </c>
      <c r="F917" s="2" t="s">
        <v>55</v>
      </c>
      <c r="G917" s="4">
        <v>19200</v>
      </c>
      <c r="H917" s="5">
        <v>3.7100000000000001E-2</v>
      </c>
      <c r="I917" s="2">
        <v>48</v>
      </c>
      <c r="J917" s="2" t="s">
        <v>94</v>
      </c>
      <c r="K917" s="2" t="s">
        <v>17</v>
      </c>
      <c r="L917" s="3">
        <v>46231</v>
      </c>
      <c r="M917" s="2" t="str">
        <f>_xlfn.XLOOKUP(Deals[[#This Row],[CustomerID]],Customers!A:A,Customers!F:F)</f>
        <v>Premium</v>
      </c>
      <c r="N917" s="2" t="str">
        <f>_xlfn.XLOOKUP(Deals[[#This Row],[CustomerID]],Customers!A:A,Customers!E:E)</f>
        <v>Kuwaiti</v>
      </c>
      <c r="O917" s="2">
        <f>2026-_xlfn.XLOOKUP(Deals[[#This Row],[CustomerID]],Customers!A:A,Customers!D:D)</f>
        <v>35</v>
      </c>
      <c r="P917" s="2" t="str" cm="1">
        <f t="array" ref="P917">_xlfn.IFS(Deals[[#This Row],[Age]]&lt;30,"Under 30",Deals[[#This Row],[Age]]&lt;45,"30-44",TRUE,"45+")</f>
        <v>30-44</v>
      </c>
      <c r="Q917" s="21">
        <f>IF(Deals[[#This Row],[Status]]="Pending","",Deals[[#This Row],[DecisionDate]]-Deals[[#This Row],[ApplicationDate]])</f>
        <v>8</v>
      </c>
      <c r="R917" s="21">
        <f>IF(Deals[[#This Row],[Status]]="Approved",1,0)</f>
        <v>1</v>
      </c>
      <c r="S917" s="21">
        <f>IF(Deals[[#This Row],[IsApproved]]=1,Deals[[#This Row],[Amount]],0)</f>
        <v>19200</v>
      </c>
      <c r="T917" s="21">
        <f>Deals[[#This Row],[ApprovedAmount]]*Deals[[#This Row],[ProfitRate]]</f>
        <v>712.32</v>
      </c>
    </row>
    <row r="918" spans="1:20">
      <c r="A918" s="2" t="s">
        <v>1600</v>
      </c>
      <c r="B918" s="3">
        <v>46224</v>
      </c>
      <c r="C918" s="2" t="s">
        <v>1601</v>
      </c>
      <c r="D918" s="2" t="s">
        <v>25</v>
      </c>
      <c r="E918" s="2" t="s">
        <v>30</v>
      </c>
      <c r="F918" s="2" t="s">
        <v>55</v>
      </c>
      <c r="G918" s="4">
        <v>4600</v>
      </c>
      <c r="H918" s="5">
        <v>3.7499999999999999E-2</v>
      </c>
      <c r="I918" s="2">
        <v>48</v>
      </c>
      <c r="J918" s="2" t="s">
        <v>181</v>
      </c>
      <c r="K918" s="2" t="s">
        <v>17</v>
      </c>
      <c r="L918" s="3">
        <v>46226</v>
      </c>
      <c r="M918" s="2" t="str">
        <f>_xlfn.XLOOKUP(Deals[[#This Row],[CustomerID]],Customers!A:A,Customers!F:F)</f>
        <v>Mass</v>
      </c>
      <c r="N918" s="2" t="str">
        <f>_xlfn.XLOOKUP(Deals[[#This Row],[CustomerID]],Customers!A:A,Customers!E:E)</f>
        <v>Kuwaiti</v>
      </c>
      <c r="O918" s="2">
        <f>2026-_xlfn.XLOOKUP(Deals[[#This Row],[CustomerID]],Customers!A:A,Customers!D:D)</f>
        <v>47</v>
      </c>
      <c r="P918" s="2" t="str" cm="1">
        <f t="array" ref="P918">_xlfn.IFS(Deals[[#This Row],[Age]]&lt;30,"Under 30",Deals[[#This Row],[Age]]&lt;45,"30-44",TRUE,"45+")</f>
        <v>45+</v>
      </c>
      <c r="Q918" s="21">
        <f>IF(Deals[[#This Row],[Status]]="Pending","",Deals[[#This Row],[DecisionDate]]-Deals[[#This Row],[ApplicationDate]])</f>
        <v>2</v>
      </c>
      <c r="R918" s="21">
        <f>IF(Deals[[#This Row],[Status]]="Approved",1,0)</f>
        <v>1</v>
      </c>
      <c r="S918" s="21">
        <f>IF(Deals[[#This Row],[IsApproved]]=1,Deals[[#This Row],[Amount]],0)</f>
        <v>4600</v>
      </c>
      <c r="T918" s="21">
        <f>Deals[[#This Row],[ApprovedAmount]]*Deals[[#This Row],[ProfitRate]]</f>
        <v>172.5</v>
      </c>
    </row>
    <row r="919" spans="1:20">
      <c r="A919" s="2" t="s">
        <v>1602</v>
      </c>
      <c r="B919" s="3">
        <v>46224</v>
      </c>
      <c r="C919" s="2" t="s">
        <v>671</v>
      </c>
      <c r="D919" s="2" t="s">
        <v>54</v>
      </c>
      <c r="E919" s="2" t="s">
        <v>15</v>
      </c>
      <c r="F919" s="2" t="s">
        <v>3</v>
      </c>
      <c r="G919" s="4">
        <v>15400</v>
      </c>
      <c r="H919" s="5">
        <v>6.0600000000000001E-2</v>
      </c>
      <c r="I919" s="2">
        <v>24</v>
      </c>
      <c r="J919" s="2" t="s">
        <v>56</v>
      </c>
      <c r="K919" s="2" t="s">
        <v>17</v>
      </c>
      <c r="L919" s="3">
        <v>46227</v>
      </c>
      <c r="M919" s="2" t="str">
        <f>_xlfn.XLOOKUP(Deals[[#This Row],[CustomerID]],Customers!A:A,Customers!F:F)</f>
        <v>Mass</v>
      </c>
      <c r="N919" s="2" t="str">
        <f>_xlfn.XLOOKUP(Deals[[#This Row],[CustomerID]],Customers!A:A,Customers!E:E)</f>
        <v>Kuwaiti</v>
      </c>
      <c r="O919" s="2">
        <f>2026-_xlfn.XLOOKUP(Deals[[#This Row],[CustomerID]],Customers!A:A,Customers!D:D)</f>
        <v>23</v>
      </c>
      <c r="P919" s="2" t="str" cm="1">
        <f t="array" ref="P919">_xlfn.IFS(Deals[[#This Row],[Age]]&lt;30,"Under 30",Deals[[#This Row],[Age]]&lt;45,"30-44",TRUE,"45+")</f>
        <v>Under 30</v>
      </c>
      <c r="Q919" s="21">
        <f>IF(Deals[[#This Row],[Status]]="Pending","",Deals[[#This Row],[DecisionDate]]-Deals[[#This Row],[ApplicationDate]])</f>
        <v>3</v>
      </c>
      <c r="R919" s="21">
        <f>IF(Deals[[#This Row],[Status]]="Approved",1,0)</f>
        <v>1</v>
      </c>
      <c r="S919" s="21">
        <f>IF(Deals[[#This Row],[IsApproved]]=1,Deals[[#This Row],[Amount]],0)</f>
        <v>15400</v>
      </c>
      <c r="T919" s="21">
        <f>Deals[[#This Row],[ApprovedAmount]]*Deals[[#This Row],[ProfitRate]]</f>
        <v>933.24</v>
      </c>
    </row>
    <row r="920" spans="1:20">
      <c r="A920" s="2" t="s">
        <v>1603</v>
      </c>
      <c r="B920" s="3">
        <v>46224</v>
      </c>
      <c r="C920" s="2" t="s">
        <v>1604</v>
      </c>
      <c r="D920" s="2" t="s">
        <v>25</v>
      </c>
      <c r="E920" s="2" t="s">
        <v>30</v>
      </c>
      <c r="F920" s="2" t="s">
        <v>3</v>
      </c>
      <c r="G920" s="4">
        <v>9200</v>
      </c>
      <c r="H920" s="5">
        <v>4.19E-2</v>
      </c>
      <c r="I920" s="2">
        <v>60</v>
      </c>
      <c r="J920" s="2" t="s">
        <v>26</v>
      </c>
      <c r="K920" s="2" t="s">
        <v>17</v>
      </c>
      <c r="L920" s="3">
        <v>46227</v>
      </c>
      <c r="M920" s="2" t="str">
        <f>_xlfn.XLOOKUP(Deals[[#This Row],[CustomerID]],Customers!A:A,Customers!F:F)</f>
        <v>Affluent</v>
      </c>
      <c r="N920" s="2" t="str">
        <f>_xlfn.XLOOKUP(Deals[[#This Row],[CustomerID]],Customers!A:A,Customers!E:E)</f>
        <v>Kuwaiti</v>
      </c>
      <c r="O920" s="2">
        <f>2026-_xlfn.XLOOKUP(Deals[[#This Row],[CustomerID]],Customers!A:A,Customers!D:D)</f>
        <v>26</v>
      </c>
      <c r="P920" s="2" t="str" cm="1">
        <f t="array" ref="P920">_xlfn.IFS(Deals[[#This Row],[Age]]&lt;30,"Under 30",Deals[[#This Row],[Age]]&lt;45,"30-44",TRUE,"45+")</f>
        <v>Under 30</v>
      </c>
      <c r="Q920" s="21">
        <f>IF(Deals[[#This Row],[Status]]="Pending","",Deals[[#This Row],[DecisionDate]]-Deals[[#This Row],[ApplicationDate]])</f>
        <v>3</v>
      </c>
      <c r="R920" s="21">
        <f>IF(Deals[[#This Row],[Status]]="Approved",1,0)</f>
        <v>1</v>
      </c>
      <c r="S920" s="21">
        <f>IF(Deals[[#This Row],[IsApproved]]=1,Deals[[#This Row],[Amount]],0)</f>
        <v>9200</v>
      </c>
      <c r="T920" s="21">
        <f>Deals[[#This Row],[ApprovedAmount]]*Deals[[#This Row],[ProfitRate]]</f>
        <v>385.48</v>
      </c>
    </row>
    <row r="921" spans="1:20">
      <c r="A921" s="2" t="s">
        <v>1605</v>
      </c>
      <c r="B921" s="3">
        <v>46224</v>
      </c>
      <c r="C921" s="2" t="s">
        <v>1606</v>
      </c>
      <c r="D921" s="2" t="s">
        <v>71</v>
      </c>
      <c r="E921" s="2" t="s">
        <v>43</v>
      </c>
      <c r="F921" s="2" t="s">
        <v>3</v>
      </c>
      <c r="G921" s="4">
        <v>49400</v>
      </c>
      <c r="H921" s="5">
        <v>6.6900000000000001E-2</v>
      </c>
      <c r="I921" s="2">
        <v>36</v>
      </c>
      <c r="J921" s="2" t="s">
        <v>72</v>
      </c>
      <c r="K921" s="2" t="s">
        <v>17</v>
      </c>
      <c r="L921" s="3">
        <v>46237</v>
      </c>
      <c r="M921" s="2" t="str">
        <f>_xlfn.XLOOKUP(Deals[[#This Row],[CustomerID]],Customers!A:A,Customers!F:F)</f>
        <v>Affluent</v>
      </c>
      <c r="N921" s="2" t="str">
        <f>_xlfn.XLOOKUP(Deals[[#This Row],[CustomerID]],Customers!A:A,Customers!E:E)</f>
        <v>Non-Kuwaiti</v>
      </c>
      <c r="O921" s="2">
        <f>2026-_xlfn.XLOOKUP(Deals[[#This Row],[CustomerID]],Customers!A:A,Customers!D:D)</f>
        <v>55</v>
      </c>
      <c r="P921" s="2" t="str" cm="1">
        <f t="array" ref="P921">_xlfn.IFS(Deals[[#This Row],[Age]]&lt;30,"Under 30",Deals[[#This Row],[Age]]&lt;45,"30-44",TRUE,"45+")</f>
        <v>45+</v>
      </c>
      <c r="Q921" s="21">
        <f>IF(Deals[[#This Row],[Status]]="Pending","",Deals[[#This Row],[DecisionDate]]-Deals[[#This Row],[ApplicationDate]])</f>
        <v>13</v>
      </c>
      <c r="R921" s="21">
        <f>IF(Deals[[#This Row],[Status]]="Approved",1,0)</f>
        <v>1</v>
      </c>
      <c r="S921" s="21">
        <f>IF(Deals[[#This Row],[IsApproved]]=1,Deals[[#This Row],[Amount]],0)</f>
        <v>49400</v>
      </c>
      <c r="T921" s="21">
        <f>Deals[[#This Row],[ApprovedAmount]]*Deals[[#This Row],[ProfitRate]]</f>
        <v>3304.86</v>
      </c>
    </row>
    <row r="922" spans="1:20">
      <c r="A922" s="2" t="s">
        <v>1607</v>
      </c>
      <c r="B922" s="3">
        <v>46224</v>
      </c>
      <c r="C922" s="2" t="s">
        <v>125</v>
      </c>
      <c r="D922" s="2" t="s">
        <v>20</v>
      </c>
      <c r="E922" s="2" t="s">
        <v>15</v>
      </c>
      <c r="F922" s="2" t="s">
        <v>3</v>
      </c>
      <c r="G922" s="4">
        <v>24100</v>
      </c>
      <c r="H922" s="5">
        <v>5.6000000000000001E-2</v>
      </c>
      <c r="I922" s="2">
        <v>60</v>
      </c>
      <c r="J922" s="2" t="s">
        <v>44</v>
      </c>
      <c r="K922" s="2" t="s">
        <v>17</v>
      </c>
      <c r="L922" s="3">
        <v>46227</v>
      </c>
      <c r="M922" s="2" t="str">
        <f>_xlfn.XLOOKUP(Deals[[#This Row],[CustomerID]],Customers!A:A,Customers!F:F)</f>
        <v>Mass</v>
      </c>
      <c r="N922" s="2" t="str">
        <f>_xlfn.XLOOKUP(Deals[[#This Row],[CustomerID]],Customers!A:A,Customers!E:E)</f>
        <v>Non-Kuwaiti</v>
      </c>
      <c r="O922" s="2">
        <f>2026-_xlfn.XLOOKUP(Deals[[#This Row],[CustomerID]],Customers!A:A,Customers!D:D)</f>
        <v>34</v>
      </c>
      <c r="P922" s="2" t="str" cm="1">
        <f t="array" ref="P922">_xlfn.IFS(Deals[[#This Row],[Age]]&lt;30,"Under 30",Deals[[#This Row],[Age]]&lt;45,"30-44",TRUE,"45+")</f>
        <v>30-44</v>
      </c>
      <c r="Q922" s="21">
        <f>IF(Deals[[#This Row],[Status]]="Pending","",Deals[[#This Row],[DecisionDate]]-Deals[[#This Row],[ApplicationDate]])</f>
        <v>3</v>
      </c>
      <c r="R922" s="21">
        <f>IF(Deals[[#This Row],[Status]]="Approved",1,0)</f>
        <v>1</v>
      </c>
      <c r="S922" s="21">
        <f>IF(Deals[[#This Row],[IsApproved]]=1,Deals[[#This Row],[Amount]],0)</f>
        <v>24100</v>
      </c>
      <c r="T922" s="21">
        <f>Deals[[#This Row],[ApprovedAmount]]*Deals[[#This Row],[ProfitRate]]</f>
        <v>1349.6000000000001</v>
      </c>
    </row>
    <row r="923" spans="1:20">
      <c r="A923" s="2" t="s">
        <v>1608</v>
      </c>
      <c r="B923" s="3">
        <v>46225</v>
      </c>
      <c r="C923" s="2" t="s">
        <v>685</v>
      </c>
      <c r="D923" s="2" t="s">
        <v>29</v>
      </c>
      <c r="E923" s="2" t="s">
        <v>30</v>
      </c>
      <c r="F923" s="2" t="s">
        <v>3</v>
      </c>
      <c r="G923" s="4">
        <v>4100</v>
      </c>
      <c r="H923" s="5">
        <v>4.1000000000000002E-2</v>
      </c>
      <c r="I923" s="2">
        <v>48</v>
      </c>
      <c r="J923" s="2" t="s">
        <v>32</v>
      </c>
      <c r="K923" s="2" t="s">
        <v>17</v>
      </c>
      <c r="L923" s="3">
        <v>46228</v>
      </c>
      <c r="M923" s="2" t="str">
        <f>_xlfn.XLOOKUP(Deals[[#This Row],[CustomerID]],Customers!A:A,Customers!F:F)</f>
        <v>Mass</v>
      </c>
      <c r="N923" s="2" t="str">
        <f>_xlfn.XLOOKUP(Deals[[#This Row],[CustomerID]],Customers!A:A,Customers!E:E)</f>
        <v>Non-Kuwaiti</v>
      </c>
      <c r="O923" s="2">
        <f>2026-_xlfn.XLOOKUP(Deals[[#This Row],[CustomerID]],Customers!A:A,Customers!D:D)</f>
        <v>26</v>
      </c>
      <c r="P923" s="2" t="str" cm="1">
        <f t="array" ref="P923">_xlfn.IFS(Deals[[#This Row],[Age]]&lt;30,"Under 30",Deals[[#This Row],[Age]]&lt;45,"30-44",TRUE,"45+")</f>
        <v>Under 30</v>
      </c>
      <c r="Q923" s="21">
        <f>IF(Deals[[#This Row],[Status]]="Pending","",Deals[[#This Row],[DecisionDate]]-Deals[[#This Row],[ApplicationDate]])</f>
        <v>3</v>
      </c>
      <c r="R923" s="21">
        <f>IF(Deals[[#This Row],[Status]]="Approved",1,0)</f>
        <v>1</v>
      </c>
      <c r="S923" s="21">
        <f>IF(Deals[[#This Row],[IsApproved]]=1,Deals[[#This Row],[Amount]],0)</f>
        <v>4100</v>
      </c>
      <c r="T923" s="21">
        <f>Deals[[#This Row],[ApprovedAmount]]*Deals[[#This Row],[ProfitRate]]</f>
        <v>168.1</v>
      </c>
    </row>
    <row r="924" spans="1:20">
      <c r="A924" s="2" t="s">
        <v>1609</v>
      </c>
      <c r="B924" s="3">
        <v>46225</v>
      </c>
      <c r="C924" s="2" t="s">
        <v>1376</v>
      </c>
      <c r="D924" s="2" t="s">
        <v>14</v>
      </c>
      <c r="E924" s="2" t="s">
        <v>43</v>
      </c>
      <c r="F924" s="2" t="s">
        <v>3</v>
      </c>
      <c r="G924" s="4">
        <v>49400</v>
      </c>
      <c r="H924" s="5">
        <v>7.9200000000000007E-2</v>
      </c>
      <c r="I924" s="2">
        <v>36</v>
      </c>
      <c r="J924" s="2" t="s">
        <v>48</v>
      </c>
      <c r="K924" s="2" t="s">
        <v>17</v>
      </c>
      <c r="L924" s="3">
        <v>46232</v>
      </c>
      <c r="M924" s="2" t="str">
        <f>_xlfn.XLOOKUP(Deals[[#This Row],[CustomerID]],Customers!A:A,Customers!F:F)</f>
        <v>Affluent</v>
      </c>
      <c r="N924" s="2" t="str">
        <f>_xlfn.XLOOKUP(Deals[[#This Row],[CustomerID]],Customers!A:A,Customers!E:E)</f>
        <v>Non-Kuwaiti</v>
      </c>
      <c r="O924" s="2">
        <f>2026-_xlfn.XLOOKUP(Deals[[#This Row],[CustomerID]],Customers!A:A,Customers!D:D)</f>
        <v>24</v>
      </c>
      <c r="P924" s="2" t="str" cm="1">
        <f t="array" ref="P924">_xlfn.IFS(Deals[[#This Row],[Age]]&lt;30,"Under 30",Deals[[#This Row],[Age]]&lt;45,"30-44",TRUE,"45+")</f>
        <v>Under 30</v>
      </c>
      <c r="Q924" s="21">
        <f>IF(Deals[[#This Row],[Status]]="Pending","",Deals[[#This Row],[DecisionDate]]-Deals[[#This Row],[ApplicationDate]])</f>
        <v>7</v>
      </c>
      <c r="R924" s="21">
        <f>IF(Deals[[#This Row],[Status]]="Approved",1,0)</f>
        <v>1</v>
      </c>
      <c r="S924" s="21">
        <f>IF(Deals[[#This Row],[IsApproved]]=1,Deals[[#This Row],[Amount]],0)</f>
        <v>49400</v>
      </c>
      <c r="T924" s="21">
        <f>Deals[[#This Row],[ApprovedAmount]]*Deals[[#This Row],[ProfitRate]]</f>
        <v>3912.4800000000005</v>
      </c>
    </row>
    <row r="925" spans="1:20">
      <c r="A925" s="2" t="s">
        <v>1610</v>
      </c>
      <c r="B925" s="3">
        <v>46225</v>
      </c>
      <c r="C925" s="2" t="s">
        <v>607</v>
      </c>
      <c r="D925" s="2" t="s">
        <v>54</v>
      </c>
      <c r="E925" s="2" t="s">
        <v>15</v>
      </c>
      <c r="F925" s="2" t="s">
        <v>3</v>
      </c>
      <c r="G925" s="4">
        <v>19700</v>
      </c>
      <c r="H925" s="5">
        <v>5.1799999999999999E-2</v>
      </c>
      <c r="I925" s="2">
        <v>24</v>
      </c>
      <c r="J925" s="2" t="s">
        <v>148</v>
      </c>
      <c r="K925" s="2" t="s">
        <v>17</v>
      </c>
      <c r="L925" s="3">
        <v>46232</v>
      </c>
      <c r="M925" s="2" t="str">
        <f>_xlfn.XLOOKUP(Deals[[#This Row],[CustomerID]],Customers!A:A,Customers!F:F)</f>
        <v>Mass</v>
      </c>
      <c r="N925" s="2" t="str">
        <f>_xlfn.XLOOKUP(Deals[[#This Row],[CustomerID]],Customers!A:A,Customers!E:E)</f>
        <v>Kuwaiti</v>
      </c>
      <c r="O925" s="2">
        <f>2026-_xlfn.XLOOKUP(Deals[[#This Row],[CustomerID]],Customers!A:A,Customers!D:D)</f>
        <v>34</v>
      </c>
      <c r="P925" s="2" t="str" cm="1">
        <f t="array" ref="P925">_xlfn.IFS(Deals[[#This Row],[Age]]&lt;30,"Under 30",Deals[[#This Row],[Age]]&lt;45,"30-44",TRUE,"45+")</f>
        <v>30-44</v>
      </c>
      <c r="Q925" s="21">
        <f>IF(Deals[[#This Row],[Status]]="Pending","",Deals[[#This Row],[DecisionDate]]-Deals[[#This Row],[ApplicationDate]])</f>
        <v>7</v>
      </c>
      <c r="R925" s="21">
        <f>IF(Deals[[#This Row],[Status]]="Approved",1,0)</f>
        <v>1</v>
      </c>
      <c r="S925" s="21">
        <f>IF(Deals[[#This Row],[IsApproved]]=1,Deals[[#This Row],[Amount]],0)</f>
        <v>19700</v>
      </c>
      <c r="T925" s="21">
        <f>Deals[[#This Row],[ApprovedAmount]]*Deals[[#This Row],[ProfitRate]]</f>
        <v>1020.4599999999999</v>
      </c>
    </row>
    <row r="926" spans="1:20">
      <c r="A926" s="2" t="s">
        <v>1611</v>
      </c>
      <c r="B926" s="3">
        <v>46225</v>
      </c>
      <c r="C926" s="2" t="s">
        <v>1612</v>
      </c>
      <c r="D926" s="2" t="s">
        <v>20</v>
      </c>
      <c r="E926" s="2" t="s">
        <v>30</v>
      </c>
      <c r="F926" s="2" t="s">
        <v>3</v>
      </c>
      <c r="G926" s="4">
        <v>12200</v>
      </c>
      <c r="H926" s="5">
        <v>4.4299999999999999E-2</v>
      </c>
      <c r="I926" s="2">
        <v>48</v>
      </c>
      <c r="J926" s="2" t="s">
        <v>22</v>
      </c>
      <c r="K926" s="2" t="s">
        <v>17</v>
      </c>
      <c r="L926" s="3">
        <v>46226</v>
      </c>
      <c r="M926" s="2" t="str">
        <f>_xlfn.XLOOKUP(Deals[[#This Row],[CustomerID]],Customers!A:A,Customers!F:F)</f>
        <v>Mass</v>
      </c>
      <c r="N926" s="2" t="str">
        <f>_xlfn.XLOOKUP(Deals[[#This Row],[CustomerID]],Customers!A:A,Customers!E:E)</f>
        <v>Non-Kuwaiti</v>
      </c>
      <c r="O926" s="2">
        <f>2026-_xlfn.XLOOKUP(Deals[[#This Row],[CustomerID]],Customers!A:A,Customers!D:D)</f>
        <v>56</v>
      </c>
      <c r="P926" s="2" t="str" cm="1">
        <f t="array" ref="P926">_xlfn.IFS(Deals[[#This Row],[Age]]&lt;30,"Under 30",Deals[[#This Row],[Age]]&lt;45,"30-44",TRUE,"45+")</f>
        <v>45+</v>
      </c>
      <c r="Q926" s="21">
        <f>IF(Deals[[#This Row],[Status]]="Pending","",Deals[[#This Row],[DecisionDate]]-Deals[[#This Row],[ApplicationDate]])</f>
        <v>1</v>
      </c>
      <c r="R926" s="21">
        <f>IF(Deals[[#This Row],[Status]]="Approved",1,0)</f>
        <v>1</v>
      </c>
      <c r="S926" s="21">
        <f>IF(Deals[[#This Row],[IsApproved]]=1,Deals[[#This Row],[Amount]],0)</f>
        <v>12200</v>
      </c>
      <c r="T926" s="21">
        <f>Deals[[#This Row],[ApprovedAmount]]*Deals[[#This Row],[ProfitRate]]</f>
        <v>540.46</v>
      </c>
    </row>
    <row r="927" spans="1:20">
      <c r="A927" s="2" t="s">
        <v>1613</v>
      </c>
      <c r="B927" s="3">
        <v>46226</v>
      </c>
      <c r="C927" s="2" t="s">
        <v>1058</v>
      </c>
      <c r="D927" s="2" t="s">
        <v>25</v>
      </c>
      <c r="E927" s="2" t="s">
        <v>21</v>
      </c>
      <c r="F927" s="2" t="s">
        <v>3</v>
      </c>
      <c r="G927" s="4">
        <v>47600</v>
      </c>
      <c r="H927" s="5">
        <v>3.8899999999999997E-2</v>
      </c>
      <c r="I927" s="2">
        <v>240</v>
      </c>
      <c r="J927" s="2" t="s">
        <v>66</v>
      </c>
      <c r="K927" s="2" t="s">
        <v>17</v>
      </c>
      <c r="L927" s="3">
        <v>46252</v>
      </c>
      <c r="M927" s="2" t="str">
        <f>_xlfn.XLOOKUP(Deals[[#This Row],[CustomerID]],Customers!A:A,Customers!F:F)</f>
        <v>Mass</v>
      </c>
      <c r="N927" s="2" t="str">
        <f>_xlfn.XLOOKUP(Deals[[#This Row],[CustomerID]],Customers!A:A,Customers!E:E)</f>
        <v>Kuwaiti</v>
      </c>
      <c r="O927" s="2">
        <f>2026-_xlfn.XLOOKUP(Deals[[#This Row],[CustomerID]],Customers!A:A,Customers!D:D)</f>
        <v>44</v>
      </c>
      <c r="P927" s="2" t="str" cm="1">
        <f t="array" ref="P927">_xlfn.IFS(Deals[[#This Row],[Age]]&lt;30,"Under 30",Deals[[#This Row],[Age]]&lt;45,"30-44",TRUE,"45+")</f>
        <v>30-44</v>
      </c>
      <c r="Q927" s="21">
        <f>IF(Deals[[#This Row],[Status]]="Pending","",Deals[[#This Row],[DecisionDate]]-Deals[[#This Row],[ApplicationDate]])</f>
        <v>26</v>
      </c>
      <c r="R927" s="21">
        <f>IF(Deals[[#This Row],[Status]]="Approved",1,0)</f>
        <v>1</v>
      </c>
      <c r="S927" s="21">
        <f>IF(Deals[[#This Row],[IsApproved]]=1,Deals[[#This Row],[Amount]],0)</f>
        <v>47600</v>
      </c>
      <c r="T927" s="21">
        <f>Deals[[#This Row],[ApprovedAmount]]*Deals[[#This Row],[ProfitRate]]</f>
        <v>1851.6399999999999</v>
      </c>
    </row>
    <row r="928" spans="1:20">
      <c r="A928" s="2" t="s">
        <v>1614</v>
      </c>
      <c r="B928" s="3">
        <v>46226</v>
      </c>
      <c r="C928" s="2" t="s">
        <v>222</v>
      </c>
      <c r="D928" s="2" t="s">
        <v>25</v>
      </c>
      <c r="E928" s="2" t="s">
        <v>15</v>
      </c>
      <c r="F928" s="2" t="s">
        <v>31</v>
      </c>
      <c r="G928" s="4">
        <v>18000</v>
      </c>
      <c r="H928" s="5">
        <v>6.2E-2</v>
      </c>
      <c r="I928" s="2">
        <v>36</v>
      </c>
      <c r="J928" s="2" t="s">
        <v>181</v>
      </c>
      <c r="K928" s="2" t="s">
        <v>17</v>
      </c>
      <c r="L928" s="3">
        <v>46229</v>
      </c>
      <c r="M928" s="2" t="str">
        <f>_xlfn.XLOOKUP(Deals[[#This Row],[CustomerID]],Customers!A:A,Customers!F:F)</f>
        <v>Affluent</v>
      </c>
      <c r="N928" s="2" t="str">
        <f>_xlfn.XLOOKUP(Deals[[#This Row],[CustomerID]],Customers!A:A,Customers!E:E)</f>
        <v>Kuwaiti</v>
      </c>
      <c r="O928" s="2">
        <f>2026-_xlfn.XLOOKUP(Deals[[#This Row],[CustomerID]],Customers!A:A,Customers!D:D)</f>
        <v>61</v>
      </c>
      <c r="P928" s="2" t="str" cm="1">
        <f t="array" ref="P928">_xlfn.IFS(Deals[[#This Row],[Age]]&lt;30,"Under 30",Deals[[#This Row],[Age]]&lt;45,"30-44",TRUE,"45+")</f>
        <v>45+</v>
      </c>
      <c r="Q928" s="21">
        <f>IF(Deals[[#This Row],[Status]]="Pending","",Deals[[#This Row],[DecisionDate]]-Deals[[#This Row],[ApplicationDate]])</f>
        <v>3</v>
      </c>
      <c r="R928" s="21">
        <f>IF(Deals[[#This Row],[Status]]="Approved",1,0)</f>
        <v>1</v>
      </c>
      <c r="S928" s="21">
        <f>IF(Deals[[#This Row],[IsApproved]]=1,Deals[[#This Row],[Amount]],0)</f>
        <v>18000</v>
      </c>
      <c r="T928" s="21">
        <f>Deals[[#This Row],[ApprovedAmount]]*Deals[[#This Row],[ProfitRate]]</f>
        <v>1116</v>
      </c>
    </row>
    <row r="929" spans="1:20">
      <c r="A929" s="2" t="s">
        <v>1615</v>
      </c>
      <c r="B929" s="3">
        <v>46226</v>
      </c>
      <c r="C929" s="2" t="s">
        <v>1357</v>
      </c>
      <c r="D929" s="2" t="s">
        <v>71</v>
      </c>
      <c r="E929" s="2" t="s">
        <v>30</v>
      </c>
      <c r="F929" s="2" t="s">
        <v>3</v>
      </c>
      <c r="G929" s="4">
        <v>9100</v>
      </c>
      <c r="H929" s="5">
        <v>4.5900000000000003E-2</v>
      </c>
      <c r="I929" s="2">
        <v>60</v>
      </c>
      <c r="J929" s="2" t="s">
        <v>94</v>
      </c>
      <c r="K929" s="2" t="s">
        <v>45</v>
      </c>
      <c r="L929" s="3">
        <v>46232</v>
      </c>
      <c r="M929" s="2" t="str">
        <f>_xlfn.XLOOKUP(Deals[[#This Row],[CustomerID]],Customers!A:A,Customers!F:F)</f>
        <v>Mass</v>
      </c>
      <c r="N929" s="2" t="str">
        <f>_xlfn.XLOOKUP(Deals[[#This Row],[CustomerID]],Customers!A:A,Customers!E:E)</f>
        <v>Non-Kuwaiti</v>
      </c>
      <c r="O929" s="2">
        <f>2026-_xlfn.XLOOKUP(Deals[[#This Row],[CustomerID]],Customers!A:A,Customers!D:D)</f>
        <v>41</v>
      </c>
      <c r="P929" s="2" t="str" cm="1">
        <f t="array" ref="P929">_xlfn.IFS(Deals[[#This Row],[Age]]&lt;30,"Under 30",Deals[[#This Row],[Age]]&lt;45,"30-44",TRUE,"45+")</f>
        <v>30-44</v>
      </c>
      <c r="Q929" s="21">
        <f>IF(Deals[[#This Row],[Status]]="Pending","",Deals[[#This Row],[DecisionDate]]-Deals[[#This Row],[ApplicationDate]])</f>
        <v>6</v>
      </c>
      <c r="R929" s="21">
        <f>IF(Deals[[#This Row],[Status]]="Approved",1,0)</f>
        <v>0</v>
      </c>
      <c r="S929" s="21">
        <f>IF(Deals[[#This Row],[IsApproved]]=1,Deals[[#This Row],[Amount]],0)</f>
        <v>0</v>
      </c>
      <c r="T929" s="21">
        <f>Deals[[#This Row],[ApprovedAmount]]*Deals[[#This Row],[ProfitRate]]</f>
        <v>0</v>
      </c>
    </row>
    <row r="930" spans="1:20">
      <c r="A930" s="2" t="s">
        <v>1616</v>
      </c>
      <c r="B930" s="3">
        <v>46226</v>
      </c>
      <c r="C930" s="2" t="s">
        <v>1359</v>
      </c>
      <c r="D930" s="2" t="s">
        <v>29</v>
      </c>
      <c r="E930" s="2" t="s">
        <v>15</v>
      </c>
      <c r="F930" s="2" t="s">
        <v>3</v>
      </c>
      <c r="G930" s="4">
        <v>25000</v>
      </c>
      <c r="H930" s="5">
        <v>5.3100000000000001E-2</v>
      </c>
      <c r="I930" s="2">
        <v>12</v>
      </c>
      <c r="J930" s="2" t="s">
        <v>61</v>
      </c>
      <c r="K930" s="2" t="s">
        <v>17</v>
      </c>
      <c r="L930" s="3">
        <v>46228</v>
      </c>
      <c r="M930" s="2" t="str">
        <f>_xlfn.XLOOKUP(Deals[[#This Row],[CustomerID]],Customers!A:A,Customers!F:F)</f>
        <v>Affluent</v>
      </c>
      <c r="N930" s="2" t="str">
        <f>_xlfn.XLOOKUP(Deals[[#This Row],[CustomerID]],Customers!A:A,Customers!E:E)</f>
        <v>Non-Kuwaiti</v>
      </c>
      <c r="O930" s="2">
        <f>2026-_xlfn.XLOOKUP(Deals[[#This Row],[CustomerID]],Customers!A:A,Customers!D:D)</f>
        <v>43</v>
      </c>
      <c r="P930" s="2" t="str" cm="1">
        <f t="array" ref="P930">_xlfn.IFS(Deals[[#This Row],[Age]]&lt;30,"Under 30",Deals[[#This Row],[Age]]&lt;45,"30-44",TRUE,"45+")</f>
        <v>30-44</v>
      </c>
      <c r="Q930" s="21">
        <f>IF(Deals[[#This Row],[Status]]="Pending","",Deals[[#This Row],[DecisionDate]]-Deals[[#This Row],[ApplicationDate]])</f>
        <v>2</v>
      </c>
      <c r="R930" s="21">
        <f>IF(Deals[[#This Row],[Status]]="Approved",1,0)</f>
        <v>1</v>
      </c>
      <c r="S930" s="21">
        <f>IF(Deals[[#This Row],[IsApproved]]=1,Deals[[#This Row],[Amount]],0)</f>
        <v>25000</v>
      </c>
      <c r="T930" s="21">
        <f>Deals[[#This Row],[ApprovedAmount]]*Deals[[#This Row],[ProfitRate]]</f>
        <v>1327.5</v>
      </c>
    </row>
    <row r="931" spans="1:20">
      <c r="A931" s="2" t="s">
        <v>1617</v>
      </c>
      <c r="B931" s="3">
        <v>46226</v>
      </c>
      <c r="C931" s="2" t="s">
        <v>1048</v>
      </c>
      <c r="D931" s="2" t="s">
        <v>54</v>
      </c>
      <c r="E931" s="2" t="s">
        <v>15</v>
      </c>
      <c r="F931" s="2" t="s">
        <v>3</v>
      </c>
      <c r="G931" s="4">
        <v>13900</v>
      </c>
      <c r="H931" s="5">
        <v>6.7000000000000004E-2</v>
      </c>
      <c r="I931" s="2">
        <v>36</v>
      </c>
      <c r="J931" s="2" t="s">
        <v>148</v>
      </c>
      <c r="K931" s="2" t="s">
        <v>17</v>
      </c>
      <c r="L931" s="3">
        <v>46229</v>
      </c>
      <c r="M931" s="2" t="str">
        <f>_xlfn.XLOOKUP(Deals[[#This Row],[CustomerID]],Customers!A:A,Customers!F:F)</f>
        <v>Mass</v>
      </c>
      <c r="N931" s="2" t="str">
        <f>_xlfn.XLOOKUP(Deals[[#This Row],[CustomerID]],Customers!A:A,Customers!E:E)</f>
        <v>Kuwaiti</v>
      </c>
      <c r="O931" s="2">
        <f>2026-_xlfn.XLOOKUP(Deals[[#This Row],[CustomerID]],Customers!A:A,Customers!D:D)</f>
        <v>51</v>
      </c>
      <c r="P931" s="2" t="str" cm="1">
        <f t="array" ref="P931">_xlfn.IFS(Deals[[#This Row],[Age]]&lt;30,"Under 30",Deals[[#This Row],[Age]]&lt;45,"30-44",TRUE,"45+")</f>
        <v>45+</v>
      </c>
      <c r="Q931" s="21">
        <f>IF(Deals[[#This Row],[Status]]="Pending","",Deals[[#This Row],[DecisionDate]]-Deals[[#This Row],[ApplicationDate]])</f>
        <v>3</v>
      </c>
      <c r="R931" s="21">
        <f>IF(Deals[[#This Row],[Status]]="Approved",1,0)</f>
        <v>1</v>
      </c>
      <c r="S931" s="21">
        <f>IF(Deals[[#This Row],[IsApproved]]=1,Deals[[#This Row],[Amount]],0)</f>
        <v>13900</v>
      </c>
      <c r="T931" s="21">
        <f>Deals[[#This Row],[ApprovedAmount]]*Deals[[#This Row],[ProfitRate]]</f>
        <v>931.30000000000007</v>
      </c>
    </row>
    <row r="932" spans="1:20">
      <c r="A932" s="2" t="s">
        <v>1618</v>
      </c>
      <c r="B932" s="3">
        <v>46226</v>
      </c>
      <c r="C932" s="2" t="s">
        <v>581</v>
      </c>
      <c r="D932" s="2" t="s">
        <v>25</v>
      </c>
      <c r="E932" s="2" t="s">
        <v>43</v>
      </c>
      <c r="F932" s="2" t="s">
        <v>31</v>
      </c>
      <c r="G932" s="4">
        <v>65200</v>
      </c>
      <c r="H932" s="5">
        <v>5.8099999999999999E-2</v>
      </c>
      <c r="I932" s="2">
        <v>24</v>
      </c>
      <c r="J932" s="2" t="s">
        <v>181</v>
      </c>
      <c r="K932" s="2" t="s">
        <v>45</v>
      </c>
      <c r="L932" s="3">
        <v>46243</v>
      </c>
      <c r="M932" s="2" t="str">
        <f>_xlfn.XLOOKUP(Deals[[#This Row],[CustomerID]],Customers!A:A,Customers!F:F)</f>
        <v>Mass</v>
      </c>
      <c r="N932" s="2" t="str">
        <f>_xlfn.XLOOKUP(Deals[[#This Row],[CustomerID]],Customers!A:A,Customers!E:E)</f>
        <v>Kuwaiti</v>
      </c>
      <c r="O932" s="2">
        <f>2026-_xlfn.XLOOKUP(Deals[[#This Row],[CustomerID]],Customers!A:A,Customers!D:D)</f>
        <v>69</v>
      </c>
      <c r="P932" s="2" t="str" cm="1">
        <f t="array" ref="P932">_xlfn.IFS(Deals[[#This Row],[Age]]&lt;30,"Under 30",Deals[[#This Row],[Age]]&lt;45,"30-44",TRUE,"45+")</f>
        <v>45+</v>
      </c>
      <c r="Q932" s="21">
        <f>IF(Deals[[#This Row],[Status]]="Pending","",Deals[[#This Row],[DecisionDate]]-Deals[[#This Row],[ApplicationDate]])</f>
        <v>17</v>
      </c>
      <c r="R932" s="21">
        <f>IF(Deals[[#This Row],[Status]]="Approved",1,0)</f>
        <v>0</v>
      </c>
      <c r="S932" s="21">
        <f>IF(Deals[[#This Row],[IsApproved]]=1,Deals[[#This Row],[Amount]],0)</f>
        <v>0</v>
      </c>
      <c r="T932" s="21">
        <f>Deals[[#This Row],[ApprovedAmount]]*Deals[[#This Row],[ProfitRate]]</f>
        <v>0</v>
      </c>
    </row>
    <row r="933" spans="1:20">
      <c r="A933" s="2" t="s">
        <v>1619</v>
      </c>
      <c r="B933" s="3">
        <v>46227</v>
      </c>
      <c r="C933" s="2" t="s">
        <v>1620</v>
      </c>
      <c r="D933" s="2" t="s">
        <v>20</v>
      </c>
      <c r="E933" s="2" t="s">
        <v>15</v>
      </c>
      <c r="F933" s="2" t="s">
        <v>3</v>
      </c>
      <c r="G933" s="4">
        <v>19000</v>
      </c>
      <c r="H933" s="5">
        <v>5.6099999999999997E-2</v>
      </c>
      <c r="I933" s="2">
        <v>24</v>
      </c>
      <c r="J933" s="2" t="s">
        <v>44</v>
      </c>
      <c r="K933" s="2" t="s">
        <v>45</v>
      </c>
      <c r="L933" s="3">
        <v>46233</v>
      </c>
      <c r="M933" s="2" t="str">
        <f>_xlfn.XLOOKUP(Deals[[#This Row],[CustomerID]],Customers!A:A,Customers!F:F)</f>
        <v>Mass</v>
      </c>
      <c r="N933" s="2" t="str">
        <f>_xlfn.XLOOKUP(Deals[[#This Row],[CustomerID]],Customers!A:A,Customers!E:E)</f>
        <v>Kuwaiti</v>
      </c>
      <c r="O933" s="2">
        <f>2026-_xlfn.XLOOKUP(Deals[[#This Row],[CustomerID]],Customers!A:A,Customers!D:D)</f>
        <v>52</v>
      </c>
      <c r="P933" s="2" t="str" cm="1">
        <f t="array" ref="P933">_xlfn.IFS(Deals[[#This Row],[Age]]&lt;30,"Under 30",Deals[[#This Row],[Age]]&lt;45,"30-44",TRUE,"45+")</f>
        <v>45+</v>
      </c>
      <c r="Q933" s="21">
        <f>IF(Deals[[#This Row],[Status]]="Pending","",Deals[[#This Row],[DecisionDate]]-Deals[[#This Row],[ApplicationDate]])</f>
        <v>6</v>
      </c>
      <c r="R933" s="21">
        <f>IF(Deals[[#This Row],[Status]]="Approved",1,0)</f>
        <v>0</v>
      </c>
      <c r="S933" s="21">
        <f>IF(Deals[[#This Row],[IsApproved]]=1,Deals[[#This Row],[Amount]],0)</f>
        <v>0</v>
      </c>
      <c r="T933" s="21">
        <f>Deals[[#This Row],[ApprovedAmount]]*Deals[[#This Row],[ProfitRate]]</f>
        <v>0</v>
      </c>
    </row>
    <row r="934" spans="1:20">
      <c r="A934" s="2" t="s">
        <v>1621</v>
      </c>
      <c r="B934" s="3">
        <v>46227</v>
      </c>
      <c r="C934" s="2" t="s">
        <v>1622</v>
      </c>
      <c r="D934" s="2" t="s">
        <v>29</v>
      </c>
      <c r="E934" s="2" t="s">
        <v>43</v>
      </c>
      <c r="F934" s="2" t="s">
        <v>3</v>
      </c>
      <c r="G934" s="4">
        <v>77900</v>
      </c>
      <c r="H934" s="5">
        <v>5.7700000000000001E-2</v>
      </c>
      <c r="I934" s="2">
        <v>84</v>
      </c>
      <c r="J934" s="2" t="s">
        <v>123</v>
      </c>
      <c r="K934" s="2" t="s">
        <v>17</v>
      </c>
      <c r="L934" s="3">
        <v>46247</v>
      </c>
      <c r="M934" s="2" t="str">
        <f>_xlfn.XLOOKUP(Deals[[#This Row],[CustomerID]],Customers!A:A,Customers!F:F)</f>
        <v>Affluent</v>
      </c>
      <c r="N934" s="2" t="str">
        <f>_xlfn.XLOOKUP(Deals[[#This Row],[CustomerID]],Customers!A:A,Customers!E:E)</f>
        <v>Non-Kuwaiti</v>
      </c>
      <c r="O934" s="2">
        <f>2026-_xlfn.XLOOKUP(Deals[[#This Row],[CustomerID]],Customers!A:A,Customers!D:D)</f>
        <v>22</v>
      </c>
      <c r="P934" s="2" t="str" cm="1">
        <f t="array" ref="P934">_xlfn.IFS(Deals[[#This Row],[Age]]&lt;30,"Under 30",Deals[[#This Row],[Age]]&lt;45,"30-44",TRUE,"45+")</f>
        <v>Under 30</v>
      </c>
      <c r="Q934" s="21">
        <f>IF(Deals[[#This Row],[Status]]="Pending","",Deals[[#This Row],[DecisionDate]]-Deals[[#This Row],[ApplicationDate]])</f>
        <v>20</v>
      </c>
      <c r="R934" s="21">
        <f>IF(Deals[[#This Row],[Status]]="Approved",1,0)</f>
        <v>1</v>
      </c>
      <c r="S934" s="21">
        <f>IF(Deals[[#This Row],[IsApproved]]=1,Deals[[#This Row],[Amount]],0)</f>
        <v>77900</v>
      </c>
      <c r="T934" s="21">
        <f>Deals[[#This Row],[ApprovedAmount]]*Deals[[#This Row],[ProfitRate]]</f>
        <v>4494.83</v>
      </c>
    </row>
    <row r="935" spans="1:20">
      <c r="A935" s="2" t="s">
        <v>1623</v>
      </c>
      <c r="B935" s="3">
        <v>46227</v>
      </c>
      <c r="C935" s="2" t="s">
        <v>1357</v>
      </c>
      <c r="D935" s="2" t="s">
        <v>20</v>
      </c>
      <c r="E935" s="2" t="s">
        <v>43</v>
      </c>
      <c r="F935" s="2" t="s">
        <v>3</v>
      </c>
      <c r="G935" s="4">
        <v>129500</v>
      </c>
      <c r="H935" s="5">
        <v>7.0499999999999993E-2</v>
      </c>
      <c r="I935" s="2">
        <v>24</v>
      </c>
      <c r="J935" s="2" t="s">
        <v>37</v>
      </c>
      <c r="K935" s="2" t="s">
        <v>45</v>
      </c>
      <c r="L935" s="3">
        <v>46242</v>
      </c>
      <c r="M935" s="2" t="str">
        <f>_xlfn.XLOOKUP(Deals[[#This Row],[CustomerID]],Customers!A:A,Customers!F:F)</f>
        <v>Mass</v>
      </c>
      <c r="N935" s="2" t="str">
        <f>_xlfn.XLOOKUP(Deals[[#This Row],[CustomerID]],Customers!A:A,Customers!E:E)</f>
        <v>Non-Kuwaiti</v>
      </c>
      <c r="O935" s="2">
        <f>2026-_xlfn.XLOOKUP(Deals[[#This Row],[CustomerID]],Customers!A:A,Customers!D:D)</f>
        <v>41</v>
      </c>
      <c r="P935" s="2" t="str" cm="1">
        <f t="array" ref="P935">_xlfn.IFS(Deals[[#This Row],[Age]]&lt;30,"Under 30",Deals[[#This Row],[Age]]&lt;45,"30-44",TRUE,"45+")</f>
        <v>30-44</v>
      </c>
      <c r="Q935" s="21">
        <f>IF(Deals[[#This Row],[Status]]="Pending","",Deals[[#This Row],[DecisionDate]]-Deals[[#This Row],[ApplicationDate]])</f>
        <v>15</v>
      </c>
      <c r="R935" s="21">
        <f>IF(Deals[[#This Row],[Status]]="Approved",1,0)</f>
        <v>0</v>
      </c>
      <c r="S935" s="21">
        <f>IF(Deals[[#This Row],[IsApproved]]=1,Deals[[#This Row],[Amount]],0)</f>
        <v>0</v>
      </c>
      <c r="T935" s="21">
        <f>Deals[[#This Row],[ApprovedAmount]]*Deals[[#This Row],[ProfitRate]]</f>
        <v>0</v>
      </c>
    </row>
    <row r="936" spans="1:20">
      <c r="A936" s="2" t="s">
        <v>1624</v>
      </c>
      <c r="B936" s="3">
        <v>46227</v>
      </c>
      <c r="C936" s="2" t="s">
        <v>39</v>
      </c>
      <c r="D936" s="2" t="s">
        <v>25</v>
      </c>
      <c r="E936" s="2" t="s">
        <v>15</v>
      </c>
      <c r="F936" s="2" t="s">
        <v>3</v>
      </c>
      <c r="G936" s="4">
        <v>19800</v>
      </c>
      <c r="H936" s="5">
        <v>6.2799999999999995E-2</v>
      </c>
      <c r="I936" s="2">
        <v>24</v>
      </c>
      <c r="J936" s="2" t="s">
        <v>181</v>
      </c>
      <c r="K936" s="2" t="s">
        <v>45</v>
      </c>
      <c r="L936" s="3">
        <v>46230</v>
      </c>
      <c r="M936" s="2" t="str">
        <f>_xlfn.XLOOKUP(Deals[[#This Row],[CustomerID]],Customers!A:A,Customers!F:F)</f>
        <v>Mass</v>
      </c>
      <c r="N936" s="2" t="str">
        <f>_xlfn.XLOOKUP(Deals[[#This Row],[CustomerID]],Customers!A:A,Customers!E:E)</f>
        <v>Kuwaiti</v>
      </c>
      <c r="O936" s="2">
        <f>2026-_xlfn.XLOOKUP(Deals[[#This Row],[CustomerID]],Customers!A:A,Customers!D:D)</f>
        <v>26</v>
      </c>
      <c r="P936" s="2" t="str" cm="1">
        <f t="array" ref="P936">_xlfn.IFS(Deals[[#This Row],[Age]]&lt;30,"Under 30",Deals[[#This Row],[Age]]&lt;45,"30-44",TRUE,"45+")</f>
        <v>Under 30</v>
      </c>
      <c r="Q936" s="21">
        <f>IF(Deals[[#This Row],[Status]]="Pending","",Deals[[#This Row],[DecisionDate]]-Deals[[#This Row],[ApplicationDate]])</f>
        <v>3</v>
      </c>
      <c r="R936" s="21">
        <f>IF(Deals[[#This Row],[Status]]="Approved",1,0)</f>
        <v>0</v>
      </c>
      <c r="S936" s="21">
        <f>IF(Deals[[#This Row],[IsApproved]]=1,Deals[[#This Row],[Amount]],0)</f>
        <v>0</v>
      </c>
      <c r="T936" s="21">
        <f>Deals[[#This Row],[ApprovedAmount]]*Deals[[#This Row],[ProfitRate]]</f>
        <v>0</v>
      </c>
    </row>
    <row r="937" spans="1:20">
      <c r="A937" s="2" t="s">
        <v>1625</v>
      </c>
      <c r="B937" s="3">
        <v>46227</v>
      </c>
      <c r="C937" s="2" t="s">
        <v>1261</v>
      </c>
      <c r="D937" s="2" t="s">
        <v>29</v>
      </c>
      <c r="E937" s="2" t="s">
        <v>30</v>
      </c>
      <c r="F937" s="2" t="s">
        <v>3</v>
      </c>
      <c r="G937" s="4">
        <v>14600</v>
      </c>
      <c r="H937" s="5">
        <v>4.9000000000000002E-2</v>
      </c>
      <c r="I937" s="2">
        <v>36</v>
      </c>
      <c r="J937" s="2" t="s">
        <v>61</v>
      </c>
      <c r="K937" s="2" t="s">
        <v>45</v>
      </c>
      <c r="L937" s="3">
        <v>46231</v>
      </c>
      <c r="M937" s="2" t="str">
        <f>_xlfn.XLOOKUP(Deals[[#This Row],[CustomerID]],Customers!A:A,Customers!F:F)</f>
        <v>Affluent</v>
      </c>
      <c r="N937" s="2" t="str">
        <f>_xlfn.XLOOKUP(Deals[[#This Row],[CustomerID]],Customers!A:A,Customers!E:E)</f>
        <v>Non-Kuwaiti</v>
      </c>
      <c r="O937" s="2">
        <f>2026-_xlfn.XLOOKUP(Deals[[#This Row],[CustomerID]],Customers!A:A,Customers!D:D)</f>
        <v>34</v>
      </c>
      <c r="P937" s="2" t="str" cm="1">
        <f t="array" ref="P937">_xlfn.IFS(Deals[[#This Row],[Age]]&lt;30,"Under 30",Deals[[#This Row],[Age]]&lt;45,"30-44",TRUE,"45+")</f>
        <v>30-44</v>
      </c>
      <c r="Q937" s="21">
        <f>IF(Deals[[#This Row],[Status]]="Pending","",Deals[[#This Row],[DecisionDate]]-Deals[[#This Row],[ApplicationDate]])</f>
        <v>4</v>
      </c>
      <c r="R937" s="21">
        <f>IF(Deals[[#This Row],[Status]]="Approved",1,0)</f>
        <v>0</v>
      </c>
      <c r="S937" s="21">
        <f>IF(Deals[[#This Row],[IsApproved]]=1,Deals[[#This Row],[Amount]],0)</f>
        <v>0</v>
      </c>
      <c r="T937" s="21">
        <f>Deals[[#This Row],[ApprovedAmount]]*Deals[[#This Row],[ProfitRate]]</f>
        <v>0</v>
      </c>
    </row>
    <row r="938" spans="1:20">
      <c r="A938" s="2" t="s">
        <v>1626</v>
      </c>
      <c r="B938" s="3">
        <v>46227</v>
      </c>
      <c r="C938" s="2" t="s">
        <v>1627</v>
      </c>
      <c r="D938" s="2" t="s">
        <v>20</v>
      </c>
      <c r="E938" s="2" t="s">
        <v>43</v>
      </c>
      <c r="F938" s="2" t="s">
        <v>31</v>
      </c>
      <c r="G938" s="4">
        <v>130700</v>
      </c>
      <c r="H938" s="5">
        <v>7.0699999999999999E-2</v>
      </c>
      <c r="I938" s="2">
        <v>60</v>
      </c>
      <c r="J938" s="2" t="s">
        <v>37</v>
      </c>
      <c r="K938" s="2" t="s">
        <v>17</v>
      </c>
      <c r="L938" s="3">
        <v>46238</v>
      </c>
      <c r="M938" s="2" t="str">
        <f>_xlfn.XLOOKUP(Deals[[#This Row],[CustomerID]],Customers!A:A,Customers!F:F)</f>
        <v>Mass</v>
      </c>
      <c r="N938" s="2" t="str">
        <f>_xlfn.XLOOKUP(Deals[[#This Row],[CustomerID]],Customers!A:A,Customers!E:E)</f>
        <v>Kuwaiti</v>
      </c>
      <c r="O938" s="2">
        <f>2026-_xlfn.XLOOKUP(Deals[[#This Row],[CustomerID]],Customers!A:A,Customers!D:D)</f>
        <v>47</v>
      </c>
      <c r="P938" s="2" t="str" cm="1">
        <f t="array" ref="P938">_xlfn.IFS(Deals[[#This Row],[Age]]&lt;30,"Under 30",Deals[[#This Row],[Age]]&lt;45,"30-44",TRUE,"45+")</f>
        <v>45+</v>
      </c>
      <c r="Q938" s="21">
        <f>IF(Deals[[#This Row],[Status]]="Pending","",Deals[[#This Row],[DecisionDate]]-Deals[[#This Row],[ApplicationDate]])</f>
        <v>11</v>
      </c>
      <c r="R938" s="21">
        <f>IF(Deals[[#This Row],[Status]]="Approved",1,0)</f>
        <v>1</v>
      </c>
      <c r="S938" s="21">
        <f>IF(Deals[[#This Row],[IsApproved]]=1,Deals[[#This Row],[Amount]],0)</f>
        <v>130700</v>
      </c>
      <c r="T938" s="21">
        <f>Deals[[#This Row],[ApprovedAmount]]*Deals[[#This Row],[ProfitRate]]</f>
        <v>9240.49</v>
      </c>
    </row>
    <row r="939" spans="1:20">
      <c r="A939" s="2" t="s">
        <v>1628</v>
      </c>
      <c r="B939" s="3">
        <v>46228</v>
      </c>
      <c r="C939" s="2" t="s">
        <v>133</v>
      </c>
      <c r="D939" s="2" t="s">
        <v>20</v>
      </c>
      <c r="E939" s="2" t="s">
        <v>15</v>
      </c>
      <c r="F939" s="2" t="s">
        <v>3</v>
      </c>
      <c r="G939" s="4">
        <v>9300</v>
      </c>
      <c r="H939" s="5">
        <v>5.0200000000000002E-2</v>
      </c>
      <c r="I939" s="2">
        <v>60</v>
      </c>
      <c r="J939" s="2" t="s">
        <v>22</v>
      </c>
      <c r="K939" s="2" t="s">
        <v>17</v>
      </c>
      <c r="L939" s="3">
        <v>46232</v>
      </c>
      <c r="M939" s="2" t="str">
        <f>_xlfn.XLOOKUP(Deals[[#This Row],[CustomerID]],Customers!A:A,Customers!F:F)</f>
        <v>Mass</v>
      </c>
      <c r="N939" s="2" t="str">
        <f>_xlfn.XLOOKUP(Deals[[#This Row],[CustomerID]],Customers!A:A,Customers!E:E)</f>
        <v>Non-Kuwaiti</v>
      </c>
      <c r="O939" s="2">
        <f>2026-_xlfn.XLOOKUP(Deals[[#This Row],[CustomerID]],Customers!A:A,Customers!D:D)</f>
        <v>26</v>
      </c>
      <c r="P939" s="2" t="str" cm="1">
        <f t="array" ref="P939">_xlfn.IFS(Deals[[#This Row],[Age]]&lt;30,"Under 30",Deals[[#This Row],[Age]]&lt;45,"30-44",TRUE,"45+")</f>
        <v>Under 30</v>
      </c>
      <c r="Q939" s="21">
        <f>IF(Deals[[#This Row],[Status]]="Pending","",Deals[[#This Row],[DecisionDate]]-Deals[[#This Row],[ApplicationDate]])</f>
        <v>4</v>
      </c>
      <c r="R939" s="21">
        <f>IF(Deals[[#This Row],[Status]]="Approved",1,0)</f>
        <v>1</v>
      </c>
      <c r="S939" s="21">
        <f>IF(Deals[[#This Row],[IsApproved]]=1,Deals[[#This Row],[Amount]],0)</f>
        <v>9300</v>
      </c>
      <c r="T939" s="21">
        <f>Deals[[#This Row],[ApprovedAmount]]*Deals[[#This Row],[ProfitRate]]</f>
        <v>466.86</v>
      </c>
    </row>
    <row r="940" spans="1:20">
      <c r="A940" s="2" t="s">
        <v>1629</v>
      </c>
      <c r="B940" s="3">
        <v>46228</v>
      </c>
      <c r="C940" s="2" t="s">
        <v>1219</v>
      </c>
      <c r="D940" s="2" t="s">
        <v>25</v>
      </c>
      <c r="E940" s="2" t="s">
        <v>15</v>
      </c>
      <c r="F940" s="2" t="s">
        <v>31</v>
      </c>
      <c r="G940" s="4">
        <v>6800</v>
      </c>
      <c r="H940" s="5">
        <v>6.1199999999999997E-2</v>
      </c>
      <c r="I940" s="2">
        <v>12</v>
      </c>
      <c r="J940" s="2" t="s">
        <v>181</v>
      </c>
      <c r="K940" s="2" t="s">
        <v>45</v>
      </c>
      <c r="L940" s="3">
        <v>46231</v>
      </c>
      <c r="M940" s="2" t="str">
        <f>_xlfn.XLOOKUP(Deals[[#This Row],[CustomerID]],Customers!A:A,Customers!F:F)</f>
        <v>Mass</v>
      </c>
      <c r="N940" s="2" t="str">
        <f>_xlfn.XLOOKUP(Deals[[#This Row],[CustomerID]],Customers!A:A,Customers!E:E)</f>
        <v>Non-Kuwaiti</v>
      </c>
      <c r="O940" s="2">
        <f>2026-_xlfn.XLOOKUP(Deals[[#This Row],[CustomerID]],Customers!A:A,Customers!D:D)</f>
        <v>30</v>
      </c>
      <c r="P940" s="2" t="str" cm="1">
        <f t="array" ref="P940">_xlfn.IFS(Deals[[#This Row],[Age]]&lt;30,"Under 30",Deals[[#This Row],[Age]]&lt;45,"30-44",TRUE,"45+")</f>
        <v>30-44</v>
      </c>
      <c r="Q940" s="21">
        <f>IF(Deals[[#This Row],[Status]]="Pending","",Deals[[#This Row],[DecisionDate]]-Deals[[#This Row],[ApplicationDate]])</f>
        <v>3</v>
      </c>
      <c r="R940" s="21">
        <f>IF(Deals[[#This Row],[Status]]="Approved",1,0)</f>
        <v>0</v>
      </c>
      <c r="S940" s="21">
        <f>IF(Deals[[#This Row],[IsApproved]]=1,Deals[[#This Row],[Amount]],0)</f>
        <v>0</v>
      </c>
      <c r="T940" s="21">
        <f>Deals[[#This Row],[ApprovedAmount]]*Deals[[#This Row],[ProfitRate]]</f>
        <v>0</v>
      </c>
    </row>
    <row r="941" spans="1:20">
      <c r="A941" s="2" t="s">
        <v>1630</v>
      </c>
      <c r="B941" s="3">
        <v>46228</v>
      </c>
      <c r="C941" s="2" t="s">
        <v>1275</v>
      </c>
      <c r="D941" s="2" t="s">
        <v>20</v>
      </c>
      <c r="E941" s="2" t="s">
        <v>15</v>
      </c>
      <c r="F941" s="2" t="s">
        <v>3</v>
      </c>
      <c r="G941" s="4">
        <v>21200</v>
      </c>
      <c r="H941" s="5">
        <v>6.0499999999999998E-2</v>
      </c>
      <c r="I941" s="2">
        <v>24</v>
      </c>
      <c r="J941" s="2" t="s">
        <v>44</v>
      </c>
      <c r="K941" s="2" t="s">
        <v>45</v>
      </c>
      <c r="L941" s="3">
        <v>46234</v>
      </c>
      <c r="M941" s="2" t="str">
        <f>_xlfn.XLOOKUP(Deals[[#This Row],[CustomerID]],Customers!A:A,Customers!F:F)</f>
        <v>Affluent</v>
      </c>
      <c r="N941" s="2" t="str">
        <f>_xlfn.XLOOKUP(Deals[[#This Row],[CustomerID]],Customers!A:A,Customers!E:E)</f>
        <v>Non-Kuwaiti</v>
      </c>
      <c r="O941" s="2">
        <f>2026-_xlfn.XLOOKUP(Deals[[#This Row],[CustomerID]],Customers!A:A,Customers!D:D)</f>
        <v>48</v>
      </c>
      <c r="P941" s="2" t="str" cm="1">
        <f t="array" ref="P941">_xlfn.IFS(Deals[[#This Row],[Age]]&lt;30,"Under 30",Deals[[#This Row],[Age]]&lt;45,"30-44",TRUE,"45+")</f>
        <v>45+</v>
      </c>
      <c r="Q941" s="21">
        <f>IF(Deals[[#This Row],[Status]]="Pending","",Deals[[#This Row],[DecisionDate]]-Deals[[#This Row],[ApplicationDate]])</f>
        <v>6</v>
      </c>
      <c r="R941" s="21">
        <f>IF(Deals[[#This Row],[Status]]="Approved",1,0)</f>
        <v>0</v>
      </c>
      <c r="S941" s="21">
        <f>IF(Deals[[#This Row],[IsApproved]]=1,Deals[[#This Row],[Amount]],0)</f>
        <v>0</v>
      </c>
      <c r="T941" s="21">
        <f>Deals[[#This Row],[ApprovedAmount]]*Deals[[#This Row],[ProfitRate]]</f>
        <v>0</v>
      </c>
    </row>
    <row r="942" spans="1:20">
      <c r="A942" s="2" t="s">
        <v>1631</v>
      </c>
      <c r="B942" s="3">
        <v>46228</v>
      </c>
      <c r="C942" s="2" t="s">
        <v>1451</v>
      </c>
      <c r="D942" s="2" t="s">
        <v>29</v>
      </c>
      <c r="E942" s="2" t="s">
        <v>43</v>
      </c>
      <c r="F942" s="2" t="s">
        <v>31</v>
      </c>
      <c r="G942" s="4">
        <v>216000</v>
      </c>
      <c r="H942" s="5">
        <v>7.6200000000000004E-2</v>
      </c>
      <c r="I942" s="2">
        <v>36</v>
      </c>
      <c r="J942" s="2" t="s">
        <v>32</v>
      </c>
      <c r="K942" s="2" t="s">
        <v>17</v>
      </c>
      <c r="L942" s="3">
        <v>46248</v>
      </c>
      <c r="M942" s="2" t="str">
        <f>_xlfn.XLOOKUP(Deals[[#This Row],[CustomerID]],Customers!A:A,Customers!F:F)</f>
        <v>Premium</v>
      </c>
      <c r="N942" s="2" t="str">
        <f>_xlfn.XLOOKUP(Deals[[#This Row],[CustomerID]],Customers!A:A,Customers!E:E)</f>
        <v>Kuwaiti</v>
      </c>
      <c r="O942" s="2">
        <f>2026-_xlfn.XLOOKUP(Deals[[#This Row],[CustomerID]],Customers!A:A,Customers!D:D)</f>
        <v>33</v>
      </c>
      <c r="P942" s="2" t="str" cm="1">
        <f t="array" ref="P942">_xlfn.IFS(Deals[[#This Row],[Age]]&lt;30,"Under 30",Deals[[#This Row],[Age]]&lt;45,"30-44",TRUE,"45+")</f>
        <v>30-44</v>
      </c>
      <c r="Q942" s="21">
        <f>IF(Deals[[#This Row],[Status]]="Pending","",Deals[[#This Row],[DecisionDate]]-Deals[[#This Row],[ApplicationDate]])</f>
        <v>20</v>
      </c>
      <c r="R942" s="21">
        <f>IF(Deals[[#This Row],[Status]]="Approved",1,0)</f>
        <v>1</v>
      </c>
      <c r="S942" s="21">
        <f>IF(Deals[[#This Row],[IsApproved]]=1,Deals[[#This Row],[Amount]],0)</f>
        <v>216000</v>
      </c>
      <c r="T942" s="21">
        <f>Deals[[#This Row],[ApprovedAmount]]*Deals[[#This Row],[ProfitRate]]</f>
        <v>16459.2</v>
      </c>
    </row>
    <row r="943" spans="1:20">
      <c r="A943" s="2" t="s">
        <v>1632</v>
      </c>
      <c r="B943" s="3">
        <v>46228</v>
      </c>
      <c r="C943" s="2" t="s">
        <v>607</v>
      </c>
      <c r="D943" s="2" t="s">
        <v>14</v>
      </c>
      <c r="E943" s="2" t="s">
        <v>21</v>
      </c>
      <c r="F943" s="2" t="s">
        <v>31</v>
      </c>
      <c r="G943" s="4">
        <v>44800</v>
      </c>
      <c r="H943" s="5">
        <v>3.5400000000000001E-2</v>
      </c>
      <c r="I943" s="2">
        <v>180</v>
      </c>
      <c r="J943" s="2" t="s">
        <v>40</v>
      </c>
      <c r="K943" s="2" t="s">
        <v>17</v>
      </c>
      <c r="L943" s="3">
        <v>46243</v>
      </c>
      <c r="M943" s="2" t="str">
        <f>_xlfn.XLOOKUP(Deals[[#This Row],[CustomerID]],Customers!A:A,Customers!F:F)</f>
        <v>Mass</v>
      </c>
      <c r="N943" s="2" t="str">
        <f>_xlfn.XLOOKUP(Deals[[#This Row],[CustomerID]],Customers!A:A,Customers!E:E)</f>
        <v>Kuwaiti</v>
      </c>
      <c r="O943" s="2">
        <f>2026-_xlfn.XLOOKUP(Deals[[#This Row],[CustomerID]],Customers!A:A,Customers!D:D)</f>
        <v>34</v>
      </c>
      <c r="P943" s="2" t="str" cm="1">
        <f t="array" ref="P943">_xlfn.IFS(Deals[[#This Row],[Age]]&lt;30,"Under 30",Deals[[#This Row],[Age]]&lt;45,"30-44",TRUE,"45+")</f>
        <v>30-44</v>
      </c>
      <c r="Q943" s="21">
        <f>IF(Deals[[#This Row],[Status]]="Pending","",Deals[[#This Row],[DecisionDate]]-Deals[[#This Row],[ApplicationDate]])</f>
        <v>15</v>
      </c>
      <c r="R943" s="21">
        <f>IF(Deals[[#This Row],[Status]]="Approved",1,0)</f>
        <v>1</v>
      </c>
      <c r="S943" s="21">
        <f>IF(Deals[[#This Row],[IsApproved]]=1,Deals[[#This Row],[Amount]],0)</f>
        <v>44800</v>
      </c>
      <c r="T943" s="21">
        <f>Deals[[#This Row],[ApprovedAmount]]*Deals[[#This Row],[ProfitRate]]</f>
        <v>1585.92</v>
      </c>
    </row>
    <row r="944" spans="1:20">
      <c r="A944" s="2" t="s">
        <v>1633</v>
      </c>
      <c r="B944" s="3">
        <v>46228</v>
      </c>
      <c r="C944" s="2" t="s">
        <v>1424</v>
      </c>
      <c r="D944" s="2" t="s">
        <v>29</v>
      </c>
      <c r="E944" s="2" t="s">
        <v>30</v>
      </c>
      <c r="F944" s="2" t="s">
        <v>3</v>
      </c>
      <c r="G944" s="4">
        <v>13900</v>
      </c>
      <c r="H944" s="5">
        <v>4.9399999999999999E-2</v>
      </c>
      <c r="I944" s="2">
        <v>48</v>
      </c>
      <c r="J944" s="2" t="s">
        <v>61</v>
      </c>
      <c r="K944" s="2" t="s">
        <v>17</v>
      </c>
      <c r="L944" s="3">
        <v>46232</v>
      </c>
      <c r="M944" s="2" t="str">
        <f>_xlfn.XLOOKUP(Deals[[#This Row],[CustomerID]],Customers!A:A,Customers!F:F)</f>
        <v>Mass</v>
      </c>
      <c r="N944" s="2" t="str">
        <f>_xlfn.XLOOKUP(Deals[[#This Row],[CustomerID]],Customers!A:A,Customers!E:E)</f>
        <v>Kuwaiti</v>
      </c>
      <c r="O944" s="2">
        <f>2026-_xlfn.XLOOKUP(Deals[[#This Row],[CustomerID]],Customers!A:A,Customers!D:D)</f>
        <v>25</v>
      </c>
      <c r="P944" s="2" t="str" cm="1">
        <f t="array" ref="P944">_xlfn.IFS(Deals[[#This Row],[Age]]&lt;30,"Under 30",Deals[[#This Row],[Age]]&lt;45,"30-44",TRUE,"45+")</f>
        <v>Under 30</v>
      </c>
      <c r="Q944" s="21">
        <f>IF(Deals[[#This Row],[Status]]="Pending","",Deals[[#This Row],[DecisionDate]]-Deals[[#This Row],[ApplicationDate]])</f>
        <v>4</v>
      </c>
      <c r="R944" s="21">
        <f>IF(Deals[[#This Row],[Status]]="Approved",1,0)</f>
        <v>1</v>
      </c>
      <c r="S944" s="21">
        <f>IF(Deals[[#This Row],[IsApproved]]=1,Deals[[#This Row],[Amount]],0)</f>
        <v>13900</v>
      </c>
      <c r="T944" s="21">
        <f>Deals[[#This Row],[ApprovedAmount]]*Deals[[#This Row],[ProfitRate]]</f>
        <v>686.66</v>
      </c>
    </row>
    <row r="945" spans="1:20">
      <c r="A945" s="2" t="s">
        <v>1634</v>
      </c>
      <c r="B945" s="3">
        <v>46228</v>
      </c>
      <c r="C945" s="2" t="s">
        <v>1165</v>
      </c>
      <c r="D945" s="2" t="s">
        <v>29</v>
      </c>
      <c r="E945" s="2" t="s">
        <v>21</v>
      </c>
      <c r="F945" s="2" t="s">
        <v>31</v>
      </c>
      <c r="G945" s="4">
        <v>74900</v>
      </c>
      <c r="H945" s="5">
        <v>4.0899999999999999E-2</v>
      </c>
      <c r="I945" s="2">
        <v>300</v>
      </c>
      <c r="J945" s="2" t="s">
        <v>32</v>
      </c>
      <c r="K945" s="2" t="s">
        <v>17</v>
      </c>
      <c r="L945" s="3">
        <v>46245</v>
      </c>
      <c r="M945" s="2" t="str">
        <f>_xlfn.XLOOKUP(Deals[[#This Row],[CustomerID]],Customers!A:A,Customers!F:F)</f>
        <v>Mass</v>
      </c>
      <c r="N945" s="2" t="str">
        <f>_xlfn.XLOOKUP(Deals[[#This Row],[CustomerID]],Customers!A:A,Customers!E:E)</f>
        <v>Kuwaiti</v>
      </c>
      <c r="O945" s="2">
        <f>2026-_xlfn.XLOOKUP(Deals[[#This Row],[CustomerID]],Customers!A:A,Customers!D:D)</f>
        <v>26</v>
      </c>
      <c r="P945" s="2" t="str" cm="1">
        <f t="array" ref="P945">_xlfn.IFS(Deals[[#This Row],[Age]]&lt;30,"Under 30",Deals[[#This Row],[Age]]&lt;45,"30-44",TRUE,"45+")</f>
        <v>Under 30</v>
      </c>
      <c r="Q945" s="21">
        <f>IF(Deals[[#This Row],[Status]]="Pending","",Deals[[#This Row],[DecisionDate]]-Deals[[#This Row],[ApplicationDate]])</f>
        <v>17</v>
      </c>
      <c r="R945" s="21">
        <f>IF(Deals[[#This Row],[Status]]="Approved",1,0)</f>
        <v>1</v>
      </c>
      <c r="S945" s="21">
        <f>IF(Deals[[#This Row],[IsApproved]]=1,Deals[[#This Row],[Amount]],0)</f>
        <v>74900</v>
      </c>
      <c r="T945" s="21">
        <f>Deals[[#This Row],[ApprovedAmount]]*Deals[[#This Row],[ProfitRate]]</f>
        <v>3063.41</v>
      </c>
    </row>
    <row r="946" spans="1:20">
      <c r="A946" s="2" t="s">
        <v>1635</v>
      </c>
      <c r="B946" s="3">
        <v>46228</v>
      </c>
      <c r="C946" s="2" t="s">
        <v>1636</v>
      </c>
      <c r="D946" s="2" t="s">
        <v>14</v>
      </c>
      <c r="E946" s="2" t="s">
        <v>30</v>
      </c>
      <c r="F946" s="2" t="s">
        <v>31</v>
      </c>
      <c r="G946" s="4">
        <v>6700</v>
      </c>
      <c r="H946" s="5">
        <v>4.8500000000000001E-2</v>
      </c>
      <c r="I946" s="2">
        <v>60</v>
      </c>
      <c r="J946" s="2" t="s">
        <v>40</v>
      </c>
      <c r="K946" s="2" t="s">
        <v>17</v>
      </c>
      <c r="L946" s="3">
        <v>46232</v>
      </c>
      <c r="M946" s="2" t="str">
        <f>_xlfn.XLOOKUP(Deals[[#This Row],[CustomerID]],Customers!A:A,Customers!F:F)</f>
        <v>Mass</v>
      </c>
      <c r="N946" s="2" t="str">
        <f>_xlfn.XLOOKUP(Deals[[#This Row],[CustomerID]],Customers!A:A,Customers!E:E)</f>
        <v>Kuwaiti</v>
      </c>
      <c r="O946" s="2">
        <f>2026-_xlfn.XLOOKUP(Deals[[#This Row],[CustomerID]],Customers!A:A,Customers!D:D)</f>
        <v>49</v>
      </c>
      <c r="P946" s="2" t="str" cm="1">
        <f t="array" ref="P946">_xlfn.IFS(Deals[[#This Row],[Age]]&lt;30,"Under 30",Deals[[#This Row],[Age]]&lt;45,"30-44",TRUE,"45+")</f>
        <v>45+</v>
      </c>
      <c r="Q946" s="21">
        <f>IF(Deals[[#This Row],[Status]]="Pending","",Deals[[#This Row],[DecisionDate]]-Deals[[#This Row],[ApplicationDate]])</f>
        <v>4</v>
      </c>
      <c r="R946" s="21">
        <f>IF(Deals[[#This Row],[Status]]="Approved",1,0)</f>
        <v>1</v>
      </c>
      <c r="S946" s="21">
        <f>IF(Deals[[#This Row],[IsApproved]]=1,Deals[[#This Row],[Amount]],0)</f>
        <v>6700</v>
      </c>
      <c r="T946" s="21">
        <f>Deals[[#This Row],[ApprovedAmount]]*Deals[[#This Row],[ProfitRate]]</f>
        <v>324.95</v>
      </c>
    </row>
    <row r="947" spans="1:20">
      <c r="A947" s="2" t="s">
        <v>1637</v>
      </c>
      <c r="B947" s="3">
        <v>46228</v>
      </c>
      <c r="C947" s="2" t="s">
        <v>854</v>
      </c>
      <c r="D947" s="2" t="s">
        <v>20</v>
      </c>
      <c r="E947" s="2" t="s">
        <v>30</v>
      </c>
      <c r="F947" s="2" t="s">
        <v>3</v>
      </c>
      <c r="G947" s="4">
        <v>8400</v>
      </c>
      <c r="H947" s="5">
        <v>4.7800000000000002E-2</v>
      </c>
      <c r="I947" s="2">
        <v>36</v>
      </c>
      <c r="J947" s="2" t="s">
        <v>37</v>
      </c>
      <c r="K947" s="2" t="s">
        <v>17</v>
      </c>
      <c r="L947" s="3">
        <v>46232</v>
      </c>
      <c r="M947" s="2" t="str">
        <f>_xlfn.XLOOKUP(Deals[[#This Row],[CustomerID]],Customers!A:A,Customers!F:F)</f>
        <v>Affluent</v>
      </c>
      <c r="N947" s="2" t="str">
        <f>_xlfn.XLOOKUP(Deals[[#This Row],[CustomerID]],Customers!A:A,Customers!E:E)</f>
        <v>Kuwaiti</v>
      </c>
      <c r="O947" s="2">
        <f>2026-_xlfn.XLOOKUP(Deals[[#This Row],[CustomerID]],Customers!A:A,Customers!D:D)</f>
        <v>58</v>
      </c>
      <c r="P947" s="2" t="str" cm="1">
        <f t="array" ref="P947">_xlfn.IFS(Deals[[#This Row],[Age]]&lt;30,"Under 30",Deals[[#This Row],[Age]]&lt;45,"30-44",TRUE,"45+")</f>
        <v>45+</v>
      </c>
      <c r="Q947" s="21">
        <f>IF(Deals[[#This Row],[Status]]="Pending","",Deals[[#This Row],[DecisionDate]]-Deals[[#This Row],[ApplicationDate]])</f>
        <v>4</v>
      </c>
      <c r="R947" s="21">
        <f>IF(Deals[[#This Row],[Status]]="Approved",1,0)</f>
        <v>1</v>
      </c>
      <c r="S947" s="21">
        <f>IF(Deals[[#This Row],[IsApproved]]=1,Deals[[#This Row],[Amount]],0)</f>
        <v>8400</v>
      </c>
      <c r="T947" s="21">
        <f>Deals[[#This Row],[ApprovedAmount]]*Deals[[#This Row],[ProfitRate]]</f>
        <v>401.52000000000004</v>
      </c>
    </row>
    <row r="948" spans="1:20">
      <c r="A948" s="2" t="s">
        <v>1638</v>
      </c>
      <c r="B948" s="3">
        <v>46229</v>
      </c>
      <c r="C948" s="2" t="s">
        <v>1111</v>
      </c>
      <c r="D948" s="2" t="s">
        <v>20</v>
      </c>
      <c r="E948" s="2" t="s">
        <v>15</v>
      </c>
      <c r="F948" s="2" t="s">
        <v>31</v>
      </c>
      <c r="G948" s="4">
        <v>23300</v>
      </c>
      <c r="H948" s="5">
        <v>5.0299999999999997E-2</v>
      </c>
      <c r="I948" s="2">
        <v>48</v>
      </c>
      <c r="J948" s="2" t="s">
        <v>22</v>
      </c>
      <c r="K948" s="2" t="s">
        <v>17</v>
      </c>
      <c r="L948" s="3">
        <v>46235</v>
      </c>
      <c r="M948" s="2" t="str">
        <f>_xlfn.XLOOKUP(Deals[[#This Row],[CustomerID]],Customers!A:A,Customers!F:F)</f>
        <v>Mass</v>
      </c>
      <c r="N948" s="2" t="str">
        <f>_xlfn.XLOOKUP(Deals[[#This Row],[CustomerID]],Customers!A:A,Customers!E:E)</f>
        <v>Kuwaiti</v>
      </c>
      <c r="O948" s="2">
        <f>2026-_xlfn.XLOOKUP(Deals[[#This Row],[CustomerID]],Customers!A:A,Customers!D:D)</f>
        <v>39</v>
      </c>
      <c r="P948" s="2" t="str" cm="1">
        <f t="array" ref="P948">_xlfn.IFS(Deals[[#This Row],[Age]]&lt;30,"Under 30",Deals[[#This Row],[Age]]&lt;45,"30-44",TRUE,"45+")</f>
        <v>30-44</v>
      </c>
      <c r="Q948" s="21">
        <f>IF(Deals[[#This Row],[Status]]="Pending","",Deals[[#This Row],[DecisionDate]]-Deals[[#This Row],[ApplicationDate]])</f>
        <v>6</v>
      </c>
      <c r="R948" s="21">
        <f>IF(Deals[[#This Row],[Status]]="Approved",1,0)</f>
        <v>1</v>
      </c>
      <c r="S948" s="21">
        <f>IF(Deals[[#This Row],[IsApproved]]=1,Deals[[#This Row],[Amount]],0)</f>
        <v>23300</v>
      </c>
      <c r="T948" s="21">
        <f>Deals[[#This Row],[ApprovedAmount]]*Deals[[#This Row],[ProfitRate]]</f>
        <v>1171.99</v>
      </c>
    </row>
    <row r="949" spans="1:20">
      <c r="A949" s="2" t="s">
        <v>1639</v>
      </c>
      <c r="B949" s="3">
        <v>46229</v>
      </c>
      <c r="C949" s="2" t="s">
        <v>621</v>
      </c>
      <c r="D949" s="2" t="s">
        <v>25</v>
      </c>
      <c r="E949" s="2" t="s">
        <v>30</v>
      </c>
      <c r="F949" s="2" t="s">
        <v>3</v>
      </c>
      <c r="G949" s="4">
        <v>10900</v>
      </c>
      <c r="H949" s="5">
        <v>3.6400000000000002E-2</v>
      </c>
      <c r="I949" s="2">
        <v>48</v>
      </c>
      <c r="J949" s="2" t="s">
        <v>181</v>
      </c>
      <c r="K949" s="2" t="s">
        <v>17</v>
      </c>
      <c r="L949" s="3">
        <v>46232</v>
      </c>
      <c r="M949" s="2" t="str">
        <f>_xlfn.XLOOKUP(Deals[[#This Row],[CustomerID]],Customers!A:A,Customers!F:F)</f>
        <v>Mass</v>
      </c>
      <c r="N949" s="2" t="str">
        <f>_xlfn.XLOOKUP(Deals[[#This Row],[CustomerID]],Customers!A:A,Customers!E:E)</f>
        <v>Kuwaiti</v>
      </c>
      <c r="O949" s="2">
        <f>2026-_xlfn.XLOOKUP(Deals[[#This Row],[CustomerID]],Customers!A:A,Customers!D:D)</f>
        <v>29</v>
      </c>
      <c r="P949" s="2" t="str" cm="1">
        <f t="array" ref="P949">_xlfn.IFS(Deals[[#This Row],[Age]]&lt;30,"Under 30",Deals[[#This Row],[Age]]&lt;45,"30-44",TRUE,"45+")</f>
        <v>Under 30</v>
      </c>
      <c r="Q949" s="21">
        <f>IF(Deals[[#This Row],[Status]]="Pending","",Deals[[#This Row],[DecisionDate]]-Deals[[#This Row],[ApplicationDate]])</f>
        <v>3</v>
      </c>
      <c r="R949" s="21">
        <f>IF(Deals[[#This Row],[Status]]="Approved",1,0)</f>
        <v>1</v>
      </c>
      <c r="S949" s="21">
        <f>IF(Deals[[#This Row],[IsApproved]]=1,Deals[[#This Row],[Amount]],0)</f>
        <v>10900</v>
      </c>
      <c r="T949" s="21">
        <f>Deals[[#This Row],[ApprovedAmount]]*Deals[[#This Row],[ProfitRate]]</f>
        <v>396.76000000000005</v>
      </c>
    </row>
    <row r="950" spans="1:20">
      <c r="A950" s="2" t="s">
        <v>1640</v>
      </c>
      <c r="B950" s="3">
        <v>46229</v>
      </c>
      <c r="C950" s="2" t="s">
        <v>1641</v>
      </c>
      <c r="D950" s="2" t="s">
        <v>29</v>
      </c>
      <c r="E950" s="2" t="s">
        <v>15</v>
      </c>
      <c r="F950" s="2" t="s">
        <v>3</v>
      </c>
      <c r="G950" s="4">
        <v>19800</v>
      </c>
      <c r="H950" s="5">
        <v>6.3E-2</v>
      </c>
      <c r="I950" s="2">
        <v>48</v>
      </c>
      <c r="J950" s="2" t="s">
        <v>61</v>
      </c>
      <c r="K950" s="2" t="s">
        <v>45</v>
      </c>
      <c r="L950" s="3">
        <v>46232</v>
      </c>
      <c r="M950" s="2" t="str">
        <f>_xlfn.XLOOKUP(Deals[[#This Row],[CustomerID]],Customers!A:A,Customers!F:F)</f>
        <v>Mass</v>
      </c>
      <c r="N950" s="2" t="str">
        <f>_xlfn.XLOOKUP(Deals[[#This Row],[CustomerID]],Customers!A:A,Customers!E:E)</f>
        <v>Kuwaiti</v>
      </c>
      <c r="O950" s="2">
        <f>2026-_xlfn.XLOOKUP(Deals[[#This Row],[CustomerID]],Customers!A:A,Customers!D:D)</f>
        <v>68</v>
      </c>
      <c r="P950" s="2" t="str" cm="1">
        <f t="array" ref="P950">_xlfn.IFS(Deals[[#This Row],[Age]]&lt;30,"Under 30",Deals[[#This Row],[Age]]&lt;45,"30-44",TRUE,"45+")</f>
        <v>45+</v>
      </c>
      <c r="Q950" s="21">
        <f>IF(Deals[[#This Row],[Status]]="Pending","",Deals[[#This Row],[DecisionDate]]-Deals[[#This Row],[ApplicationDate]])</f>
        <v>3</v>
      </c>
      <c r="R950" s="21">
        <f>IF(Deals[[#This Row],[Status]]="Approved",1,0)</f>
        <v>0</v>
      </c>
      <c r="S950" s="21">
        <f>IF(Deals[[#This Row],[IsApproved]]=1,Deals[[#This Row],[Amount]],0)</f>
        <v>0</v>
      </c>
      <c r="T950" s="21">
        <f>Deals[[#This Row],[ApprovedAmount]]*Deals[[#This Row],[ProfitRate]]</f>
        <v>0</v>
      </c>
    </row>
    <row r="951" spans="1:20">
      <c r="A951" s="2" t="s">
        <v>1642</v>
      </c>
      <c r="B951" s="3">
        <v>46229</v>
      </c>
      <c r="C951" s="2" t="s">
        <v>1643</v>
      </c>
      <c r="D951" s="2" t="s">
        <v>25</v>
      </c>
      <c r="E951" s="2" t="s">
        <v>21</v>
      </c>
      <c r="F951" s="2" t="s">
        <v>31</v>
      </c>
      <c r="G951" s="4">
        <v>127500</v>
      </c>
      <c r="H951" s="5">
        <v>3.5299999999999998E-2</v>
      </c>
      <c r="I951" s="2">
        <v>180</v>
      </c>
      <c r="J951" s="2" t="s">
        <v>66</v>
      </c>
      <c r="K951" s="2" t="s">
        <v>45</v>
      </c>
      <c r="L951" s="3">
        <v>46246</v>
      </c>
      <c r="M951" s="2" t="str">
        <f>_xlfn.XLOOKUP(Deals[[#This Row],[CustomerID]],Customers!A:A,Customers!F:F)</f>
        <v>Affluent</v>
      </c>
      <c r="N951" s="2" t="str">
        <f>_xlfn.XLOOKUP(Deals[[#This Row],[CustomerID]],Customers!A:A,Customers!E:E)</f>
        <v>Kuwaiti</v>
      </c>
      <c r="O951" s="2">
        <f>2026-_xlfn.XLOOKUP(Deals[[#This Row],[CustomerID]],Customers!A:A,Customers!D:D)</f>
        <v>42</v>
      </c>
      <c r="P951" s="2" t="str" cm="1">
        <f t="array" ref="P951">_xlfn.IFS(Deals[[#This Row],[Age]]&lt;30,"Under 30",Deals[[#This Row],[Age]]&lt;45,"30-44",TRUE,"45+")</f>
        <v>30-44</v>
      </c>
      <c r="Q951" s="21">
        <f>IF(Deals[[#This Row],[Status]]="Pending","",Deals[[#This Row],[DecisionDate]]-Deals[[#This Row],[ApplicationDate]])</f>
        <v>17</v>
      </c>
      <c r="R951" s="21">
        <f>IF(Deals[[#This Row],[Status]]="Approved",1,0)</f>
        <v>0</v>
      </c>
      <c r="S951" s="21">
        <f>IF(Deals[[#This Row],[IsApproved]]=1,Deals[[#This Row],[Amount]],0)</f>
        <v>0</v>
      </c>
      <c r="T951" s="21">
        <f>Deals[[#This Row],[ApprovedAmount]]*Deals[[#This Row],[ProfitRate]]</f>
        <v>0</v>
      </c>
    </row>
    <row r="952" spans="1:20">
      <c r="A952" s="2" t="s">
        <v>1644</v>
      </c>
      <c r="B952" s="3">
        <v>46230</v>
      </c>
      <c r="C952" s="2" t="s">
        <v>1645</v>
      </c>
      <c r="D952" s="2" t="s">
        <v>14</v>
      </c>
      <c r="E952" s="2" t="s">
        <v>15</v>
      </c>
      <c r="F952" s="2" t="s">
        <v>55</v>
      </c>
      <c r="G952" s="4">
        <v>25000</v>
      </c>
      <c r="H952" s="5">
        <v>5.9900000000000002E-2</v>
      </c>
      <c r="I952" s="2">
        <v>24</v>
      </c>
      <c r="J952" s="2" t="s">
        <v>16</v>
      </c>
      <c r="K952" s="2" t="s">
        <v>17</v>
      </c>
      <c r="L952" s="3">
        <v>46233</v>
      </c>
      <c r="M952" s="2" t="str">
        <f>_xlfn.XLOOKUP(Deals[[#This Row],[CustomerID]],Customers!A:A,Customers!F:F)</f>
        <v>Affluent</v>
      </c>
      <c r="N952" s="2" t="str">
        <f>_xlfn.XLOOKUP(Deals[[#This Row],[CustomerID]],Customers!A:A,Customers!E:E)</f>
        <v>Kuwaiti</v>
      </c>
      <c r="O952" s="2">
        <f>2026-_xlfn.XLOOKUP(Deals[[#This Row],[CustomerID]],Customers!A:A,Customers!D:D)</f>
        <v>35</v>
      </c>
      <c r="P952" s="2" t="str" cm="1">
        <f t="array" ref="P952">_xlfn.IFS(Deals[[#This Row],[Age]]&lt;30,"Under 30",Deals[[#This Row],[Age]]&lt;45,"30-44",TRUE,"45+")</f>
        <v>30-44</v>
      </c>
      <c r="Q952" s="21">
        <f>IF(Deals[[#This Row],[Status]]="Pending","",Deals[[#This Row],[DecisionDate]]-Deals[[#This Row],[ApplicationDate]])</f>
        <v>3</v>
      </c>
      <c r="R952" s="21">
        <f>IF(Deals[[#This Row],[Status]]="Approved",1,0)</f>
        <v>1</v>
      </c>
      <c r="S952" s="21">
        <f>IF(Deals[[#This Row],[IsApproved]]=1,Deals[[#This Row],[Amount]],0)</f>
        <v>25000</v>
      </c>
      <c r="T952" s="21">
        <f>Deals[[#This Row],[ApprovedAmount]]*Deals[[#This Row],[ProfitRate]]</f>
        <v>1497.5</v>
      </c>
    </row>
    <row r="953" spans="1:20">
      <c r="A953" s="2" t="s">
        <v>1646</v>
      </c>
      <c r="B953" s="3">
        <v>46230</v>
      </c>
      <c r="C953" s="2" t="s">
        <v>1647</v>
      </c>
      <c r="D953" s="2" t="s">
        <v>54</v>
      </c>
      <c r="E953" s="2" t="s">
        <v>30</v>
      </c>
      <c r="F953" s="2" t="s">
        <v>31</v>
      </c>
      <c r="G953" s="4">
        <v>14800</v>
      </c>
      <c r="H953" s="5">
        <v>3.5499999999999997E-2</v>
      </c>
      <c r="I953" s="2">
        <v>60</v>
      </c>
      <c r="J953" s="2" t="s">
        <v>148</v>
      </c>
      <c r="K953" s="2" t="s">
        <v>45</v>
      </c>
      <c r="L953" s="3">
        <v>46234</v>
      </c>
      <c r="M953" s="2" t="str">
        <f>_xlfn.XLOOKUP(Deals[[#This Row],[CustomerID]],Customers!A:A,Customers!F:F)</f>
        <v>Premium</v>
      </c>
      <c r="N953" s="2" t="str">
        <f>_xlfn.XLOOKUP(Deals[[#This Row],[CustomerID]],Customers!A:A,Customers!E:E)</f>
        <v>Non-Kuwaiti</v>
      </c>
      <c r="O953" s="2">
        <f>2026-_xlfn.XLOOKUP(Deals[[#This Row],[CustomerID]],Customers!A:A,Customers!D:D)</f>
        <v>66</v>
      </c>
      <c r="P953" s="2" t="str" cm="1">
        <f t="array" ref="P953">_xlfn.IFS(Deals[[#This Row],[Age]]&lt;30,"Under 30",Deals[[#This Row],[Age]]&lt;45,"30-44",TRUE,"45+")</f>
        <v>45+</v>
      </c>
      <c r="Q953" s="21">
        <f>IF(Deals[[#This Row],[Status]]="Pending","",Deals[[#This Row],[DecisionDate]]-Deals[[#This Row],[ApplicationDate]])</f>
        <v>4</v>
      </c>
      <c r="R953" s="21">
        <f>IF(Deals[[#This Row],[Status]]="Approved",1,0)</f>
        <v>0</v>
      </c>
      <c r="S953" s="21">
        <f>IF(Deals[[#This Row],[IsApproved]]=1,Deals[[#This Row],[Amount]],0)</f>
        <v>0</v>
      </c>
      <c r="T953" s="21">
        <f>Deals[[#This Row],[ApprovedAmount]]*Deals[[#This Row],[ProfitRate]]</f>
        <v>0</v>
      </c>
    </row>
    <row r="954" spans="1:20">
      <c r="A954" s="2" t="s">
        <v>1648</v>
      </c>
      <c r="B954" s="3">
        <v>46230</v>
      </c>
      <c r="C954" s="2" t="s">
        <v>509</v>
      </c>
      <c r="D954" s="2" t="s">
        <v>14</v>
      </c>
      <c r="E954" s="2" t="s">
        <v>43</v>
      </c>
      <c r="F954" s="2" t="s">
        <v>3</v>
      </c>
      <c r="G954" s="4">
        <v>115200</v>
      </c>
      <c r="H954" s="5">
        <v>5.62E-2</v>
      </c>
      <c r="I954" s="2">
        <v>36</v>
      </c>
      <c r="J954" s="2" t="s">
        <v>40</v>
      </c>
      <c r="K954" s="2" t="s">
        <v>17</v>
      </c>
      <c r="L954" s="3">
        <v>46251</v>
      </c>
      <c r="M954" s="2" t="str">
        <f>_xlfn.XLOOKUP(Deals[[#This Row],[CustomerID]],Customers!A:A,Customers!F:F)</f>
        <v>Mass</v>
      </c>
      <c r="N954" s="2" t="str">
        <f>_xlfn.XLOOKUP(Deals[[#This Row],[CustomerID]],Customers!A:A,Customers!E:E)</f>
        <v>Kuwaiti</v>
      </c>
      <c r="O954" s="2">
        <f>2026-_xlfn.XLOOKUP(Deals[[#This Row],[CustomerID]],Customers!A:A,Customers!D:D)</f>
        <v>40</v>
      </c>
      <c r="P954" s="2" t="str" cm="1">
        <f t="array" ref="P954">_xlfn.IFS(Deals[[#This Row],[Age]]&lt;30,"Under 30",Deals[[#This Row],[Age]]&lt;45,"30-44",TRUE,"45+")</f>
        <v>30-44</v>
      </c>
      <c r="Q954" s="21">
        <f>IF(Deals[[#This Row],[Status]]="Pending","",Deals[[#This Row],[DecisionDate]]-Deals[[#This Row],[ApplicationDate]])</f>
        <v>21</v>
      </c>
      <c r="R954" s="21">
        <f>IF(Deals[[#This Row],[Status]]="Approved",1,0)</f>
        <v>1</v>
      </c>
      <c r="S954" s="21">
        <f>IF(Deals[[#This Row],[IsApproved]]=1,Deals[[#This Row],[Amount]],0)</f>
        <v>115200</v>
      </c>
      <c r="T954" s="21">
        <f>Deals[[#This Row],[ApprovedAmount]]*Deals[[#This Row],[ProfitRate]]</f>
        <v>6474.24</v>
      </c>
    </row>
    <row r="955" spans="1:20">
      <c r="A955" s="2" t="s">
        <v>1649</v>
      </c>
      <c r="B955" s="3">
        <v>46230</v>
      </c>
      <c r="C955" s="2" t="s">
        <v>445</v>
      </c>
      <c r="D955" s="2" t="s">
        <v>71</v>
      </c>
      <c r="E955" s="2" t="s">
        <v>43</v>
      </c>
      <c r="F955" s="2" t="s">
        <v>3</v>
      </c>
      <c r="G955" s="4">
        <v>74600</v>
      </c>
      <c r="H955" s="5">
        <v>6.83E-2</v>
      </c>
      <c r="I955" s="2">
        <v>24</v>
      </c>
      <c r="J955" s="2" t="s">
        <v>94</v>
      </c>
      <c r="K955" s="2" t="s">
        <v>45</v>
      </c>
      <c r="L955" s="3">
        <v>46243</v>
      </c>
      <c r="M955" s="2" t="str">
        <f>_xlfn.XLOOKUP(Deals[[#This Row],[CustomerID]],Customers!A:A,Customers!F:F)</f>
        <v>Mass</v>
      </c>
      <c r="N955" s="2" t="str">
        <f>_xlfn.XLOOKUP(Deals[[#This Row],[CustomerID]],Customers!A:A,Customers!E:E)</f>
        <v>Kuwaiti</v>
      </c>
      <c r="O955" s="2">
        <f>2026-_xlfn.XLOOKUP(Deals[[#This Row],[CustomerID]],Customers!A:A,Customers!D:D)</f>
        <v>43</v>
      </c>
      <c r="P955" s="2" t="str" cm="1">
        <f t="array" ref="P955">_xlfn.IFS(Deals[[#This Row],[Age]]&lt;30,"Under 30",Deals[[#This Row],[Age]]&lt;45,"30-44",TRUE,"45+")</f>
        <v>30-44</v>
      </c>
      <c r="Q955" s="21">
        <f>IF(Deals[[#This Row],[Status]]="Pending","",Deals[[#This Row],[DecisionDate]]-Deals[[#This Row],[ApplicationDate]])</f>
        <v>13</v>
      </c>
      <c r="R955" s="21">
        <f>IF(Deals[[#This Row],[Status]]="Approved",1,0)</f>
        <v>0</v>
      </c>
      <c r="S955" s="21">
        <f>IF(Deals[[#This Row],[IsApproved]]=1,Deals[[#This Row],[Amount]],0)</f>
        <v>0</v>
      </c>
      <c r="T955" s="21">
        <f>Deals[[#This Row],[ApprovedAmount]]*Deals[[#This Row],[ProfitRate]]</f>
        <v>0</v>
      </c>
    </row>
    <row r="956" spans="1:20">
      <c r="A956" s="2" t="s">
        <v>1650</v>
      </c>
      <c r="B956" s="3">
        <v>46230</v>
      </c>
      <c r="C956" s="2" t="s">
        <v>1651</v>
      </c>
      <c r="D956" s="2" t="s">
        <v>29</v>
      </c>
      <c r="E956" s="2" t="s">
        <v>30</v>
      </c>
      <c r="F956" s="2" t="s">
        <v>3</v>
      </c>
      <c r="G956" s="4">
        <v>5700</v>
      </c>
      <c r="H956" s="5">
        <v>4.24E-2</v>
      </c>
      <c r="I956" s="2">
        <v>48</v>
      </c>
      <c r="J956" s="2" t="s">
        <v>61</v>
      </c>
      <c r="K956" s="2" t="s">
        <v>17</v>
      </c>
      <c r="L956" s="3">
        <v>46235</v>
      </c>
      <c r="M956" s="2" t="str">
        <f>_xlfn.XLOOKUP(Deals[[#This Row],[CustomerID]],Customers!A:A,Customers!F:F)</f>
        <v>Mass</v>
      </c>
      <c r="N956" s="2" t="str">
        <f>_xlfn.XLOOKUP(Deals[[#This Row],[CustomerID]],Customers!A:A,Customers!E:E)</f>
        <v>Kuwaiti</v>
      </c>
      <c r="O956" s="2">
        <f>2026-_xlfn.XLOOKUP(Deals[[#This Row],[CustomerID]],Customers!A:A,Customers!D:D)</f>
        <v>34</v>
      </c>
      <c r="P956" s="2" t="str" cm="1">
        <f t="array" ref="P956">_xlfn.IFS(Deals[[#This Row],[Age]]&lt;30,"Under 30",Deals[[#This Row],[Age]]&lt;45,"30-44",TRUE,"45+")</f>
        <v>30-44</v>
      </c>
      <c r="Q956" s="21">
        <f>IF(Deals[[#This Row],[Status]]="Pending","",Deals[[#This Row],[DecisionDate]]-Deals[[#This Row],[ApplicationDate]])</f>
        <v>5</v>
      </c>
      <c r="R956" s="21">
        <f>IF(Deals[[#This Row],[Status]]="Approved",1,0)</f>
        <v>1</v>
      </c>
      <c r="S956" s="21">
        <f>IF(Deals[[#This Row],[IsApproved]]=1,Deals[[#This Row],[Amount]],0)</f>
        <v>5700</v>
      </c>
      <c r="T956" s="21">
        <f>Deals[[#This Row],[ApprovedAmount]]*Deals[[#This Row],[ProfitRate]]</f>
        <v>241.68</v>
      </c>
    </row>
    <row r="957" spans="1:20">
      <c r="A957" s="2" t="s">
        <v>1652</v>
      </c>
      <c r="B957" s="3">
        <v>46230</v>
      </c>
      <c r="C957" s="2" t="s">
        <v>975</v>
      </c>
      <c r="D957" s="2" t="s">
        <v>20</v>
      </c>
      <c r="E957" s="2" t="s">
        <v>21</v>
      </c>
      <c r="F957" s="2" t="s">
        <v>3</v>
      </c>
      <c r="G957" s="4">
        <v>79000</v>
      </c>
      <c r="H957" s="5">
        <v>3.2300000000000002E-2</v>
      </c>
      <c r="I957" s="2">
        <v>180</v>
      </c>
      <c r="J957" s="2" t="s">
        <v>22</v>
      </c>
      <c r="K957" s="2" t="s">
        <v>17</v>
      </c>
      <c r="L957" s="3">
        <v>46247</v>
      </c>
      <c r="M957" s="2" t="str">
        <f>_xlfn.XLOOKUP(Deals[[#This Row],[CustomerID]],Customers!A:A,Customers!F:F)</f>
        <v>Premium</v>
      </c>
      <c r="N957" s="2" t="str">
        <f>_xlfn.XLOOKUP(Deals[[#This Row],[CustomerID]],Customers!A:A,Customers!E:E)</f>
        <v>Non-Kuwaiti</v>
      </c>
      <c r="O957" s="2">
        <f>2026-_xlfn.XLOOKUP(Deals[[#This Row],[CustomerID]],Customers!A:A,Customers!D:D)</f>
        <v>51</v>
      </c>
      <c r="P957" s="2" t="str" cm="1">
        <f t="array" ref="P957">_xlfn.IFS(Deals[[#This Row],[Age]]&lt;30,"Under 30",Deals[[#This Row],[Age]]&lt;45,"30-44",TRUE,"45+")</f>
        <v>45+</v>
      </c>
      <c r="Q957" s="21">
        <f>IF(Deals[[#This Row],[Status]]="Pending","",Deals[[#This Row],[DecisionDate]]-Deals[[#This Row],[ApplicationDate]])</f>
        <v>17</v>
      </c>
      <c r="R957" s="21">
        <f>IF(Deals[[#This Row],[Status]]="Approved",1,0)</f>
        <v>1</v>
      </c>
      <c r="S957" s="21">
        <f>IF(Deals[[#This Row],[IsApproved]]=1,Deals[[#This Row],[Amount]],0)</f>
        <v>79000</v>
      </c>
      <c r="T957" s="21">
        <f>Deals[[#This Row],[ApprovedAmount]]*Deals[[#This Row],[ProfitRate]]</f>
        <v>2551.7000000000003</v>
      </c>
    </row>
    <row r="958" spans="1:20">
      <c r="A958" s="2" t="s">
        <v>1653</v>
      </c>
      <c r="B958" s="3">
        <v>46230</v>
      </c>
      <c r="C958" s="2" t="s">
        <v>783</v>
      </c>
      <c r="D958" s="2" t="s">
        <v>20</v>
      </c>
      <c r="E958" s="2" t="s">
        <v>15</v>
      </c>
      <c r="F958" s="2" t="s">
        <v>31</v>
      </c>
      <c r="G958" s="4">
        <v>20600</v>
      </c>
      <c r="H958" s="5">
        <v>6.2300000000000001E-2</v>
      </c>
      <c r="I958" s="2">
        <v>36</v>
      </c>
      <c r="J958" s="2" t="s">
        <v>22</v>
      </c>
      <c r="K958" s="2" t="s">
        <v>17</v>
      </c>
      <c r="L958" s="3">
        <v>46230</v>
      </c>
      <c r="M958" s="2" t="str">
        <f>_xlfn.XLOOKUP(Deals[[#This Row],[CustomerID]],Customers!A:A,Customers!F:F)</f>
        <v>Affluent</v>
      </c>
      <c r="N958" s="2" t="str">
        <f>_xlfn.XLOOKUP(Deals[[#This Row],[CustomerID]],Customers!A:A,Customers!E:E)</f>
        <v>Non-Kuwaiti</v>
      </c>
      <c r="O958" s="2">
        <f>2026-_xlfn.XLOOKUP(Deals[[#This Row],[CustomerID]],Customers!A:A,Customers!D:D)</f>
        <v>34</v>
      </c>
      <c r="P958" s="2" t="str" cm="1">
        <f t="array" ref="P958">_xlfn.IFS(Deals[[#This Row],[Age]]&lt;30,"Under 30",Deals[[#This Row],[Age]]&lt;45,"30-44",TRUE,"45+")</f>
        <v>30-44</v>
      </c>
      <c r="Q958" s="21">
        <f>IF(Deals[[#This Row],[Status]]="Pending","",Deals[[#This Row],[DecisionDate]]-Deals[[#This Row],[ApplicationDate]])</f>
        <v>0</v>
      </c>
      <c r="R958" s="21">
        <f>IF(Deals[[#This Row],[Status]]="Approved",1,0)</f>
        <v>1</v>
      </c>
      <c r="S958" s="21">
        <f>IF(Deals[[#This Row],[IsApproved]]=1,Deals[[#This Row],[Amount]],0)</f>
        <v>20600</v>
      </c>
      <c r="T958" s="21">
        <f>Deals[[#This Row],[ApprovedAmount]]*Deals[[#This Row],[ProfitRate]]</f>
        <v>1283.3800000000001</v>
      </c>
    </row>
    <row r="959" spans="1:20">
      <c r="A959" s="2" t="s">
        <v>1654</v>
      </c>
      <c r="B959" s="3">
        <v>46230</v>
      </c>
      <c r="C959" s="2" t="s">
        <v>1655</v>
      </c>
      <c r="D959" s="2" t="s">
        <v>29</v>
      </c>
      <c r="E959" s="2" t="s">
        <v>21</v>
      </c>
      <c r="F959" s="2" t="s">
        <v>31</v>
      </c>
      <c r="G959" s="4">
        <v>116100</v>
      </c>
      <c r="H959" s="5">
        <v>3.7600000000000001E-2</v>
      </c>
      <c r="I959" s="2">
        <v>240</v>
      </c>
      <c r="J959" s="2" t="s">
        <v>123</v>
      </c>
      <c r="K959" s="2" t="s">
        <v>45</v>
      </c>
      <c r="L959" s="3">
        <v>46248</v>
      </c>
      <c r="M959" s="2" t="str">
        <f>_xlfn.XLOOKUP(Deals[[#This Row],[CustomerID]],Customers!A:A,Customers!F:F)</f>
        <v>Mass</v>
      </c>
      <c r="N959" s="2" t="str">
        <f>_xlfn.XLOOKUP(Deals[[#This Row],[CustomerID]],Customers!A:A,Customers!E:E)</f>
        <v>Kuwaiti</v>
      </c>
      <c r="O959" s="2">
        <f>2026-_xlfn.XLOOKUP(Deals[[#This Row],[CustomerID]],Customers!A:A,Customers!D:D)</f>
        <v>50</v>
      </c>
      <c r="P959" s="2" t="str" cm="1">
        <f t="array" ref="P959">_xlfn.IFS(Deals[[#This Row],[Age]]&lt;30,"Under 30",Deals[[#This Row],[Age]]&lt;45,"30-44",TRUE,"45+")</f>
        <v>45+</v>
      </c>
      <c r="Q959" s="21">
        <f>IF(Deals[[#This Row],[Status]]="Pending","",Deals[[#This Row],[DecisionDate]]-Deals[[#This Row],[ApplicationDate]])</f>
        <v>18</v>
      </c>
      <c r="R959" s="21">
        <f>IF(Deals[[#This Row],[Status]]="Approved",1,0)</f>
        <v>0</v>
      </c>
      <c r="S959" s="21">
        <f>IF(Deals[[#This Row],[IsApproved]]=1,Deals[[#This Row],[Amount]],0)</f>
        <v>0</v>
      </c>
      <c r="T959" s="21">
        <f>Deals[[#This Row],[ApprovedAmount]]*Deals[[#This Row],[ProfitRate]]</f>
        <v>0</v>
      </c>
    </row>
    <row r="960" spans="1:20">
      <c r="A960" s="2" t="s">
        <v>1656</v>
      </c>
      <c r="B960" s="3">
        <v>46231</v>
      </c>
      <c r="C960" s="2" t="s">
        <v>720</v>
      </c>
      <c r="D960" s="2" t="s">
        <v>71</v>
      </c>
      <c r="E960" s="2" t="s">
        <v>43</v>
      </c>
      <c r="F960" s="2" t="s">
        <v>31</v>
      </c>
      <c r="G960" s="4">
        <v>155700</v>
      </c>
      <c r="H960" s="5">
        <v>6.1400000000000003E-2</v>
      </c>
      <c r="I960" s="2">
        <v>60</v>
      </c>
      <c r="J960" s="2" t="s">
        <v>94</v>
      </c>
      <c r="K960" s="2" t="s">
        <v>45</v>
      </c>
      <c r="L960" s="3">
        <v>46241</v>
      </c>
      <c r="M960" s="2" t="str">
        <f>_xlfn.XLOOKUP(Deals[[#This Row],[CustomerID]],Customers!A:A,Customers!F:F)</f>
        <v>Affluent</v>
      </c>
      <c r="N960" s="2" t="str">
        <f>_xlfn.XLOOKUP(Deals[[#This Row],[CustomerID]],Customers!A:A,Customers!E:E)</f>
        <v>Kuwaiti</v>
      </c>
      <c r="O960" s="2">
        <f>2026-_xlfn.XLOOKUP(Deals[[#This Row],[CustomerID]],Customers!A:A,Customers!D:D)</f>
        <v>36</v>
      </c>
      <c r="P960" s="2" t="str" cm="1">
        <f t="array" ref="P960">_xlfn.IFS(Deals[[#This Row],[Age]]&lt;30,"Under 30",Deals[[#This Row],[Age]]&lt;45,"30-44",TRUE,"45+")</f>
        <v>30-44</v>
      </c>
      <c r="Q960" s="21">
        <f>IF(Deals[[#This Row],[Status]]="Pending","",Deals[[#This Row],[DecisionDate]]-Deals[[#This Row],[ApplicationDate]])</f>
        <v>10</v>
      </c>
      <c r="R960" s="21">
        <f>IF(Deals[[#This Row],[Status]]="Approved",1,0)</f>
        <v>0</v>
      </c>
      <c r="S960" s="21">
        <f>IF(Deals[[#This Row],[IsApproved]]=1,Deals[[#This Row],[Amount]],0)</f>
        <v>0</v>
      </c>
      <c r="T960" s="21">
        <f>Deals[[#This Row],[ApprovedAmount]]*Deals[[#This Row],[ProfitRate]]</f>
        <v>0</v>
      </c>
    </row>
    <row r="961" spans="1:20">
      <c r="A961" s="2" t="s">
        <v>1657</v>
      </c>
      <c r="B961" s="3">
        <v>46231</v>
      </c>
      <c r="C961" s="2" t="s">
        <v>1647</v>
      </c>
      <c r="D961" s="2" t="s">
        <v>29</v>
      </c>
      <c r="E961" s="2" t="s">
        <v>30</v>
      </c>
      <c r="F961" s="2" t="s">
        <v>3</v>
      </c>
      <c r="G961" s="4">
        <v>19400</v>
      </c>
      <c r="H961" s="5">
        <v>4.6899999999999997E-2</v>
      </c>
      <c r="I961" s="2">
        <v>36</v>
      </c>
      <c r="J961" s="2" t="s">
        <v>123</v>
      </c>
      <c r="K961" s="2" t="s">
        <v>17</v>
      </c>
      <c r="L961" s="3">
        <v>46233</v>
      </c>
      <c r="M961" s="2" t="str">
        <f>_xlfn.XLOOKUP(Deals[[#This Row],[CustomerID]],Customers!A:A,Customers!F:F)</f>
        <v>Premium</v>
      </c>
      <c r="N961" s="2" t="str">
        <f>_xlfn.XLOOKUP(Deals[[#This Row],[CustomerID]],Customers!A:A,Customers!E:E)</f>
        <v>Non-Kuwaiti</v>
      </c>
      <c r="O961" s="2">
        <f>2026-_xlfn.XLOOKUP(Deals[[#This Row],[CustomerID]],Customers!A:A,Customers!D:D)</f>
        <v>66</v>
      </c>
      <c r="P961" s="2" t="str" cm="1">
        <f t="array" ref="P961">_xlfn.IFS(Deals[[#This Row],[Age]]&lt;30,"Under 30",Deals[[#This Row],[Age]]&lt;45,"30-44",TRUE,"45+")</f>
        <v>45+</v>
      </c>
      <c r="Q961" s="21">
        <f>IF(Deals[[#This Row],[Status]]="Pending","",Deals[[#This Row],[DecisionDate]]-Deals[[#This Row],[ApplicationDate]])</f>
        <v>2</v>
      </c>
      <c r="R961" s="21">
        <f>IF(Deals[[#This Row],[Status]]="Approved",1,0)</f>
        <v>1</v>
      </c>
      <c r="S961" s="21">
        <f>IF(Deals[[#This Row],[IsApproved]]=1,Deals[[#This Row],[Amount]],0)</f>
        <v>19400</v>
      </c>
      <c r="T961" s="21">
        <f>Deals[[#This Row],[ApprovedAmount]]*Deals[[#This Row],[ProfitRate]]</f>
        <v>909.8599999999999</v>
      </c>
    </row>
    <row r="962" spans="1:20">
      <c r="A962" s="2" t="s">
        <v>1658</v>
      </c>
      <c r="B962" s="3">
        <v>46231</v>
      </c>
      <c r="C962" s="2" t="s">
        <v>1659</v>
      </c>
      <c r="D962" s="2" t="s">
        <v>25</v>
      </c>
      <c r="E962" s="2" t="s">
        <v>30</v>
      </c>
      <c r="F962" s="2" t="s">
        <v>31</v>
      </c>
      <c r="G962" s="4">
        <v>8800</v>
      </c>
      <c r="H962" s="5">
        <v>4.5900000000000003E-2</v>
      </c>
      <c r="I962" s="2">
        <v>60</v>
      </c>
      <c r="J962" s="2" t="s">
        <v>66</v>
      </c>
      <c r="K962" s="2" t="s">
        <v>17</v>
      </c>
      <c r="L962" s="3">
        <v>46236</v>
      </c>
      <c r="M962" s="2" t="str">
        <f>_xlfn.XLOOKUP(Deals[[#This Row],[CustomerID]],Customers!A:A,Customers!F:F)</f>
        <v>Affluent</v>
      </c>
      <c r="N962" s="2" t="str">
        <f>_xlfn.XLOOKUP(Deals[[#This Row],[CustomerID]],Customers!A:A,Customers!E:E)</f>
        <v>Non-Kuwaiti</v>
      </c>
      <c r="O962" s="2">
        <f>2026-_xlfn.XLOOKUP(Deals[[#This Row],[CustomerID]],Customers!A:A,Customers!D:D)</f>
        <v>53</v>
      </c>
      <c r="P962" s="2" t="str" cm="1">
        <f t="array" ref="P962">_xlfn.IFS(Deals[[#This Row],[Age]]&lt;30,"Under 30",Deals[[#This Row],[Age]]&lt;45,"30-44",TRUE,"45+")</f>
        <v>45+</v>
      </c>
      <c r="Q962" s="21">
        <f>IF(Deals[[#This Row],[Status]]="Pending","",Deals[[#This Row],[DecisionDate]]-Deals[[#This Row],[ApplicationDate]])</f>
        <v>5</v>
      </c>
      <c r="R962" s="21">
        <f>IF(Deals[[#This Row],[Status]]="Approved",1,0)</f>
        <v>1</v>
      </c>
      <c r="S962" s="21">
        <f>IF(Deals[[#This Row],[IsApproved]]=1,Deals[[#This Row],[Amount]],0)</f>
        <v>8800</v>
      </c>
      <c r="T962" s="21">
        <f>Deals[[#This Row],[ApprovedAmount]]*Deals[[#This Row],[ProfitRate]]</f>
        <v>403.92</v>
      </c>
    </row>
    <row r="963" spans="1:20">
      <c r="A963" s="2" t="s">
        <v>1660</v>
      </c>
      <c r="B963" s="3">
        <v>46231</v>
      </c>
      <c r="C963" s="2" t="s">
        <v>1440</v>
      </c>
      <c r="D963" s="2" t="s">
        <v>14</v>
      </c>
      <c r="E963" s="2" t="s">
        <v>30</v>
      </c>
      <c r="F963" s="2" t="s">
        <v>55</v>
      </c>
      <c r="G963" s="4">
        <v>4200</v>
      </c>
      <c r="H963" s="5">
        <v>4.6600000000000003E-2</v>
      </c>
      <c r="I963" s="2">
        <v>48</v>
      </c>
      <c r="J963" s="2" t="s">
        <v>48</v>
      </c>
      <c r="K963" s="2" t="s">
        <v>17</v>
      </c>
      <c r="L963" s="3">
        <v>46236</v>
      </c>
      <c r="M963" s="2" t="str">
        <f>_xlfn.XLOOKUP(Deals[[#This Row],[CustomerID]],Customers!A:A,Customers!F:F)</f>
        <v>Mass</v>
      </c>
      <c r="N963" s="2" t="str">
        <f>_xlfn.XLOOKUP(Deals[[#This Row],[CustomerID]],Customers!A:A,Customers!E:E)</f>
        <v>Kuwaiti</v>
      </c>
      <c r="O963" s="2">
        <f>2026-_xlfn.XLOOKUP(Deals[[#This Row],[CustomerID]],Customers!A:A,Customers!D:D)</f>
        <v>24</v>
      </c>
      <c r="P963" s="2" t="str" cm="1">
        <f t="array" ref="P963">_xlfn.IFS(Deals[[#This Row],[Age]]&lt;30,"Under 30",Deals[[#This Row],[Age]]&lt;45,"30-44",TRUE,"45+")</f>
        <v>Under 30</v>
      </c>
      <c r="Q963" s="21">
        <f>IF(Deals[[#This Row],[Status]]="Pending","",Deals[[#This Row],[DecisionDate]]-Deals[[#This Row],[ApplicationDate]])</f>
        <v>5</v>
      </c>
      <c r="R963" s="21">
        <f>IF(Deals[[#This Row],[Status]]="Approved",1,0)</f>
        <v>1</v>
      </c>
      <c r="S963" s="21">
        <f>IF(Deals[[#This Row],[IsApproved]]=1,Deals[[#This Row],[Amount]],0)</f>
        <v>4200</v>
      </c>
      <c r="T963" s="21">
        <f>Deals[[#This Row],[ApprovedAmount]]*Deals[[#This Row],[ProfitRate]]</f>
        <v>195.72</v>
      </c>
    </row>
    <row r="964" spans="1:20">
      <c r="A964" s="2" t="s">
        <v>1661</v>
      </c>
      <c r="B964" s="3">
        <v>46231</v>
      </c>
      <c r="C964" s="2" t="s">
        <v>1590</v>
      </c>
      <c r="D964" s="2" t="s">
        <v>29</v>
      </c>
      <c r="E964" s="2" t="s">
        <v>21</v>
      </c>
      <c r="F964" s="2" t="s">
        <v>3</v>
      </c>
      <c r="G964" s="4">
        <v>167000</v>
      </c>
      <c r="H964" s="5">
        <v>3.8600000000000002E-2</v>
      </c>
      <c r="I964" s="2">
        <v>180</v>
      </c>
      <c r="J964" s="2" t="s">
        <v>123</v>
      </c>
      <c r="K964" s="2" t="s">
        <v>17</v>
      </c>
      <c r="L964" s="3">
        <v>46242</v>
      </c>
      <c r="M964" s="2" t="str">
        <f>_xlfn.XLOOKUP(Deals[[#This Row],[CustomerID]],Customers!A:A,Customers!F:F)</f>
        <v>Affluent</v>
      </c>
      <c r="N964" s="2" t="str">
        <f>_xlfn.XLOOKUP(Deals[[#This Row],[CustomerID]],Customers!A:A,Customers!E:E)</f>
        <v>Kuwaiti</v>
      </c>
      <c r="O964" s="2">
        <f>2026-_xlfn.XLOOKUP(Deals[[#This Row],[CustomerID]],Customers!A:A,Customers!D:D)</f>
        <v>51</v>
      </c>
      <c r="P964" s="2" t="str" cm="1">
        <f t="array" ref="P964">_xlfn.IFS(Deals[[#This Row],[Age]]&lt;30,"Under 30",Deals[[#This Row],[Age]]&lt;45,"30-44",TRUE,"45+")</f>
        <v>45+</v>
      </c>
      <c r="Q964" s="21">
        <f>IF(Deals[[#This Row],[Status]]="Pending","",Deals[[#This Row],[DecisionDate]]-Deals[[#This Row],[ApplicationDate]])</f>
        <v>11</v>
      </c>
      <c r="R964" s="21">
        <f>IF(Deals[[#This Row],[Status]]="Approved",1,0)</f>
        <v>1</v>
      </c>
      <c r="S964" s="21">
        <f>IF(Deals[[#This Row],[IsApproved]]=1,Deals[[#This Row],[Amount]],0)</f>
        <v>167000</v>
      </c>
      <c r="T964" s="21">
        <f>Deals[[#This Row],[ApprovedAmount]]*Deals[[#This Row],[ProfitRate]]</f>
        <v>6446.2000000000007</v>
      </c>
    </row>
    <row r="965" spans="1:20">
      <c r="A965" s="2" t="s">
        <v>1662</v>
      </c>
      <c r="B965" s="3">
        <v>46231</v>
      </c>
      <c r="C965" s="2" t="s">
        <v>1308</v>
      </c>
      <c r="D965" s="2" t="s">
        <v>20</v>
      </c>
      <c r="E965" s="2" t="s">
        <v>21</v>
      </c>
      <c r="F965" s="2" t="s">
        <v>31</v>
      </c>
      <c r="G965" s="4">
        <v>172200</v>
      </c>
      <c r="H965" s="5">
        <v>3.8300000000000001E-2</v>
      </c>
      <c r="I965" s="2">
        <v>120</v>
      </c>
      <c r="J965" s="2" t="s">
        <v>44</v>
      </c>
      <c r="K965" s="2" t="s">
        <v>45</v>
      </c>
      <c r="L965" s="3">
        <v>46254</v>
      </c>
      <c r="M965" s="2" t="str">
        <f>_xlfn.XLOOKUP(Deals[[#This Row],[CustomerID]],Customers!A:A,Customers!F:F)</f>
        <v>Mass</v>
      </c>
      <c r="N965" s="2" t="str">
        <f>_xlfn.XLOOKUP(Deals[[#This Row],[CustomerID]],Customers!A:A,Customers!E:E)</f>
        <v>Non-Kuwaiti</v>
      </c>
      <c r="O965" s="2">
        <f>2026-_xlfn.XLOOKUP(Deals[[#This Row],[CustomerID]],Customers!A:A,Customers!D:D)</f>
        <v>47</v>
      </c>
      <c r="P965" s="2" t="str" cm="1">
        <f t="array" ref="P965">_xlfn.IFS(Deals[[#This Row],[Age]]&lt;30,"Under 30",Deals[[#This Row],[Age]]&lt;45,"30-44",TRUE,"45+")</f>
        <v>45+</v>
      </c>
      <c r="Q965" s="21">
        <f>IF(Deals[[#This Row],[Status]]="Pending","",Deals[[#This Row],[DecisionDate]]-Deals[[#This Row],[ApplicationDate]])</f>
        <v>23</v>
      </c>
      <c r="R965" s="21">
        <f>IF(Deals[[#This Row],[Status]]="Approved",1,0)</f>
        <v>0</v>
      </c>
      <c r="S965" s="21">
        <f>IF(Deals[[#This Row],[IsApproved]]=1,Deals[[#This Row],[Amount]],0)</f>
        <v>0</v>
      </c>
      <c r="T965" s="21">
        <f>Deals[[#This Row],[ApprovedAmount]]*Deals[[#This Row],[ProfitRate]]</f>
        <v>0</v>
      </c>
    </row>
    <row r="966" spans="1:20">
      <c r="A966" s="2" t="s">
        <v>1663</v>
      </c>
      <c r="B966" s="3">
        <v>46231</v>
      </c>
      <c r="C966" s="2" t="s">
        <v>1477</v>
      </c>
      <c r="D966" s="2" t="s">
        <v>20</v>
      </c>
      <c r="E966" s="2" t="s">
        <v>15</v>
      </c>
      <c r="F966" s="2" t="s">
        <v>3</v>
      </c>
      <c r="G966" s="4">
        <v>14200</v>
      </c>
      <c r="H966" s="5">
        <v>5.8400000000000001E-2</v>
      </c>
      <c r="I966" s="2">
        <v>12</v>
      </c>
      <c r="J966" s="2" t="s">
        <v>37</v>
      </c>
      <c r="K966" s="2" t="s">
        <v>45</v>
      </c>
      <c r="L966" s="3">
        <v>46238</v>
      </c>
      <c r="M966" s="2" t="str">
        <f>_xlfn.XLOOKUP(Deals[[#This Row],[CustomerID]],Customers!A:A,Customers!F:F)</f>
        <v>Mass</v>
      </c>
      <c r="N966" s="2" t="str">
        <f>_xlfn.XLOOKUP(Deals[[#This Row],[CustomerID]],Customers!A:A,Customers!E:E)</f>
        <v>Non-Kuwaiti</v>
      </c>
      <c r="O966" s="2">
        <f>2026-_xlfn.XLOOKUP(Deals[[#This Row],[CustomerID]],Customers!A:A,Customers!D:D)</f>
        <v>53</v>
      </c>
      <c r="P966" s="2" t="str" cm="1">
        <f t="array" ref="P966">_xlfn.IFS(Deals[[#This Row],[Age]]&lt;30,"Under 30",Deals[[#This Row],[Age]]&lt;45,"30-44",TRUE,"45+")</f>
        <v>45+</v>
      </c>
      <c r="Q966" s="21">
        <f>IF(Deals[[#This Row],[Status]]="Pending","",Deals[[#This Row],[DecisionDate]]-Deals[[#This Row],[ApplicationDate]])</f>
        <v>7</v>
      </c>
      <c r="R966" s="21">
        <f>IF(Deals[[#This Row],[Status]]="Approved",1,0)</f>
        <v>0</v>
      </c>
      <c r="S966" s="21">
        <f>IF(Deals[[#This Row],[IsApproved]]=1,Deals[[#This Row],[Amount]],0)</f>
        <v>0</v>
      </c>
      <c r="T966" s="21">
        <f>Deals[[#This Row],[ApprovedAmount]]*Deals[[#This Row],[ProfitRate]]</f>
        <v>0</v>
      </c>
    </row>
    <row r="967" spans="1:20">
      <c r="A967" s="2" t="s">
        <v>1664</v>
      </c>
      <c r="B967" s="3">
        <v>46232</v>
      </c>
      <c r="C967" s="2" t="s">
        <v>409</v>
      </c>
      <c r="D967" s="2" t="s">
        <v>20</v>
      </c>
      <c r="E967" s="2" t="s">
        <v>21</v>
      </c>
      <c r="F967" s="2" t="s">
        <v>3</v>
      </c>
      <c r="G967" s="4">
        <v>188100</v>
      </c>
      <c r="H967" s="5">
        <v>3.39E-2</v>
      </c>
      <c r="I967" s="2">
        <v>300</v>
      </c>
      <c r="J967" s="2" t="s">
        <v>44</v>
      </c>
      <c r="K967" s="2" t="s">
        <v>17</v>
      </c>
      <c r="L967" s="3">
        <v>46243</v>
      </c>
      <c r="M967" s="2" t="str">
        <f>_xlfn.XLOOKUP(Deals[[#This Row],[CustomerID]],Customers!A:A,Customers!F:F)</f>
        <v>Mass</v>
      </c>
      <c r="N967" s="2" t="str">
        <f>_xlfn.XLOOKUP(Deals[[#This Row],[CustomerID]],Customers!A:A,Customers!E:E)</f>
        <v>Kuwaiti</v>
      </c>
      <c r="O967" s="2">
        <f>2026-_xlfn.XLOOKUP(Deals[[#This Row],[CustomerID]],Customers!A:A,Customers!D:D)</f>
        <v>60</v>
      </c>
      <c r="P967" s="2" t="str" cm="1">
        <f t="array" ref="P967">_xlfn.IFS(Deals[[#This Row],[Age]]&lt;30,"Under 30",Deals[[#This Row],[Age]]&lt;45,"30-44",TRUE,"45+")</f>
        <v>45+</v>
      </c>
      <c r="Q967" s="21">
        <f>IF(Deals[[#This Row],[Status]]="Pending","",Deals[[#This Row],[DecisionDate]]-Deals[[#This Row],[ApplicationDate]])</f>
        <v>11</v>
      </c>
      <c r="R967" s="21">
        <f>IF(Deals[[#This Row],[Status]]="Approved",1,0)</f>
        <v>1</v>
      </c>
      <c r="S967" s="21">
        <f>IF(Deals[[#This Row],[IsApproved]]=1,Deals[[#This Row],[Amount]],0)</f>
        <v>188100</v>
      </c>
      <c r="T967" s="21">
        <f>Deals[[#This Row],[ApprovedAmount]]*Deals[[#This Row],[ProfitRate]]</f>
        <v>6376.59</v>
      </c>
    </row>
    <row r="968" spans="1:20">
      <c r="A968" s="2" t="s">
        <v>1665</v>
      </c>
      <c r="B968" s="3">
        <v>46232</v>
      </c>
      <c r="C968" s="2" t="s">
        <v>1666</v>
      </c>
      <c r="D968" s="2" t="s">
        <v>20</v>
      </c>
      <c r="E968" s="2" t="s">
        <v>15</v>
      </c>
      <c r="F968" s="2" t="s">
        <v>31</v>
      </c>
      <c r="G968" s="4">
        <v>11000</v>
      </c>
      <c r="H968" s="5">
        <v>6.1400000000000003E-2</v>
      </c>
      <c r="I968" s="2">
        <v>24</v>
      </c>
      <c r="J968" s="2" t="s">
        <v>37</v>
      </c>
      <c r="K968" s="2" t="s">
        <v>45</v>
      </c>
      <c r="L968" s="3">
        <v>46238</v>
      </c>
      <c r="M968" s="2" t="str">
        <f>_xlfn.XLOOKUP(Deals[[#This Row],[CustomerID]],Customers!A:A,Customers!F:F)</f>
        <v>Mass</v>
      </c>
      <c r="N968" s="2" t="str">
        <f>_xlfn.XLOOKUP(Deals[[#This Row],[CustomerID]],Customers!A:A,Customers!E:E)</f>
        <v>Non-Kuwaiti</v>
      </c>
      <c r="O968" s="2">
        <f>2026-_xlfn.XLOOKUP(Deals[[#This Row],[CustomerID]],Customers!A:A,Customers!D:D)</f>
        <v>35</v>
      </c>
      <c r="P968" s="2" t="str" cm="1">
        <f t="array" ref="P968">_xlfn.IFS(Deals[[#This Row],[Age]]&lt;30,"Under 30",Deals[[#This Row],[Age]]&lt;45,"30-44",TRUE,"45+")</f>
        <v>30-44</v>
      </c>
      <c r="Q968" s="21">
        <f>IF(Deals[[#This Row],[Status]]="Pending","",Deals[[#This Row],[DecisionDate]]-Deals[[#This Row],[ApplicationDate]])</f>
        <v>6</v>
      </c>
      <c r="R968" s="21">
        <f>IF(Deals[[#This Row],[Status]]="Approved",1,0)</f>
        <v>0</v>
      </c>
      <c r="S968" s="21">
        <f>IF(Deals[[#This Row],[IsApproved]]=1,Deals[[#This Row],[Amount]],0)</f>
        <v>0</v>
      </c>
      <c r="T968" s="21">
        <f>Deals[[#This Row],[ApprovedAmount]]*Deals[[#This Row],[ProfitRate]]</f>
        <v>0</v>
      </c>
    </row>
    <row r="969" spans="1:20">
      <c r="A969" s="2" t="s">
        <v>1668</v>
      </c>
      <c r="B969" s="3">
        <v>46232</v>
      </c>
      <c r="C969" s="2" t="s">
        <v>1669</v>
      </c>
      <c r="D969" s="2" t="s">
        <v>71</v>
      </c>
      <c r="E969" s="2" t="s">
        <v>15</v>
      </c>
      <c r="F969" s="2" t="s">
        <v>3</v>
      </c>
      <c r="G969" s="4">
        <v>8800</v>
      </c>
      <c r="H969" s="5">
        <v>6.1699999999999998E-2</v>
      </c>
      <c r="I969" s="2">
        <v>36</v>
      </c>
      <c r="J969" s="2" t="s">
        <v>101</v>
      </c>
      <c r="K969" s="2" t="s">
        <v>17</v>
      </c>
      <c r="L969" s="3">
        <v>46240</v>
      </c>
      <c r="M969" s="2" t="str">
        <f>_xlfn.XLOOKUP(Deals[[#This Row],[CustomerID]],Customers!A:A,Customers!F:F)</f>
        <v>Mass</v>
      </c>
      <c r="N969" s="2" t="str">
        <f>_xlfn.XLOOKUP(Deals[[#This Row],[CustomerID]],Customers!A:A,Customers!E:E)</f>
        <v>Non-Kuwaiti</v>
      </c>
      <c r="O969" s="2">
        <f>2026-_xlfn.XLOOKUP(Deals[[#This Row],[CustomerID]],Customers!A:A,Customers!D:D)</f>
        <v>54</v>
      </c>
      <c r="P969" s="2" t="str" cm="1">
        <f t="array" ref="P969">_xlfn.IFS(Deals[[#This Row],[Age]]&lt;30,"Under 30",Deals[[#This Row],[Age]]&lt;45,"30-44",TRUE,"45+")</f>
        <v>45+</v>
      </c>
      <c r="Q969" s="21">
        <f>IF(Deals[[#This Row],[Status]]="Pending","",Deals[[#This Row],[DecisionDate]]-Deals[[#This Row],[ApplicationDate]])</f>
        <v>8</v>
      </c>
      <c r="R969" s="21">
        <f>IF(Deals[[#This Row],[Status]]="Approved",1,0)</f>
        <v>1</v>
      </c>
      <c r="S969" s="21">
        <f>IF(Deals[[#This Row],[IsApproved]]=1,Deals[[#This Row],[Amount]],0)</f>
        <v>8800</v>
      </c>
      <c r="T969" s="21">
        <f>Deals[[#This Row],[ApprovedAmount]]*Deals[[#This Row],[ProfitRate]]</f>
        <v>542.96</v>
      </c>
    </row>
    <row r="970" spans="1:20">
      <c r="A970" s="2" t="s">
        <v>1670</v>
      </c>
      <c r="B970" s="3">
        <v>46232</v>
      </c>
      <c r="C970" s="2" t="s">
        <v>1671</v>
      </c>
      <c r="D970" s="2" t="s">
        <v>54</v>
      </c>
      <c r="E970" s="2" t="s">
        <v>15</v>
      </c>
      <c r="F970" s="2" t="s">
        <v>3</v>
      </c>
      <c r="G970" s="4">
        <v>16000</v>
      </c>
      <c r="H970" s="5">
        <v>6.0499999999999998E-2</v>
      </c>
      <c r="I970" s="2">
        <v>48</v>
      </c>
      <c r="J970" s="2" t="s">
        <v>148</v>
      </c>
      <c r="K970" s="2" t="s">
        <v>17</v>
      </c>
      <c r="L970" s="3">
        <v>46235</v>
      </c>
      <c r="M970" s="2" t="str">
        <f>_xlfn.XLOOKUP(Deals[[#This Row],[CustomerID]],Customers!A:A,Customers!F:F)</f>
        <v>Affluent</v>
      </c>
      <c r="N970" s="2" t="str">
        <f>_xlfn.XLOOKUP(Deals[[#This Row],[CustomerID]],Customers!A:A,Customers!E:E)</f>
        <v>Kuwaiti</v>
      </c>
      <c r="O970" s="2">
        <f>2026-_xlfn.XLOOKUP(Deals[[#This Row],[CustomerID]],Customers!A:A,Customers!D:D)</f>
        <v>36</v>
      </c>
      <c r="P970" s="2" t="str" cm="1">
        <f t="array" ref="P970">_xlfn.IFS(Deals[[#This Row],[Age]]&lt;30,"Under 30",Deals[[#This Row],[Age]]&lt;45,"30-44",TRUE,"45+")</f>
        <v>30-44</v>
      </c>
      <c r="Q970" s="21">
        <f>IF(Deals[[#This Row],[Status]]="Pending","",Deals[[#This Row],[DecisionDate]]-Deals[[#This Row],[ApplicationDate]])</f>
        <v>3</v>
      </c>
      <c r="R970" s="21">
        <f>IF(Deals[[#This Row],[Status]]="Approved",1,0)</f>
        <v>1</v>
      </c>
      <c r="S970" s="21">
        <f>IF(Deals[[#This Row],[IsApproved]]=1,Deals[[#This Row],[Amount]],0)</f>
        <v>16000</v>
      </c>
      <c r="T970" s="21">
        <f>Deals[[#This Row],[ApprovedAmount]]*Deals[[#This Row],[ProfitRate]]</f>
        <v>968</v>
      </c>
    </row>
    <row r="971" spans="1:20">
      <c r="A971" s="2" t="s">
        <v>1673</v>
      </c>
      <c r="B971" s="3">
        <v>46233</v>
      </c>
      <c r="C971" s="2" t="s">
        <v>109</v>
      </c>
      <c r="D971" s="2" t="s">
        <v>14</v>
      </c>
      <c r="E971" s="2" t="s">
        <v>43</v>
      </c>
      <c r="F971" s="2" t="s">
        <v>55</v>
      </c>
      <c r="G971" s="4">
        <v>136700</v>
      </c>
      <c r="H971" s="5">
        <v>7.8799999999999995E-2</v>
      </c>
      <c r="I971" s="2">
        <v>36</v>
      </c>
      <c r="J971" s="2" t="s">
        <v>40</v>
      </c>
      <c r="K971" s="2" t="s">
        <v>17</v>
      </c>
      <c r="L971" s="3">
        <v>46241</v>
      </c>
      <c r="M971" s="2" t="str">
        <f>_xlfn.XLOOKUP(Deals[[#This Row],[CustomerID]],Customers!A:A,Customers!F:F)</f>
        <v>Premium</v>
      </c>
      <c r="N971" s="2" t="str">
        <f>_xlfn.XLOOKUP(Deals[[#This Row],[CustomerID]],Customers!A:A,Customers!E:E)</f>
        <v>Kuwaiti</v>
      </c>
      <c r="O971" s="2">
        <f>2026-_xlfn.XLOOKUP(Deals[[#This Row],[CustomerID]],Customers!A:A,Customers!D:D)</f>
        <v>40</v>
      </c>
      <c r="P971" s="2" t="str" cm="1">
        <f t="array" ref="P971">_xlfn.IFS(Deals[[#This Row],[Age]]&lt;30,"Under 30",Deals[[#This Row],[Age]]&lt;45,"30-44",TRUE,"45+")</f>
        <v>30-44</v>
      </c>
      <c r="Q971" s="21">
        <f>IF(Deals[[#This Row],[Status]]="Pending","",Deals[[#This Row],[DecisionDate]]-Deals[[#This Row],[ApplicationDate]])</f>
        <v>8</v>
      </c>
      <c r="R971" s="21">
        <f>IF(Deals[[#This Row],[Status]]="Approved",1,0)</f>
        <v>1</v>
      </c>
      <c r="S971" s="21">
        <f>IF(Deals[[#This Row],[IsApproved]]=1,Deals[[#This Row],[Amount]],0)</f>
        <v>136700</v>
      </c>
      <c r="T971" s="21">
        <f>Deals[[#This Row],[ApprovedAmount]]*Deals[[#This Row],[ProfitRate]]</f>
        <v>10771.96</v>
      </c>
    </row>
    <row r="972" spans="1:20">
      <c r="A972" s="2" t="s">
        <v>1674</v>
      </c>
      <c r="B972" s="3">
        <v>46234</v>
      </c>
      <c r="C972" s="2" t="s">
        <v>1675</v>
      </c>
      <c r="D972" s="2" t="s">
        <v>20</v>
      </c>
      <c r="E972" s="2" t="s">
        <v>15</v>
      </c>
      <c r="F972" s="2" t="s">
        <v>55</v>
      </c>
      <c r="G972" s="4">
        <v>5200</v>
      </c>
      <c r="H972" s="5">
        <v>5.2600000000000001E-2</v>
      </c>
      <c r="I972" s="2">
        <v>36</v>
      </c>
      <c r="J972" s="2" t="s">
        <v>37</v>
      </c>
      <c r="K972" s="2" t="s">
        <v>17</v>
      </c>
      <c r="L972" s="3">
        <v>46237</v>
      </c>
      <c r="M972" s="2" t="str">
        <f>_xlfn.XLOOKUP(Deals[[#This Row],[CustomerID]],Customers!A:A,Customers!F:F)</f>
        <v>Mass</v>
      </c>
      <c r="N972" s="2" t="str">
        <f>_xlfn.XLOOKUP(Deals[[#This Row],[CustomerID]],Customers!A:A,Customers!E:E)</f>
        <v>Kuwaiti</v>
      </c>
      <c r="O972" s="2">
        <f>2026-_xlfn.XLOOKUP(Deals[[#This Row],[CustomerID]],Customers!A:A,Customers!D:D)</f>
        <v>46</v>
      </c>
      <c r="P972" s="2" t="str" cm="1">
        <f t="array" ref="P972">_xlfn.IFS(Deals[[#This Row],[Age]]&lt;30,"Under 30",Deals[[#This Row],[Age]]&lt;45,"30-44",TRUE,"45+")</f>
        <v>45+</v>
      </c>
      <c r="Q972" s="21">
        <f>IF(Deals[[#This Row],[Status]]="Pending","",Deals[[#This Row],[DecisionDate]]-Deals[[#This Row],[ApplicationDate]])</f>
        <v>3</v>
      </c>
      <c r="R972" s="21">
        <f>IF(Deals[[#This Row],[Status]]="Approved",1,0)</f>
        <v>1</v>
      </c>
      <c r="S972" s="21">
        <f>IF(Deals[[#This Row],[IsApproved]]=1,Deals[[#This Row],[Amount]],0)</f>
        <v>5200</v>
      </c>
      <c r="T972" s="21">
        <f>Deals[[#This Row],[ApprovedAmount]]*Deals[[#This Row],[ProfitRate]]</f>
        <v>273.52</v>
      </c>
    </row>
    <row r="973" spans="1:20">
      <c r="A973" s="2" t="s">
        <v>1676</v>
      </c>
      <c r="B973" s="3">
        <v>46234</v>
      </c>
      <c r="C973" s="2" t="s">
        <v>1677</v>
      </c>
      <c r="D973" s="2" t="s">
        <v>20</v>
      </c>
      <c r="E973" s="2" t="s">
        <v>30</v>
      </c>
      <c r="F973" s="2" t="s">
        <v>31</v>
      </c>
      <c r="G973" s="4">
        <v>16000</v>
      </c>
      <c r="H973" s="5">
        <v>4.0599999999999997E-2</v>
      </c>
      <c r="I973" s="2">
        <v>36</v>
      </c>
      <c r="J973" s="2" t="s">
        <v>44</v>
      </c>
      <c r="K973" s="2" t="s">
        <v>17</v>
      </c>
      <c r="L973" s="3">
        <v>46236</v>
      </c>
      <c r="M973" s="2" t="str">
        <f>_xlfn.XLOOKUP(Deals[[#This Row],[CustomerID]],Customers!A:A,Customers!F:F)</f>
        <v>Affluent</v>
      </c>
      <c r="N973" s="2" t="str">
        <f>_xlfn.XLOOKUP(Deals[[#This Row],[CustomerID]],Customers!A:A,Customers!E:E)</f>
        <v>Non-Kuwaiti</v>
      </c>
      <c r="O973" s="2">
        <f>2026-_xlfn.XLOOKUP(Deals[[#This Row],[CustomerID]],Customers!A:A,Customers!D:D)</f>
        <v>51</v>
      </c>
      <c r="P973" s="2" t="str" cm="1">
        <f t="array" ref="P973">_xlfn.IFS(Deals[[#This Row],[Age]]&lt;30,"Under 30",Deals[[#This Row],[Age]]&lt;45,"30-44",TRUE,"45+")</f>
        <v>45+</v>
      </c>
      <c r="Q973" s="21">
        <f>IF(Deals[[#This Row],[Status]]="Pending","",Deals[[#This Row],[DecisionDate]]-Deals[[#This Row],[ApplicationDate]])</f>
        <v>2</v>
      </c>
      <c r="R973" s="21">
        <f>IF(Deals[[#This Row],[Status]]="Approved",1,0)</f>
        <v>1</v>
      </c>
      <c r="S973" s="21">
        <f>IF(Deals[[#This Row],[IsApproved]]=1,Deals[[#This Row],[Amount]],0)</f>
        <v>16000</v>
      </c>
      <c r="T973" s="21">
        <f>Deals[[#This Row],[ApprovedAmount]]*Deals[[#This Row],[ProfitRate]]</f>
        <v>649.59999999999991</v>
      </c>
    </row>
    <row r="974" spans="1:20">
      <c r="A974" s="2" t="s">
        <v>1678</v>
      </c>
      <c r="B974" s="3">
        <v>46234</v>
      </c>
      <c r="C974" s="2" t="s">
        <v>1679</v>
      </c>
      <c r="D974" s="2" t="s">
        <v>20</v>
      </c>
      <c r="E974" s="2" t="s">
        <v>21</v>
      </c>
      <c r="F974" s="2" t="s">
        <v>55</v>
      </c>
      <c r="G974" s="4">
        <v>138000</v>
      </c>
      <c r="H974" s="5">
        <v>4.24E-2</v>
      </c>
      <c r="I974" s="2">
        <v>180</v>
      </c>
      <c r="J974" s="2" t="s">
        <v>22</v>
      </c>
      <c r="K974" s="2" t="s">
        <v>17</v>
      </c>
      <c r="L974" s="3">
        <v>46263</v>
      </c>
      <c r="M974" s="2" t="str">
        <f>_xlfn.XLOOKUP(Deals[[#This Row],[CustomerID]],Customers!A:A,Customers!F:F)</f>
        <v>Mass</v>
      </c>
      <c r="N974" s="2" t="str">
        <f>_xlfn.XLOOKUP(Deals[[#This Row],[CustomerID]],Customers!A:A,Customers!E:E)</f>
        <v>Non-Kuwaiti</v>
      </c>
      <c r="O974" s="2">
        <f>2026-_xlfn.XLOOKUP(Deals[[#This Row],[CustomerID]],Customers!A:A,Customers!D:D)</f>
        <v>67</v>
      </c>
      <c r="P974" s="2" t="str" cm="1">
        <f t="array" ref="P974">_xlfn.IFS(Deals[[#This Row],[Age]]&lt;30,"Under 30",Deals[[#This Row],[Age]]&lt;45,"30-44",TRUE,"45+")</f>
        <v>45+</v>
      </c>
      <c r="Q974" s="21">
        <f>IF(Deals[[#This Row],[Status]]="Pending","",Deals[[#This Row],[DecisionDate]]-Deals[[#This Row],[ApplicationDate]])</f>
        <v>29</v>
      </c>
      <c r="R974" s="21">
        <f>IF(Deals[[#This Row],[Status]]="Approved",1,0)</f>
        <v>1</v>
      </c>
      <c r="S974" s="21">
        <f>IF(Deals[[#This Row],[IsApproved]]=1,Deals[[#This Row],[Amount]],0)</f>
        <v>138000</v>
      </c>
      <c r="T974" s="21">
        <f>Deals[[#This Row],[ApprovedAmount]]*Deals[[#This Row],[ProfitRate]]</f>
        <v>5851.2</v>
      </c>
    </row>
    <row r="975" spans="1:20">
      <c r="A975" s="2" t="s">
        <v>1680</v>
      </c>
      <c r="B975" s="3">
        <v>46234</v>
      </c>
      <c r="C975" s="2" t="s">
        <v>854</v>
      </c>
      <c r="D975" s="2" t="s">
        <v>20</v>
      </c>
      <c r="E975" s="2" t="s">
        <v>30</v>
      </c>
      <c r="F975" s="2" t="s">
        <v>3</v>
      </c>
      <c r="G975" s="4">
        <v>5300</v>
      </c>
      <c r="H975" s="5">
        <v>4.5699999999999998E-2</v>
      </c>
      <c r="I975" s="2">
        <v>48</v>
      </c>
      <c r="J975" s="2" t="s">
        <v>44</v>
      </c>
      <c r="K975" s="2" t="s">
        <v>17</v>
      </c>
      <c r="L975" s="3">
        <v>46236</v>
      </c>
      <c r="M975" s="2" t="str">
        <f>_xlfn.XLOOKUP(Deals[[#This Row],[CustomerID]],Customers!A:A,Customers!F:F)</f>
        <v>Affluent</v>
      </c>
      <c r="N975" s="2" t="str">
        <f>_xlfn.XLOOKUP(Deals[[#This Row],[CustomerID]],Customers!A:A,Customers!E:E)</f>
        <v>Kuwaiti</v>
      </c>
      <c r="O975" s="2">
        <f>2026-_xlfn.XLOOKUP(Deals[[#This Row],[CustomerID]],Customers!A:A,Customers!D:D)</f>
        <v>58</v>
      </c>
      <c r="P975" s="2" t="str" cm="1">
        <f t="array" ref="P975">_xlfn.IFS(Deals[[#This Row],[Age]]&lt;30,"Under 30",Deals[[#This Row],[Age]]&lt;45,"30-44",TRUE,"45+")</f>
        <v>45+</v>
      </c>
      <c r="Q975" s="21">
        <f>IF(Deals[[#This Row],[Status]]="Pending","",Deals[[#This Row],[DecisionDate]]-Deals[[#This Row],[ApplicationDate]])</f>
        <v>2</v>
      </c>
      <c r="R975" s="21">
        <f>IF(Deals[[#This Row],[Status]]="Approved",1,0)</f>
        <v>1</v>
      </c>
      <c r="S975" s="21">
        <f>IF(Deals[[#This Row],[IsApproved]]=1,Deals[[#This Row],[Amount]],0)</f>
        <v>5300</v>
      </c>
      <c r="T975" s="21">
        <f>Deals[[#This Row],[ApprovedAmount]]*Deals[[#This Row],[ProfitRate]]</f>
        <v>242.20999999999998</v>
      </c>
    </row>
    <row r="976" spans="1:20">
      <c r="A976" s="2" t="s">
        <v>1681</v>
      </c>
      <c r="B976" s="3">
        <v>46234</v>
      </c>
      <c r="C976" s="2" t="s">
        <v>159</v>
      </c>
      <c r="D976" s="2" t="s">
        <v>14</v>
      </c>
      <c r="E976" s="2" t="s">
        <v>30</v>
      </c>
      <c r="F976" s="2" t="s">
        <v>55</v>
      </c>
      <c r="G976" s="4">
        <v>5500</v>
      </c>
      <c r="H976" s="5">
        <v>3.5700000000000003E-2</v>
      </c>
      <c r="I976" s="2">
        <v>36</v>
      </c>
      <c r="J976" s="2" t="s">
        <v>16</v>
      </c>
      <c r="K976" s="2" t="s">
        <v>17</v>
      </c>
      <c r="L976" s="3">
        <v>46238</v>
      </c>
      <c r="M976" s="2" t="str">
        <f>_xlfn.XLOOKUP(Deals[[#This Row],[CustomerID]],Customers!A:A,Customers!F:F)</f>
        <v>Affluent</v>
      </c>
      <c r="N976" s="2" t="str">
        <f>_xlfn.XLOOKUP(Deals[[#This Row],[CustomerID]],Customers!A:A,Customers!E:E)</f>
        <v>Kuwaiti</v>
      </c>
      <c r="O976" s="2">
        <f>2026-_xlfn.XLOOKUP(Deals[[#This Row],[CustomerID]],Customers!A:A,Customers!D:D)</f>
        <v>63</v>
      </c>
      <c r="P976" s="2" t="str" cm="1">
        <f t="array" ref="P976">_xlfn.IFS(Deals[[#This Row],[Age]]&lt;30,"Under 30",Deals[[#This Row],[Age]]&lt;45,"30-44",TRUE,"45+")</f>
        <v>45+</v>
      </c>
      <c r="Q976" s="21">
        <f>IF(Deals[[#This Row],[Status]]="Pending","",Deals[[#This Row],[DecisionDate]]-Deals[[#This Row],[ApplicationDate]])</f>
        <v>4</v>
      </c>
      <c r="R976" s="21">
        <f>IF(Deals[[#This Row],[Status]]="Approved",1,0)</f>
        <v>1</v>
      </c>
      <c r="S976" s="21">
        <f>IF(Deals[[#This Row],[IsApproved]]=1,Deals[[#This Row],[Amount]],0)</f>
        <v>5500</v>
      </c>
      <c r="T976" s="21">
        <f>Deals[[#This Row],[ApprovedAmount]]*Deals[[#This Row],[ProfitRate]]</f>
        <v>196.35000000000002</v>
      </c>
    </row>
    <row r="977" spans="1:20">
      <c r="A977" s="2" t="s">
        <v>1682</v>
      </c>
      <c r="B977" s="3">
        <v>46234</v>
      </c>
      <c r="C977" s="2" t="s">
        <v>1683</v>
      </c>
      <c r="D977" s="2" t="s">
        <v>29</v>
      </c>
      <c r="E977" s="2" t="s">
        <v>30</v>
      </c>
      <c r="F977" s="2" t="s">
        <v>3</v>
      </c>
      <c r="G977" s="4">
        <v>11100</v>
      </c>
      <c r="H977" s="5">
        <v>4.53E-2</v>
      </c>
      <c r="I977" s="2">
        <v>48</v>
      </c>
      <c r="J977" s="2" t="s">
        <v>32</v>
      </c>
      <c r="K977" s="2" t="s">
        <v>17</v>
      </c>
      <c r="L977" s="3">
        <v>46237</v>
      </c>
      <c r="M977" s="2" t="str">
        <f>_xlfn.XLOOKUP(Deals[[#This Row],[CustomerID]],Customers!A:A,Customers!F:F)</f>
        <v>Mass</v>
      </c>
      <c r="N977" s="2" t="str">
        <f>_xlfn.XLOOKUP(Deals[[#This Row],[CustomerID]],Customers!A:A,Customers!E:E)</f>
        <v>Kuwaiti</v>
      </c>
      <c r="O977" s="2">
        <f>2026-_xlfn.XLOOKUP(Deals[[#This Row],[CustomerID]],Customers!A:A,Customers!D:D)</f>
        <v>55</v>
      </c>
      <c r="P977" s="2" t="str" cm="1">
        <f t="array" ref="P977">_xlfn.IFS(Deals[[#This Row],[Age]]&lt;30,"Under 30",Deals[[#This Row],[Age]]&lt;45,"30-44",TRUE,"45+")</f>
        <v>45+</v>
      </c>
      <c r="Q977" s="21">
        <f>IF(Deals[[#This Row],[Status]]="Pending","",Deals[[#This Row],[DecisionDate]]-Deals[[#This Row],[ApplicationDate]])</f>
        <v>3</v>
      </c>
      <c r="R977" s="21">
        <f>IF(Deals[[#This Row],[Status]]="Approved",1,0)</f>
        <v>1</v>
      </c>
      <c r="S977" s="21">
        <f>IF(Deals[[#This Row],[IsApproved]]=1,Deals[[#This Row],[Amount]],0)</f>
        <v>11100</v>
      </c>
      <c r="T977" s="21">
        <f>Deals[[#This Row],[ApprovedAmount]]*Deals[[#This Row],[ProfitRate]]</f>
        <v>502.83</v>
      </c>
    </row>
    <row r="978" spans="1:20">
      <c r="A978" s="2" t="s">
        <v>1684</v>
      </c>
      <c r="B978" s="3">
        <v>46234</v>
      </c>
      <c r="C978" s="2" t="s">
        <v>864</v>
      </c>
      <c r="D978" s="2" t="s">
        <v>14</v>
      </c>
      <c r="E978" s="2" t="s">
        <v>15</v>
      </c>
      <c r="F978" s="2" t="s">
        <v>3</v>
      </c>
      <c r="G978" s="4">
        <v>18100</v>
      </c>
      <c r="H978" s="5">
        <v>6.2799999999999995E-2</v>
      </c>
      <c r="I978" s="2">
        <v>48</v>
      </c>
      <c r="J978" s="2" t="s">
        <v>16</v>
      </c>
      <c r="K978" s="2" t="s">
        <v>45</v>
      </c>
      <c r="L978" s="3">
        <v>46236</v>
      </c>
      <c r="M978" s="2" t="str">
        <f>_xlfn.XLOOKUP(Deals[[#This Row],[CustomerID]],Customers!A:A,Customers!F:F)</f>
        <v>Mass</v>
      </c>
      <c r="N978" s="2" t="str">
        <f>_xlfn.XLOOKUP(Deals[[#This Row],[CustomerID]],Customers!A:A,Customers!E:E)</f>
        <v>Non-Kuwaiti</v>
      </c>
      <c r="O978" s="2">
        <f>2026-_xlfn.XLOOKUP(Deals[[#This Row],[CustomerID]],Customers!A:A,Customers!D:D)</f>
        <v>39</v>
      </c>
      <c r="P978" s="2" t="str" cm="1">
        <f t="array" ref="P978">_xlfn.IFS(Deals[[#This Row],[Age]]&lt;30,"Under 30",Deals[[#This Row],[Age]]&lt;45,"30-44",TRUE,"45+")</f>
        <v>30-44</v>
      </c>
      <c r="Q978" s="21">
        <f>IF(Deals[[#This Row],[Status]]="Pending","",Deals[[#This Row],[DecisionDate]]-Deals[[#This Row],[ApplicationDate]])</f>
        <v>2</v>
      </c>
      <c r="R978" s="21">
        <f>IF(Deals[[#This Row],[Status]]="Approved",1,0)</f>
        <v>0</v>
      </c>
      <c r="S978" s="21">
        <f>IF(Deals[[#This Row],[IsApproved]]=1,Deals[[#This Row],[Amount]],0)</f>
        <v>0</v>
      </c>
      <c r="T978" s="21">
        <f>Deals[[#This Row],[ApprovedAmount]]*Deals[[#This Row],[ProfitRate]]</f>
        <v>0</v>
      </c>
    </row>
    <row r="979" spans="1:20">
      <c r="A979" s="2" t="s">
        <v>1685</v>
      </c>
      <c r="B979" s="3">
        <v>46234</v>
      </c>
      <c r="C979" s="2" t="s">
        <v>1686</v>
      </c>
      <c r="D979" s="2" t="s">
        <v>25</v>
      </c>
      <c r="E979" s="2" t="s">
        <v>21</v>
      </c>
      <c r="F979" s="2" t="s">
        <v>3</v>
      </c>
      <c r="G979" s="4">
        <v>202800</v>
      </c>
      <c r="H979" s="5">
        <v>4.2200000000000001E-2</v>
      </c>
      <c r="I979" s="2">
        <v>240</v>
      </c>
      <c r="J979" s="2" t="s">
        <v>181</v>
      </c>
      <c r="K979" s="2" t="s">
        <v>17</v>
      </c>
      <c r="L979" s="3">
        <v>46261</v>
      </c>
      <c r="M979" s="2" t="str">
        <f>_xlfn.XLOOKUP(Deals[[#This Row],[CustomerID]],Customers!A:A,Customers!F:F)</f>
        <v>Affluent</v>
      </c>
      <c r="N979" s="2" t="str">
        <f>_xlfn.XLOOKUP(Deals[[#This Row],[CustomerID]],Customers!A:A,Customers!E:E)</f>
        <v>Non-Kuwaiti</v>
      </c>
      <c r="O979" s="2">
        <f>2026-_xlfn.XLOOKUP(Deals[[#This Row],[CustomerID]],Customers!A:A,Customers!D:D)</f>
        <v>38</v>
      </c>
      <c r="P979" s="2" t="str" cm="1">
        <f t="array" ref="P979">_xlfn.IFS(Deals[[#This Row],[Age]]&lt;30,"Under 30",Deals[[#This Row],[Age]]&lt;45,"30-44",TRUE,"45+")</f>
        <v>30-44</v>
      </c>
      <c r="Q979" s="21">
        <f>IF(Deals[[#This Row],[Status]]="Pending","",Deals[[#This Row],[DecisionDate]]-Deals[[#This Row],[ApplicationDate]])</f>
        <v>27</v>
      </c>
      <c r="R979" s="21">
        <f>IF(Deals[[#This Row],[Status]]="Approved",1,0)</f>
        <v>1</v>
      </c>
      <c r="S979" s="21">
        <f>IF(Deals[[#This Row],[IsApproved]]=1,Deals[[#This Row],[Amount]],0)</f>
        <v>202800</v>
      </c>
      <c r="T979" s="21">
        <f>Deals[[#This Row],[ApprovedAmount]]*Deals[[#This Row],[ProfitRate]]</f>
        <v>8558.16</v>
      </c>
    </row>
    <row r="980" spans="1:20">
      <c r="A980" s="2" t="s">
        <v>1687</v>
      </c>
      <c r="B980" s="3">
        <v>46235</v>
      </c>
      <c r="C980" s="2" t="s">
        <v>453</v>
      </c>
      <c r="D980" s="2" t="s">
        <v>71</v>
      </c>
      <c r="E980" s="2" t="s">
        <v>15</v>
      </c>
      <c r="F980" s="2" t="s">
        <v>3</v>
      </c>
      <c r="G980" s="4">
        <v>15900</v>
      </c>
      <c r="H980" s="5">
        <v>5.1799999999999999E-2</v>
      </c>
      <c r="I980" s="2">
        <v>24</v>
      </c>
      <c r="J980" s="2" t="s">
        <v>72</v>
      </c>
      <c r="K980" s="2" t="s">
        <v>45</v>
      </c>
      <c r="L980" s="3">
        <v>46243</v>
      </c>
      <c r="M980" s="2" t="str">
        <f>_xlfn.XLOOKUP(Deals[[#This Row],[CustomerID]],Customers!A:A,Customers!F:F)</f>
        <v>Mass</v>
      </c>
      <c r="N980" s="2" t="str">
        <f>_xlfn.XLOOKUP(Deals[[#This Row],[CustomerID]],Customers!A:A,Customers!E:E)</f>
        <v>Kuwaiti</v>
      </c>
      <c r="O980" s="2">
        <f>2026-_xlfn.XLOOKUP(Deals[[#This Row],[CustomerID]],Customers!A:A,Customers!D:D)</f>
        <v>56</v>
      </c>
      <c r="P980" s="2" t="str" cm="1">
        <f t="array" ref="P980">_xlfn.IFS(Deals[[#This Row],[Age]]&lt;30,"Under 30",Deals[[#This Row],[Age]]&lt;45,"30-44",TRUE,"45+")</f>
        <v>45+</v>
      </c>
      <c r="Q980" s="21">
        <f>IF(Deals[[#This Row],[Status]]="Pending","",Deals[[#This Row],[DecisionDate]]-Deals[[#This Row],[ApplicationDate]])</f>
        <v>8</v>
      </c>
      <c r="R980" s="21">
        <f>IF(Deals[[#This Row],[Status]]="Approved",1,0)</f>
        <v>0</v>
      </c>
      <c r="S980" s="21">
        <f>IF(Deals[[#This Row],[IsApproved]]=1,Deals[[#This Row],[Amount]],0)</f>
        <v>0</v>
      </c>
      <c r="T980" s="21">
        <f>Deals[[#This Row],[ApprovedAmount]]*Deals[[#This Row],[ProfitRate]]</f>
        <v>0</v>
      </c>
    </row>
    <row r="981" spans="1:20">
      <c r="A981" s="2" t="s">
        <v>1688</v>
      </c>
      <c r="B981" s="3">
        <v>46236</v>
      </c>
      <c r="C981" s="2" t="s">
        <v>1547</v>
      </c>
      <c r="D981" s="2" t="s">
        <v>20</v>
      </c>
      <c r="E981" s="2" t="s">
        <v>15</v>
      </c>
      <c r="F981" s="2" t="s">
        <v>31</v>
      </c>
      <c r="G981" s="4">
        <v>20900</v>
      </c>
      <c r="H981" s="5">
        <v>6.6600000000000006E-2</v>
      </c>
      <c r="I981" s="2">
        <v>36</v>
      </c>
      <c r="J981" s="2" t="s">
        <v>37</v>
      </c>
      <c r="K981" s="2" t="s">
        <v>45</v>
      </c>
      <c r="L981" s="3">
        <v>46241</v>
      </c>
      <c r="M981" s="2" t="str">
        <f>_xlfn.XLOOKUP(Deals[[#This Row],[CustomerID]],Customers!A:A,Customers!F:F)</f>
        <v>Affluent</v>
      </c>
      <c r="N981" s="2" t="str">
        <f>_xlfn.XLOOKUP(Deals[[#This Row],[CustomerID]],Customers!A:A,Customers!E:E)</f>
        <v>Kuwaiti</v>
      </c>
      <c r="O981" s="2">
        <f>2026-_xlfn.XLOOKUP(Deals[[#This Row],[CustomerID]],Customers!A:A,Customers!D:D)</f>
        <v>47</v>
      </c>
      <c r="P981" s="2" t="str" cm="1">
        <f t="array" ref="P981">_xlfn.IFS(Deals[[#This Row],[Age]]&lt;30,"Under 30",Deals[[#This Row],[Age]]&lt;45,"30-44",TRUE,"45+")</f>
        <v>45+</v>
      </c>
      <c r="Q981" s="21">
        <f>IF(Deals[[#This Row],[Status]]="Pending","",Deals[[#This Row],[DecisionDate]]-Deals[[#This Row],[ApplicationDate]])</f>
        <v>5</v>
      </c>
      <c r="R981" s="21">
        <f>IF(Deals[[#This Row],[Status]]="Approved",1,0)</f>
        <v>0</v>
      </c>
      <c r="S981" s="21">
        <f>IF(Deals[[#This Row],[IsApproved]]=1,Deals[[#This Row],[Amount]],0)</f>
        <v>0</v>
      </c>
      <c r="T981" s="21">
        <f>Deals[[#This Row],[ApprovedAmount]]*Deals[[#This Row],[ProfitRate]]</f>
        <v>0</v>
      </c>
    </row>
    <row r="982" spans="1:20">
      <c r="A982" s="2" t="s">
        <v>1689</v>
      </c>
      <c r="B982" s="3">
        <v>46236</v>
      </c>
      <c r="C982" s="2" t="s">
        <v>475</v>
      </c>
      <c r="D982" s="2" t="s">
        <v>25</v>
      </c>
      <c r="E982" s="2" t="s">
        <v>30</v>
      </c>
      <c r="F982" s="2" t="s">
        <v>3</v>
      </c>
      <c r="G982" s="4">
        <v>11400</v>
      </c>
      <c r="H982" s="5">
        <v>4.2500000000000003E-2</v>
      </c>
      <c r="I982" s="2">
        <v>48</v>
      </c>
      <c r="J982" s="2" t="s">
        <v>66</v>
      </c>
      <c r="K982" s="2" t="s">
        <v>45</v>
      </c>
      <c r="L982" s="3">
        <v>46239</v>
      </c>
      <c r="M982" s="2" t="str">
        <f>_xlfn.XLOOKUP(Deals[[#This Row],[CustomerID]],Customers!A:A,Customers!F:F)</f>
        <v>Mass</v>
      </c>
      <c r="N982" s="2" t="str">
        <f>_xlfn.XLOOKUP(Deals[[#This Row],[CustomerID]],Customers!A:A,Customers!E:E)</f>
        <v>Kuwaiti</v>
      </c>
      <c r="O982" s="2">
        <f>2026-_xlfn.XLOOKUP(Deals[[#This Row],[CustomerID]],Customers!A:A,Customers!D:D)</f>
        <v>26</v>
      </c>
      <c r="P982" s="2" t="str" cm="1">
        <f t="array" ref="P982">_xlfn.IFS(Deals[[#This Row],[Age]]&lt;30,"Under 30",Deals[[#This Row],[Age]]&lt;45,"30-44",TRUE,"45+")</f>
        <v>Under 30</v>
      </c>
      <c r="Q982" s="21">
        <f>IF(Deals[[#This Row],[Status]]="Pending","",Deals[[#This Row],[DecisionDate]]-Deals[[#This Row],[ApplicationDate]])</f>
        <v>3</v>
      </c>
      <c r="R982" s="21">
        <f>IF(Deals[[#This Row],[Status]]="Approved",1,0)</f>
        <v>0</v>
      </c>
      <c r="S982" s="21">
        <f>IF(Deals[[#This Row],[IsApproved]]=1,Deals[[#This Row],[Amount]],0)</f>
        <v>0</v>
      </c>
      <c r="T982" s="21">
        <f>Deals[[#This Row],[ApprovedAmount]]*Deals[[#This Row],[ProfitRate]]</f>
        <v>0</v>
      </c>
    </row>
    <row r="983" spans="1:20">
      <c r="A983" s="2" t="s">
        <v>1690</v>
      </c>
      <c r="B983" s="3">
        <v>46236</v>
      </c>
      <c r="C983" s="2" t="s">
        <v>1310</v>
      </c>
      <c r="D983" s="2" t="s">
        <v>20</v>
      </c>
      <c r="E983" s="2" t="s">
        <v>43</v>
      </c>
      <c r="F983" s="2" t="s">
        <v>55</v>
      </c>
      <c r="G983" s="4">
        <v>102100</v>
      </c>
      <c r="H983" s="5">
        <v>5.8799999999999998E-2</v>
      </c>
      <c r="I983" s="2">
        <v>84</v>
      </c>
      <c r="J983" s="2" t="s">
        <v>22</v>
      </c>
      <c r="K983" s="2" t="s">
        <v>17</v>
      </c>
      <c r="L983" s="3">
        <v>46243</v>
      </c>
      <c r="M983" s="2" t="str">
        <f>_xlfn.XLOOKUP(Deals[[#This Row],[CustomerID]],Customers!A:A,Customers!F:F)</f>
        <v>Mass</v>
      </c>
      <c r="N983" s="2" t="str">
        <f>_xlfn.XLOOKUP(Deals[[#This Row],[CustomerID]],Customers!A:A,Customers!E:E)</f>
        <v>Kuwaiti</v>
      </c>
      <c r="O983" s="2">
        <f>2026-_xlfn.XLOOKUP(Deals[[#This Row],[CustomerID]],Customers!A:A,Customers!D:D)</f>
        <v>55</v>
      </c>
      <c r="P983" s="2" t="str" cm="1">
        <f t="array" ref="P983">_xlfn.IFS(Deals[[#This Row],[Age]]&lt;30,"Under 30",Deals[[#This Row],[Age]]&lt;45,"30-44",TRUE,"45+")</f>
        <v>45+</v>
      </c>
      <c r="Q983" s="21">
        <f>IF(Deals[[#This Row],[Status]]="Pending","",Deals[[#This Row],[DecisionDate]]-Deals[[#This Row],[ApplicationDate]])</f>
        <v>7</v>
      </c>
      <c r="R983" s="21">
        <f>IF(Deals[[#This Row],[Status]]="Approved",1,0)</f>
        <v>1</v>
      </c>
      <c r="S983" s="21">
        <f>IF(Deals[[#This Row],[IsApproved]]=1,Deals[[#This Row],[Amount]],0)</f>
        <v>102100</v>
      </c>
      <c r="T983" s="21">
        <f>Deals[[#This Row],[ApprovedAmount]]*Deals[[#This Row],[ProfitRate]]</f>
        <v>6003.48</v>
      </c>
    </row>
    <row r="984" spans="1:20">
      <c r="A984" s="2" t="s">
        <v>1691</v>
      </c>
      <c r="B984" s="3">
        <v>46236</v>
      </c>
      <c r="C984" s="2" t="s">
        <v>1692</v>
      </c>
      <c r="D984" s="2" t="s">
        <v>71</v>
      </c>
      <c r="E984" s="2" t="s">
        <v>21</v>
      </c>
      <c r="F984" s="2" t="s">
        <v>3</v>
      </c>
      <c r="G984" s="4">
        <v>193600</v>
      </c>
      <c r="H984" s="5">
        <v>4.0099999999999997E-2</v>
      </c>
      <c r="I984" s="2">
        <v>120</v>
      </c>
      <c r="J984" s="2" t="s">
        <v>72</v>
      </c>
      <c r="K984" s="2" t="s">
        <v>45</v>
      </c>
      <c r="L984" s="3">
        <v>46270</v>
      </c>
      <c r="M984" s="2" t="str">
        <f>_xlfn.XLOOKUP(Deals[[#This Row],[CustomerID]],Customers!A:A,Customers!F:F)</f>
        <v>Mass</v>
      </c>
      <c r="N984" s="2" t="str">
        <f>_xlfn.XLOOKUP(Deals[[#This Row],[CustomerID]],Customers!A:A,Customers!E:E)</f>
        <v>Kuwaiti</v>
      </c>
      <c r="O984" s="2">
        <f>2026-_xlfn.XLOOKUP(Deals[[#This Row],[CustomerID]],Customers!A:A,Customers!D:D)</f>
        <v>28</v>
      </c>
      <c r="P984" s="2" t="str" cm="1">
        <f t="array" ref="P984">_xlfn.IFS(Deals[[#This Row],[Age]]&lt;30,"Under 30",Deals[[#This Row],[Age]]&lt;45,"30-44",TRUE,"45+")</f>
        <v>Under 30</v>
      </c>
      <c r="Q984" s="21">
        <f>IF(Deals[[#This Row],[Status]]="Pending","",Deals[[#This Row],[DecisionDate]]-Deals[[#This Row],[ApplicationDate]])</f>
        <v>34</v>
      </c>
      <c r="R984" s="21">
        <f>IF(Deals[[#This Row],[Status]]="Approved",1,0)</f>
        <v>0</v>
      </c>
      <c r="S984" s="21">
        <f>IF(Deals[[#This Row],[IsApproved]]=1,Deals[[#This Row],[Amount]],0)</f>
        <v>0</v>
      </c>
      <c r="T984" s="21">
        <f>Deals[[#This Row],[ApprovedAmount]]*Deals[[#This Row],[ProfitRate]]</f>
        <v>0</v>
      </c>
    </row>
    <row r="985" spans="1:20">
      <c r="A985" s="2" t="s">
        <v>1693</v>
      </c>
      <c r="B985" s="3">
        <v>46236</v>
      </c>
      <c r="C985" s="2" t="s">
        <v>65</v>
      </c>
      <c r="D985" s="2" t="s">
        <v>71</v>
      </c>
      <c r="E985" s="2" t="s">
        <v>30</v>
      </c>
      <c r="F985" s="2" t="s">
        <v>3</v>
      </c>
      <c r="G985" s="4">
        <v>7500</v>
      </c>
      <c r="H985" s="5">
        <v>3.7699999999999997E-2</v>
      </c>
      <c r="I985" s="2">
        <v>48</v>
      </c>
      <c r="J985" s="2" t="s">
        <v>94</v>
      </c>
      <c r="K985" s="2" t="s">
        <v>45</v>
      </c>
      <c r="L985" s="3">
        <v>46245</v>
      </c>
      <c r="M985" s="2" t="str">
        <f>_xlfn.XLOOKUP(Deals[[#This Row],[CustomerID]],Customers!A:A,Customers!F:F)</f>
        <v>Mass</v>
      </c>
      <c r="N985" s="2" t="str">
        <f>_xlfn.XLOOKUP(Deals[[#This Row],[CustomerID]],Customers!A:A,Customers!E:E)</f>
        <v>Non-Kuwaiti</v>
      </c>
      <c r="O985" s="2">
        <f>2026-_xlfn.XLOOKUP(Deals[[#This Row],[CustomerID]],Customers!A:A,Customers!D:D)</f>
        <v>25</v>
      </c>
      <c r="P985" s="2" t="str" cm="1">
        <f t="array" ref="P985">_xlfn.IFS(Deals[[#This Row],[Age]]&lt;30,"Under 30",Deals[[#This Row],[Age]]&lt;45,"30-44",TRUE,"45+")</f>
        <v>Under 30</v>
      </c>
      <c r="Q985" s="21">
        <f>IF(Deals[[#This Row],[Status]]="Pending","",Deals[[#This Row],[DecisionDate]]-Deals[[#This Row],[ApplicationDate]])</f>
        <v>9</v>
      </c>
      <c r="R985" s="21">
        <f>IF(Deals[[#This Row],[Status]]="Approved",1,0)</f>
        <v>0</v>
      </c>
      <c r="S985" s="21">
        <f>IF(Deals[[#This Row],[IsApproved]]=1,Deals[[#This Row],[Amount]],0)</f>
        <v>0</v>
      </c>
      <c r="T985" s="21">
        <f>Deals[[#This Row],[ApprovedAmount]]*Deals[[#This Row],[ProfitRate]]</f>
        <v>0</v>
      </c>
    </row>
    <row r="986" spans="1:20">
      <c r="A986" s="2" t="s">
        <v>1694</v>
      </c>
      <c r="B986" s="3">
        <v>46236</v>
      </c>
      <c r="C986" s="2" t="s">
        <v>431</v>
      </c>
      <c r="D986" s="2" t="s">
        <v>14</v>
      </c>
      <c r="E986" s="2" t="s">
        <v>21</v>
      </c>
      <c r="F986" s="2" t="s">
        <v>3</v>
      </c>
      <c r="G986" s="4">
        <v>166400</v>
      </c>
      <c r="H986" s="5">
        <v>3.3300000000000003E-2</v>
      </c>
      <c r="I986" s="2">
        <v>120</v>
      </c>
      <c r="J986" s="2" t="s">
        <v>48</v>
      </c>
      <c r="K986" s="2" t="s">
        <v>17</v>
      </c>
      <c r="L986" s="3">
        <v>46261</v>
      </c>
      <c r="M986" s="2" t="str">
        <f>_xlfn.XLOOKUP(Deals[[#This Row],[CustomerID]],Customers!A:A,Customers!F:F)</f>
        <v>Mass</v>
      </c>
      <c r="N986" s="2" t="str">
        <f>_xlfn.XLOOKUP(Deals[[#This Row],[CustomerID]],Customers!A:A,Customers!E:E)</f>
        <v>Non-Kuwaiti</v>
      </c>
      <c r="O986" s="2">
        <f>2026-_xlfn.XLOOKUP(Deals[[#This Row],[CustomerID]],Customers!A:A,Customers!D:D)</f>
        <v>30</v>
      </c>
      <c r="P986" s="2" t="str" cm="1">
        <f t="array" ref="P986">_xlfn.IFS(Deals[[#This Row],[Age]]&lt;30,"Under 30",Deals[[#This Row],[Age]]&lt;45,"30-44",TRUE,"45+")</f>
        <v>30-44</v>
      </c>
      <c r="Q986" s="21">
        <f>IF(Deals[[#This Row],[Status]]="Pending","",Deals[[#This Row],[DecisionDate]]-Deals[[#This Row],[ApplicationDate]])</f>
        <v>25</v>
      </c>
      <c r="R986" s="21">
        <f>IF(Deals[[#This Row],[Status]]="Approved",1,0)</f>
        <v>1</v>
      </c>
      <c r="S986" s="21">
        <f>IF(Deals[[#This Row],[IsApproved]]=1,Deals[[#This Row],[Amount]],0)</f>
        <v>166400</v>
      </c>
      <c r="T986" s="21">
        <f>Deals[[#This Row],[ApprovedAmount]]*Deals[[#This Row],[ProfitRate]]</f>
        <v>5541.1200000000008</v>
      </c>
    </row>
    <row r="987" spans="1:20">
      <c r="A987" s="2" t="s">
        <v>1695</v>
      </c>
      <c r="B987" s="3">
        <v>46236</v>
      </c>
      <c r="C987" s="2" t="s">
        <v>1696</v>
      </c>
      <c r="D987" s="2" t="s">
        <v>29</v>
      </c>
      <c r="E987" s="2" t="s">
        <v>30</v>
      </c>
      <c r="F987" s="2" t="s">
        <v>31</v>
      </c>
      <c r="G987" s="4">
        <v>5100</v>
      </c>
      <c r="H987" s="5">
        <v>3.8800000000000001E-2</v>
      </c>
      <c r="I987" s="2">
        <v>60</v>
      </c>
      <c r="J987" s="2" t="s">
        <v>123</v>
      </c>
      <c r="K987" s="2" t="s">
        <v>17</v>
      </c>
      <c r="L987" s="3">
        <v>46240</v>
      </c>
      <c r="M987" s="2" t="str">
        <f>_xlfn.XLOOKUP(Deals[[#This Row],[CustomerID]],Customers!A:A,Customers!F:F)</f>
        <v>Affluent</v>
      </c>
      <c r="N987" s="2" t="str">
        <f>_xlfn.XLOOKUP(Deals[[#This Row],[CustomerID]],Customers!A:A,Customers!E:E)</f>
        <v>Non-Kuwaiti</v>
      </c>
      <c r="O987" s="2">
        <f>2026-_xlfn.XLOOKUP(Deals[[#This Row],[CustomerID]],Customers!A:A,Customers!D:D)</f>
        <v>31</v>
      </c>
      <c r="P987" s="2" t="str" cm="1">
        <f t="array" ref="P987">_xlfn.IFS(Deals[[#This Row],[Age]]&lt;30,"Under 30",Deals[[#This Row],[Age]]&lt;45,"30-44",TRUE,"45+")</f>
        <v>30-44</v>
      </c>
      <c r="Q987" s="21">
        <f>IF(Deals[[#This Row],[Status]]="Pending","",Deals[[#This Row],[DecisionDate]]-Deals[[#This Row],[ApplicationDate]])</f>
        <v>4</v>
      </c>
      <c r="R987" s="21">
        <f>IF(Deals[[#This Row],[Status]]="Approved",1,0)</f>
        <v>1</v>
      </c>
      <c r="S987" s="21">
        <f>IF(Deals[[#This Row],[IsApproved]]=1,Deals[[#This Row],[Amount]],0)</f>
        <v>5100</v>
      </c>
      <c r="T987" s="21">
        <f>Deals[[#This Row],[ApprovedAmount]]*Deals[[#This Row],[ProfitRate]]</f>
        <v>197.88</v>
      </c>
    </row>
    <row r="988" spans="1:20">
      <c r="A988" s="2" t="s">
        <v>1697</v>
      </c>
      <c r="B988" s="3">
        <v>46236</v>
      </c>
      <c r="C988" s="2" t="s">
        <v>1477</v>
      </c>
      <c r="D988" s="2" t="s">
        <v>14</v>
      </c>
      <c r="E988" s="2" t="s">
        <v>15</v>
      </c>
      <c r="F988" s="2" t="s">
        <v>31</v>
      </c>
      <c r="G988" s="4">
        <v>23400</v>
      </c>
      <c r="H988" s="5">
        <v>6.7599999999999993E-2</v>
      </c>
      <c r="I988" s="2">
        <v>24</v>
      </c>
      <c r="J988" s="2" t="s">
        <v>40</v>
      </c>
      <c r="K988" s="2" t="s">
        <v>17</v>
      </c>
      <c r="L988" s="3">
        <v>46237</v>
      </c>
      <c r="M988" s="2" t="str">
        <f>_xlfn.XLOOKUP(Deals[[#This Row],[CustomerID]],Customers!A:A,Customers!F:F)</f>
        <v>Mass</v>
      </c>
      <c r="N988" s="2" t="str">
        <f>_xlfn.XLOOKUP(Deals[[#This Row],[CustomerID]],Customers!A:A,Customers!E:E)</f>
        <v>Non-Kuwaiti</v>
      </c>
      <c r="O988" s="2">
        <f>2026-_xlfn.XLOOKUP(Deals[[#This Row],[CustomerID]],Customers!A:A,Customers!D:D)</f>
        <v>53</v>
      </c>
      <c r="P988" s="2" t="str" cm="1">
        <f t="array" ref="P988">_xlfn.IFS(Deals[[#This Row],[Age]]&lt;30,"Under 30",Deals[[#This Row],[Age]]&lt;45,"30-44",TRUE,"45+")</f>
        <v>45+</v>
      </c>
      <c r="Q988" s="21">
        <f>IF(Deals[[#This Row],[Status]]="Pending","",Deals[[#This Row],[DecisionDate]]-Deals[[#This Row],[ApplicationDate]])</f>
        <v>1</v>
      </c>
      <c r="R988" s="21">
        <f>IF(Deals[[#This Row],[Status]]="Approved",1,0)</f>
        <v>1</v>
      </c>
      <c r="S988" s="21">
        <f>IF(Deals[[#This Row],[IsApproved]]=1,Deals[[#This Row],[Amount]],0)</f>
        <v>23400</v>
      </c>
      <c r="T988" s="21">
        <f>Deals[[#This Row],[ApprovedAmount]]*Deals[[#This Row],[ProfitRate]]</f>
        <v>1581.84</v>
      </c>
    </row>
    <row r="989" spans="1:20">
      <c r="A989" s="2" t="s">
        <v>1698</v>
      </c>
      <c r="B989" s="3">
        <v>46237</v>
      </c>
      <c r="C989" s="2" t="s">
        <v>776</v>
      </c>
      <c r="D989" s="2" t="s">
        <v>71</v>
      </c>
      <c r="E989" s="2" t="s">
        <v>15</v>
      </c>
      <c r="F989" s="2" t="s">
        <v>31</v>
      </c>
      <c r="G989" s="4">
        <v>15500</v>
      </c>
      <c r="H989" s="5">
        <v>5.2200000000000003E-2</v>
      </c>
      <c r="I989" s="2">
        <v>12</v>
      </c>
      <c r="J989" s="2" t="s">
        <v>72</v>
      </c>
      <c r="K989" s="2" t="s">
        <v>45</v>
      </c>
      <c r="L989" s="3">
        <v>46243</v>
      </c>
      <c r="M989" s="2" t="str">
        <f>_xlfn.XLOOKUP(Deals[[#This Row],[CustomerID]],Customers!A:A,Customers!F:F)</f>
        <v>Affluent</v>
      </c>
      <c r="N989" s="2" t="str">
        <f>_xlfn.XLOOKUP(Deals[[#This Row],[CustomerID]],Customers!A:A,Customers!E:E)</f>
        <v>Kuwaiti</v>
      </c>
      <c r="O989" s="2">
        <f>2026-_xlfn.XLOOKUP(Deals[[#This Row],[CustomerID]],Customers!A:A,Customers!D:D)</f>
        <v>26</v>
      </c>
      <c r="P989" s="2" t="str" cm="1">
        <f t="array" ref="P989">_xlfn.IFS(Deals[[#This Row],[Age]]&lt;30,"Under 30",Deals[[#This Row],[Age]]&lt;45,"30-44",TRUE,"45+")</f>
        <v>Under 30</v>
      </c>
      <c r="Q989" s="21">
        <f>IF(Deals[[#This Row],[Status]]="Pending","",Deals[[#This Row],[DecisionDate]]-Deals[[#This Row],[ApplicationDate]])</f>
        <v>6</v>
      </c>
      <c r="R989" s="21">
        <f>IF(Deals[[#This Row],[Status]]="Approved",1,0)</f>
        <v>0</v>
      </c>
      <c r="S989" s="21">
        <f>IF(Deals[[#This Row],[IsApproved]]=1,Deals[[#This Row],[Amount]],0)</f>
        <v>0</v>
      </c>
      <c r="T989" s="21">
        <f>Deals[[#This Row],[ApprovedAmount]]*Deals[[#This Row],[ProfitRate]]</f>
        <v>0</v>
      </c>
    </row>
    <row r="990" spans="1:20">
      <c r="A990" s="2" t="s">
        <v>1699</v>
      </c>
      <c r="B990" s="3">
        <v>46237</v>
      </c>
      <c r="C990" s="2" t="s">
        <v>1183</v>
      </c>
      <c r="D990" s="2" t="s">
        <v>25</v>
      </c>
      <c r="E990" s="2" t="s">
        <v>30</v>
      </c>
      <c r="F990" s="2" t="s">
        <v>31</v>
      </c>
      <c r="G990" s="4">
        <v>4300</v>
      </c>
      <c r="H990" s="5">
        <v>3.7699999999999997E-2</v>
      </c>
      <c r="I990" s="2">
        <v>60</v>
      </c>
      <c r="J990" s="2" t="s">
        <v>66</v>
      </c>
      <c r="K990" s="2" t="s">
        <v>17</v>
      </c>
      <c r="L990" s="3">
        <v>46240</v>
      </c>
      <c r="M990" s="2" t="str">
        <f>_xlfn.XLOOKUP(Deals[[#This Row],[CustomerID]],Customers!A:A,Customers!F:F)</f>
        <v>Mass</v>
      </c>
      <c r="N990" s="2" t="str">
        <f>_xlfn.XLOOKUP(Deals[[#This Row],[CustomerID]],Customers!A:A,Customers!E:E)</f>
        <v>Non-Kuwaiti</v>
      </c>
      <c r="O990" s="2">
        <f>2026-_xlfn.XLOOKUP(Deals[[#This Row],[CustomerID]],Customers!A:A,Customers!D:D)</f>
        <v>46</v>
      </c>
      <c r="P990" s="2" t="str" cm="1">
        <f t="array" ref="P990">_xlfn.IFS(Deals[[#This Row],[Age]]&lt;30,"Under 30",Deals[[#This Row],[Age]]&lt;45,"30-44",TRUE,"45+")</f>
        <v>45+</v>
      </c>
      <c r="Q990" s="21">
        <f>IF(Deals[[#This Row],[Status]]="Pending","",Deals[[#This Row],[DecisionDate]]-Deals[[#This Row],[ApplicationDate]])</f>
        <v>3</v>
      </c>
      <c r="R990" s="21">
        <f>IF(Deals[[#This Row],[Status]]="Approved",1,0)</f>
        <v>1</v>
      </c>
      <c r="S990" s="21">
        <f>IF(Deals[[#This Row],[IsApproved]]=1,Deals[[#This Row],[Amount]],0)</f>
        <v>4300</v>
      </c>
      <c r="T990" s="21">
        <f>Deals[[#This Row],[ApprovedAmount]]*Deals[[#This Row],[ProfitRate]]</f>
        <v>162.10999999999999</v>
      </c>
    </row>
    <row r="991" spans="1:20">
      <c r="A991" s="2" t="s">
        <v>1700</v>
      </c>
      <c r="B991" s="3">
        <v>46237</v>
      </c>
      <c r="C991" s="2" t="s">
        <v>479</v>
      </c>
      <c r="D991" s="2" t="s">
        <v>29</v>
      </c>
      <c r="E991" s="2" t="s">
        <v>30</v>
      </c>
      <c r="F991" s="2" t="s">
        <v>3</v>
      </c>
      <c r="G991" s="4">
        <v>9900</v>
      </c>
      <c r="H991" s="5">
        <v>4.3299999999999998E-2</v>
      </c>
      <c r="I991" s="2">
        <v>60</v>
      </c>
      <c r="J991" s="2" t="s">
        <v>61</v>
      </c>
      <c r="K991" s="2" t="s">
        <v>17</v>
      </c>
      <c r="L991" s="3">
        <v>46241</v>
      </c>
      <c r="M991" s="2" t="str">
        <f>_xlfn.XLOOKUP(Deals[[#This Row],[CustomerID]],Customers!A:A,Customers!F:F)</f>
        <v>Mass</v>
      </c>
      <c r="N991" s="2" t="str">
        <f>_xlfn.XLOOKUP(Deals[[#This Row],[CustomerID]],Customers!A:A,Customers!E:E)</f>
        <v>Kuwaiti</v>
      </c>
      <c r="O991" s="2">
        <f>2026-_xlfn.XLOOKUP(Deals[[#This Row],[CustomerID]],Customers!A:A,Customers!D:D)</f>
        <v>49</v>
      </c>
      <c r="P991" s="2" t="str" cm="1">
        <f t="array" ref="P991">_xlfn.IFS(Deals[[#This Row],[Age]]&lt;30,"Under 30",Deals[[#This Row],[Age]]&lt;45,"30-44",TRUE,"45+")</f>
        <v>45+</v>
      </c>
      <c r="Q991" s="21">
        <f>IF(Deals[[#This Row],[Status]]="Pending","",Deals[[#This Row],[DecisionDate]]-Deals[[#This Row],[ApplicationDate]])</f>
        <v>4</v>
      </c>
      <c r="R991" s="21">
        <f>IF(Deals[[#This Row],[Status]]="Approved",1,0)</f>
        <v>1</v>
      </c>
      <c r="S991" s="21">
        <f>IF(Deals[[#This Row],[IsApproved]]=1,Deals[[#This Row],[Amount]],0)</f>
        <v>9900</v>
      </c>
      <c r="T991" s="21">
        <f>Deals[[#This Row],[ApprovedAmount]]*Deals[[#This Row],[ProfitRate]]</f>
        <v>428.66999999999996</v>
      </c>
    </row>
    <row r="992" spans="1:20">
      <c r="A992" s="2" t="s">
        <v>1701</v>
      </c>
      <c r="B992" s="3">
        <v>46237</v>
      </c>
      <c r="C992" s="2" t="s">
        <v>50</v>
      </c>
      <c r="D992" s="2" t="s">
        <v>29</v>
      </c>
      <c r="E992" s="2" t="s">
        <v>15</v>
      </c>
      <c r="F992" s="2" t="s">
        <v>3</v>
      </c>
      <c r="G992" s="4">
        <v>6700</v>
      </c>
      <c r="H992" s="5">
        <v>5.9700000000000003E-2</v>
      </c>
      <c r="I992" s="2">
        <v>60</v>
      </c>
      <c r="J992" s="2" t="s">
        <v>32</v>
      </c>
      <c r="K992" s="2" t="s">
        <v>17</v>
      </c>
      <c r="L992" s="3">
        <v>46241</v>
      </c>
      <c r="M992" s="2" t="str">
        <f>_xlfn.XLOOKUP(Deals[[#This Row],[CustomerID]],Customers!A:A,Customers!F:F)</f>
        <v>Affluent</v>
      </c>
      <c r="N992" s="2" t="str">
        <f>_xlfn.XLOOKUP(Deals[[#This Row],[CustomerID]],Customers!A:A,Customers!E:E)</f>
        <v>Kuwaiti</v>
      </c>
      <c r="O992" s="2">
        <f>2026-_xlfn.XLOOKUP(Deals[[#This Row],[CustomerID]],Customers!A:A,Customers!D:D)</f>
        <v>45</v>
      </c>
      <c r="P992" s="2" t="str" cm="1">
        <f t="array" ref="P992">_xlfn.IFS(Deals[[#This Row],[Age]]&lt;30,"Under 30",Deals[[#This Row],[Age]]&lt;45,"30-44",TRUE,"45+")</f>
        <v>45+</v>
      </c>
      <c r="Q992" s="21">
        <f>IF(Deals[[#This Row],[Status]]="Pending","",Deals[[#This Row],[DecisionDate]]-Deals[[#This Row],[ApplicationDate]])</f>
        <v>4</v>
      </c>
      <c r="R992" s="21">
        <f>IF(Deals[[#This Row],[Status]]="Approved",1,0)</f>
        <v>1</v>
      </c>
      <c r="S992" s="21">
        <f>IF(Deals[[#This Row],[IsApproved]]=1,Deals[[#This Row],[Amount]],0)</f>
        <v>6700</v>
      </c>
      <c r="T992" s="21">
        <f>Deals[[#This Row],[ApprovedAmount]]*Deals[[#This Row],[ProfitRate]]</f>
        <v>399.99</v>
      </c>
    </row>
    <row r="993" spans="1:20">
      <c r="A993" s="2" t="s">
        <v>1702</v>
      </c>
      <c r="B993" s="3">
        <v>46237</v>
      </c>
      <c r="C993" s="2" t="s">
        <v>738</v>
      </c>
      <c r="D993" s="2" t="s">
        <v>14</v>
      </c>
      <c r="E993" s="2" t="s">
        <v>30</v>
      </c>
      <c r="F993" s="2" t="s">
        <v>3</v>
      </c>
      <c r="G993" s="4">
        <v>12400</v>
      </c>
      <c r="H993" s="5">
        <v>4.87E-2</v>
      </c>
      <c r="I993" s="2">
        <v>60</v>
      </c>
      <c r="J993" s="2" t="s">
        <v>16</v>
      </c>
      <c r="K993" s="2" t="s">
        <v>17</v>
      </c>
      <c r="L993" s="3">
        <v>46242</v>
      </c>
      <c r="M993" s="2" t="str">
        <f>_xlfn.XLOOKUP(Deals[[#This Row],[CustomerID]],Customers!A:A,Customers!F:F)</f>
        <v>Mass</v>
      </c>
      <c r="N993" s="2" t="str">
        <f>_xlfn.XLOOKUP(Deals[[#This Row],[CustomerID]],Customers!A:A,Customers!E:E)</f>
        <v>Kuwaiti</v>
      </c>
      <c r="O993" s="2">
        <f>2026-_xlfn.XLOOKUP(Deals[[#This Row],[CustomerID]],Customers!A:A,Customers!D:D)</f>
        <v>23</v>
      </c>
      <c r="P993" s="2" t="str" cm="1">
        <f t="array" ref="P993">_xlfn.IFS(Deals[[#This Row],[Age]]&lt;30,"Under 30",Deals[[#This Row],[Age]]&lt;45,"30-44",TRUE,"45+")</f>
        <v>Under 30</v>
      </c>
      <c r="Q993" s="21">
        <f>IF(Deals[[#This Row],[Status]]="Pending","",Deals[[#This Row],[DecisionDate]]-Deals[[#This Row],[ApplicationDate]])</f>
        <v>5</v>
      </c>
      <c r="R993" s="21">
        <f>IF(Deals[[#This Row],[Status]]="Approved",1,0)</f>
        <v>1</v>
      </c>
      <c r="S993" s="21">
        <f>IF(Deals[[#This Row],[IsApproved]]=1,Deals[[#This Row],[Amount]],0)</f>
        <v>12400</v>
      </c>
      <c r="T993" s="21">
        <f>Deals[[#This Row],[ApprovedAmount]]*Deals[[#This Row],[ProfitRate]]</f>
        <v>603.88</v>
      </c>
    </row>
    <row r="994" spans="1:20">
      <c r="A994" s="2" t="s">
        <v>1703</v>
      </c>
      <c r="B994" s="3">
        <v>46238</v>
      </c>
      <c r="C994" s="2" t="s">
        <v>1217</v>
      </c>
      <c r="D994" s="2" t="s">
        <v>29</v>
      </c>
      <c r="E994" s="2" t="s">
        <v>21</v>
      </c>
      <c r="F994" s="2" t="s">
        <v>3</v>
      </c>
      <c r="G994" s="4">
        <v>94000</v>
      </c>
      <c r="H994" s="5">
        <v>3.3399999999999999E-2</v>
      </c>
      <c r="I994" s="2">
        <v>180</v>
      </c>
      <c r="J994" s="2" t="s">
        <v>123</v>
      </c>
      <c r="K994" s="2" t="s">
        <v>45</v>
      </c>
      <c r="L994" s="3">
        <v>46258</v>
      </c>
      <c r="M994" s="2" t="str">
        <f>_xlfn.XLOOKUP(Deals[[#This Row],[CustomerID]],Customers!A:A,Customers!F:F)</f>
        <v>Mass</v>
      </c>
      <c r="N994" s="2" t="str">
        <f>_xlfn.XLOOKUP(Deals[[#This Row],[CustomerID]],Customers!A:A,Customers!E:E)</f>
        <v>Non-Kuwaiti</v>
      </c>
      <c r="O994" s="2">
        <f>2026-_xlfn.XLOOKUP(Deals[[#This Row],[CustomerID]],Customers!A:A,Customers!D:D)</f>
        <v>38</v>
      </c>
      <c r="P994" s="2" t="str" cm="1">
        <f t="array" ref="P994">_xlfn.IFS(Deals[[#This Row],[Age]]&lt;30,"Under 30",Deals[[#This Row],[Age]]&lt;45,"30-44",TRUE,"45+")</f>
        <v>30-44</v>
      </c>
      <c r="Q994" s="21">
        <f>IF(Deals[[#This Row],[Status]]="Pending","",Deals[[#This Row],[DecisionDate]]-Deals[[#This Row],[ApplicationDate]])</f>
        <v>20</v>
      </c>
      <c r="R994" s="21">
        <f>IF(Deals[[#This Row],[Status]]="Approved",1,0)</f>
        <v>0</v>
      </c>
      <c r="S994" s="21">
        <f>IF(Deals[[#This Row],[IsApproved]]=1,Deals[[#This Row],[Amount]],0)</f>
        <v>0</v>
      </c>
      <c r="T994" s="21">
        <f>Deals[[#This Row],[ApprovedAmount]]*Deals[[#This Row],[ProfitRate]]</f>
        <v>0</v>
      </c>
    </row>
    <row r="995" spans="1:20">
      <c r="A995" s="2" t="s">
        <v>1704</v>
      </c>
      <c r="B995" s="3">
        <v>46239</v>
      </c>
      <c r="C995" s="2" t="s">
        <v>515</v>
      </c>
      <c r="D995" s="2" t="s">
        <v>20</v>
      </c>
      <c r="E995" s="2" t="s">
        <v>43</v>
      </c>
      <c r="F995" s="2" t="s">
        <v>31</v>
      </c>
      <c r="G995" s="4">
        <v>119400</v>
      </c>
      <c r="H995" s="5">
        <v>6.83E-2</v>
      </c>
      <c r="I995" s="2">
        <v>60</v>
      </c>
      <c r="J995" s="2" t="s">
        <v>22</v>
      </c>
      <c r="K995" s="2" t="s">
        <v>45</v>
      </c>
      <c r="L995" s="3">
        <v>46249</v>
      </c>
      <c r="M995" s="2" t="str">
        <f>_xlfn.XLOOKUP(Deals[[#This Row],[CustomerID]],Customers!A:A,Customers!F:F)</f>
        <v>Mass</v>
      </c>
      <c r="N995" s="2" t="str">
        <f>_xlfn.XLOOKUP(Deals[[#This Row],[CustomerID]],Customers!A:A,Customers!E:E)</f>
        <v>Kuwaiti</v>
      </c>
      <c r="O995" s="2">
        <f>2026-_xlfn.XLOOKUP(Deals[[#This Row],[CustomerID]],Customers!A:A,Customers!D:D)</f>
        <v>54</v>
      </c>
      <c r="P995" s="2" t="str" cm="1">
        <f t="array" ref="P995">_xlfn.IFS(Deals[[#This Row],[Age]]&lt;30,"Under 30",Deals[[#This Row],[Age]]&lt;45,"30-44",TRUE,"45+")</f>
        <v>45+</v>
      </c>
      <c r="Q995" s="21">
        <f>IF(Deals[[#This Row],[Status]]="Pending","",Deals[[#This Row],[DecisionDate]]-Deals[[#This Row],[ApplicationDate]])</f>
        <v>10</v>
      </c>
      <c r="R995" s="21">
        <f>IF(Deals[[#This Row],[Status]]="Approved",1,0)</f>
        <v>0</v>
      </c>
      <c r="S995" s="21">
        <f>IF(Deals[[#This Row],[IsApproved]]=1,Deals[[#This Row],[Amount]],0)</f>
        <v>0</v>
      </c>
      <c r="T995" s="21">
        <f>Deals[[#This Row],[ApprovedAmount]]*Deals[[#This Row],[ProfitRate]]</f>
        <v>0</v>
      </c>
    </row>
    <row r="996" spans="1:20">
      <c r="A996" s="2" t="s">
        <v>1705</v>
      </c>
      <c r="B996" s="3">
        <v>46239</v>
      </c>
      <c r="C996" s="2" t="s">
        <v>1706</v>
      </c>
      <c r="D996" s="2" t="s">
        <v>54</v>
      </c>
      <c r="E996" s="2" t="s">
        <v>30</v>
      </c>
      <c r="F996" s="2" t="s">
        <v>31</v>
      </c>
      <c r="G996" s="4">
        <v>16400</v>
      </c>
      <c r="H996" s="5">
        <v>4.0399999999999998E-2</v>
      </c>
      <c r="I996" s="2">
        <v>48</v>
      </c>
      <c r="J996" s="2" t="s">
        <v>186</v>
      </c>
      <c r="K996" s="2" t="s">
        <v>17</v>
      </c>
      <c r="L996" s="3">
        <v>46239</v>
      </c>
      <c r="M996" s="2" t="str">
        <f>_xlfn.XLOOKUP(Deals[[#This Row],[CustomerID]],Customers!A:A,Customers!F:F)</f>
        <v>Affluent</v>
      </c>
      <c r="N996" s="2" t="str">
        <f>_xlfn.XLOOKUP(Deals[[#This Row],[CustomerID]],Customers!A:A,Customers!E:E)</f>
        <v>Kuwaiti</v>
      </c>
      <c r="O996" s="2">
        <f>2026-_xlfn.XLOOKUP(Deals[[#This Row],[CustomerID]],Customers!A:A,Customers!D:D)</f>
        <v>31</v>
      </c>
      <c r="P996" s="2" t="str" cm="1">
        <f t="array" ref="P996">_xlfn.IFS(Deals[[#This Row],[Age]]&lt;30,"Under 30",Deals[[#This Row],[Age]]&lt;45,"30-44",TRUE,"45+")</f>
        <v>30-44</v>
      </c>
      <c r="Q996" s="21">
        <f>IF(Deals[[#This Row],[Status]]="Pending","",Deals[[#This Row],[DecisionDate]]-Deals[[#This Row],[ApplicationDate]])</f>
        <v>0</v>
      </c>
      <c r="R996" s="21">
        <f>IF(Deals[[#This Row],[Status]]="Approved",1,0)</f>
        <v>1</v>
      </c>
      <c r="S996" s="21">
        <f>IF(Deals[[#This Row],[IsApproved]]=1,Deals[[#This Row],[Amount]],0)</f>
        <v>16400</v>
      </c>
      <c r="T996" s="21">
        <f>Deals[[#This Row],[ApprovedAmount]]*Deals[[#This Row],[ProfitRate]]</f>
        <v>662.56</v>
      </c>
    </row>
    <row r="997" spans="1:20">
      <c r="A997" s="2" t="s">
        <v>1707</v>
      </c>
      <c r="B997" s="3">
        <v>46239</v>
      </c>
      <c r="C997" s="2" t="s">
        <v>1708</v>
      </c>
      <c r="D997" s="2" t="s">
        <v>25</v>
      </c>
      <c r="E997" s="2" t="s">
        <v>30</v>
      </c>
      <c r="F997" s="2" t="s">
        <v>31</v>
      </c>
      <c r="G997" s="4">
        <v>5500</v>
      </c>
      <c r="H997" s="5">
        <v>4.4999999999999998E-2</v>
      </c>
      <c r="I997" s="2">
        <v>48</v>
      </c>
      <c r="J997" s="2" t="s">
        <v>66</v>
      </c>
      <c r="K997" s="2" t="s">
        <v>45</v>
      </c>
      <c r="L997" s="3">
        <v>46241</v>
      </c>
      <c r="M997" s="2" t="str">
        <f>_xlfn.XLOOKUP(Deals[[#This Row],[CustomerID]],Customers!A:A,Customers!F:F)</f>
        <v>Mass</v>
      </c>
      <c r="N997" s="2" t="str">
        <f>_xlfn.XLOOKUP(Deals[[#This Row],[CustomerID]],Customers!A:A,Customers!E:E)</f>
        <v>Non-Kuwaiti</v>
      </c>
      <c r="O997" s="2">
        <f>2026-_xlfn.XLOOKUP(Deals[[#This Row],[CustomerID]],Customers!A:A,Customers!D:D)</f>
        <v>53</v>
      </c>
      <c r="P997" s="2" t="str" cm="1">
        <f t="array" ref="P997">_xlfn.IFS(Deals[[#This Row],[Age]]&lt;30,"Under 30",Deals[[#This Row],[Age]]&lt;45,"30-44",TRUE,"45+")</f>
        <v>45+</v>
      </c>
      <c r="Q997" s="21">
        <f>IF(Deals[[#This Row],[Status]]="Pending","",Deals[[#This Row],[DecisionDate]]-Deals[[#This Row],[ApplicationDate]])</f>
        <v>2</v>
      </c>
      <c r="R997" s="21">
        <f>IF(Deals[[#This Row],[Status]]="Approved",1,0)</f>
        <v>0</v>
      </c>
      <c r="S997" s="21">
        <f>IF(Deals[[#This Row],[IsApproved]]=1,Deals[[#This Row],[Amount]],0)</f>
        <v>0</v>
      </c>
      <c r="T997" s="21">
        <f>Deals[[#This Row],[ApprovedAmount]]*Deals[[#This Row],[ProfitRate]]</f>
        <v>0</v>
      </c>
    </row>
    <row r="998" spans="1:20">
      <c r="A998" s="2" t="s">
        <v>1709</v>
      </c>
      <c r="B998" s="3">
        <v>46239</v>
      </c>
      <c r="C998" s="2" t="s">
        <v>1211</v>
      </c>
      <c r="D998" s="2" t="s">
        <v>29</v>
      </c>
      <c r="E998" s="2" t="s">
        <v>15</v>
      </c>
      <c r="F998" s="2" t="s">
        <v>3</v>
      </c>
      <c r="G998" s="4">
        <v>24800</v>
      </c>
      <c r="H998" s="5">
        <v>6.7900000000000002E-2</v>
      </c>
      <c r="I998" s="2">
        <v>36</v>
      </c>
      <c r="J998" s="2" t="s">
        <v>32</v>
      </c>
      <c r="K998" s="2" t="s">
        <v>17</v>
      </c>
      <c r="L998" s="3">
        <v>46241</v>
      </c>
      <c r="M998" s="2" t="str">
        <f>_xlfn.XLOOKUP(Deals[[#This Row],[CustomerID]],Customers!A:A,Customers!F:F)</f>
        <v>Mass</v>
      </c>
      <c r="N998" s="2" t="str">
        <f>_xlfn.XLOOKUP(Deals[[#This Row],[CustomerID]],Customers!A:A,Customers!E:E)</f>
        <v>Kuwaiti</v>
      </c>
      <c r="O998" s="2">
        <f>2026-_xlfn.XLOOKUP(Deals[[#This Row],[CustomerID]],Customers!A:A,Customers!D:D)</f>
        <v>68</v>
      </c>
      <c r="P998" s="2" t="str" cm="1">
        <f t="array" ref="P998">_xlfn.IFS(Deals[[#This Row],[Age]]&lt;30,"Under 30",Deals[[#This Row],[Age]]&lt;45,"30-44",TRUE,"45+")</f>
        <v>45+</v>
      </c>
      <c r="Q998" s="21">
        <f>IF(Deals[[#This Row],[Status]]="Pending","",Deals[[#This Row],[DecisionDate]]-Deals[[#This Row],[ApplicationDate]])</f>
        <v>2</v>
      </c>
      <c r="R998" s="21">
        <f>IF(Deals[[#This Row],[Status]]="Approved",1,0)</f>
        <v>1</v>
      </c>
      <c r="S998" s="21">
        <f>IF(Deals[[#This Row],[IsApproved]]=1,Deals[[#This Row],[Amount]],0)</f>
        <v>24800</v>
      </c>
      <c r="T998" s="21">
        <f>Deals[[#This Row],[ApprovedAmount]]*Deals[[#This Row],[ProfitRate]]</f>
        <v>1683.92</v>
      </c>
    </row>
    <row r="999" spans="1:20">
      <c r="A999" s="2" t="s">
        <v>1710</v>
      </c>
      <c r="B999" s="3">
        <v>46239</v>
      </c>
      <c r="C999" s="2" t="s">
        <v>940</v>
      </c>
      <c r="D999" s="2" t="s">
        <v>71</v>
      </c>
      <c r="E999" s="2" t="s">
        <v>43</v>
      </c>
      <c r="F999" s="2" t="s">
        <v>55</v>
      </c>
      <c r="G999" s="4">
        <v>58700</v>
      </c>
      <c r="H999" s="5">
        <v>6.3E-2</v>
      </c>
      <c r="I999" s="2">
        <v>24</v>
      </c>
      <c r="J999" s="2" t="s">
        <v>94</v>
      </c>
      <c r="K999" s="2" t="s">
        <v>45</v>
      </c>
      <c r="L999" s="3">
        <v>46252</v>
      </c>
      <c r="M999" s="2" t="str">
        <f>_xlfn.XLOOKUP(Deals[[#This Row],[CustomerID]],Customers!A:A,Customers!F:F)</f>
        <v>Mass</v>
      </c>
      <c r="N999" s="2" t="str">
        <f>_xlfn.XLOOKUP(Deals[[#This Row],[CustomerID]],Customers!A:A,Customers!E:E)</f>
        <v>Non-Kuwaiti</v>
      </c>
      <c r="O999" s="2">
        <f>2026-_xlfn.XLOOKUP(Deals[[#This Row],[CustomerID]],Customers!A:A,Customers!D:D)</f>
        <v>25</v>
      </c>
      <c r="P999" s="2" t="str" cm="1">
        <f t="array" ref="P999">_xlfn.IFS(Deals[[#This Row],[Age]]&lt;30,"Under 30",Deals[[#This Row],[Age]]&lt;45,"30-44",TRUE,"45+")</f>
        <v>Under 30</v>
      </c>
      <c r="Q999" s="21">
        <f>IF(Deals[[#This Row],[Status]]="Pending","",Deals[[#This Row],[DecisionDate]]-Deals[[#This Row],[ApplicationDate]])</f>
        <v>13</v>
      </c>
      <c r="R999" s="21">
        <f>IF(Deals[[#This Row],[Status]]="Approved",1,0)</f>
        <v>0</v>
      </c>
      <c r="S999" s="21">
        <f>IF(Deals[[#This Row],[IsApproved]]=1,Deals[[#This Row],[Amount]],0)</f>
        <v>0</v>
      </c>
      <c r="T999" s="21">
        <f>Deals[[#This Row],[ApprovedAmount]]*Deals[[#This Row],[ProfitRate]]</f>
        <v>0</v>
      </c>
    </row>
    <row r="1000" spans="1:20">
      <c r="A1000" s="2" t="s">
        <v>1711</v>
      </c>
      <c r="B1000" s="3">
        <v>46239</v>
      </c>
      <c r="C1000" s="2" t="s">
        <v>1369</v>
      </c>
      <c r="D1000" s="2" t="s">
        <v>71</v>
      </c>
      <c r="E1000" s="2" t="s">
        <v>30</v>
      </c>
      <c r="F1000" s="2" t="s">
        <v>55</v>
      </c>
      <c r="G1000" s="4">
        <v>14000</v>
      </c>
      <c r="H1000" s="5">
        <v>4.7699999999999999E-2</v>
      </c>
      <c r="I1000" s="2">
        <v>36</v>
      </c>
      <c r="J1000" s="2" t="s">
        <v>101</v>
      </c>
      <c r="K1000" s="2" t="s">
        <v>17</v>
      </c>
      <c r="L1000" s="3">
        <v>46247</v>
      </c>
      <c r="M1000" s="2" t="str">
        <f>_xlfn.XLOOKUP(Deals[[#This Row],[CustomerID]],Customers!A:A,Customers!F:F)</f>
        <v>Mass</v>
      </c>
      <c r="N1000" s="2" t="str">
        <f>_xlfn.XLOOKUP(Deals[[#This Row],[CustomerID]],Customers!A:A,Customers!E:E)</f>
        <v>Non-Kuwaiti</v>
      </c>
      <c r="O1000" s="2">
        <f>2026-_xlfn.XLOOKUP(Deals[[#This Row],[CustomerID]],Customers!A:A,Customers!D:D)</f>
        <v>40</v>
      </c>
      <c r="P1000" s="2" t="str" cm="1">
        <f t="array" ref="P1000">_xlfn.IFS(Deals[[#This Row],[Age]]&lt;30,"Under 30",Deals[[#This Row],[Age]]&lt;45,"30-44",TRUE,"45+")</f>
        <v>30-44</v>
      </c>
      <c r="Q1000" s="21">
        <f>IF(Deals[[#This Row],[Status]]="Pending","",Deals[[#This Row],[DecisionDate]]-Deals[[#This Row],[ApplicationDate]])</f>
        <v>8</v>
      </c>
      <c r="R1000" s="21">
        <f>IF(Deals[[#This Row],[Status]]="Approved",1,0)</f>
        <v>1</v>
      </c>
      <c r="S1000" s="21">
        <f>IF(Deals[[#This Row],[IsApproved]]=1,Deals[[#This Row],[Amount]],0)</f>
        <v>14000</v>
      </c>
      <c r="T1000" s="21">
        <f>Deals[[#This Row],[ApprovedAmount]]*Deals[[#This Row],[ProfitRate]]</f>
        <v>667.8</v>
      </c>
    </row>
    <row r="1001" spans="1:20">
      <c r="A1001" s="2" t="s">
        <v>1712</v>
      </c>
      <c r="B1001" s="3">
        <v>46240</v>
      </c>
      <c r="C1001" s="2" t="s">
        <v>1713</v>
      </c>
      <c r="D1001" s="2" t="s">
        <v>14</v>
      </c>
      <c r="E1001" s="2" t="s">
        <v>15</v>
      </c>
      <c r="F1001" s="2" t="s">
        <v>31</v>
      </c>
      <c r="G1001" s="4">
        <v>23000</v>
      </c>
      <c r="H1001" s="5">
        <v>6.6100000000000006E-2</v>
      </c>
      <c r="I1001" s="2">
        <v>48</v>
      </c>
      <c r="J1001" s="2" t="s">
        <v>40</v>
      </c>
      <c r="K1001" s="2" t="s">
        <v>17</v>
      </c>
      <c r="L1001" s="3">
        <v>46246</v>
      </c>
      <c r="M1001" s="2" t="str">
        <f>_xlfn.XLOOKUP(Deals[[#This Row],[CustomerID]],Customers!A:A,Customers!F:F)</f>
        <v>Mass</v>
      </c>
      <c r="N1001" s="2" t="str">
        <f>_xlfn.XLOOKUP(Deals[[#This Row],[CustomerID]],Customers!A:A,Customers!E:E)</f>
        <v>Kuwaiti</v>
      </c>
      <c r="O1001" s="2">
        <f>2026-_xlfn.XLOOKUP(Deals[[#This Row],[CustomerID]],Customers!A:A,Customers!D:D)</f>
        <v>64</v>
      </c>
      <c r="P1001" s="2" t="str" cm="1">
        <f t="array" ref="P1001">_xlfn.IFS(Deals[[#This Row],[Age]]&lt;30,"Under 30",Deals[[#This Row],[Age]]&lt;45,"30-44",TRUE,"45+")</f>
        <v>45+</v>
      </c>
      <c r="Q1001" s="21">
        <f>IF(Deals[[#This Row],[Status]]="Pending","",Deals[[#This Row],[DecisionDate]]-Deals[[#This Row],[ApplicationDate]])</f>
        <v>6</v>
      </c>
      <c r="R1001" s="21">
        <f>IF(Deals[[#This Row],[Status]]="Approved",1,0)</f>
        <v>1</v>
      </c>
      <c r="S1001" s="21">
        <f>IF(Deals[[#This Row],[IsApproved]]=1,Deals[[#This Row],[Amount]],0)</f>
        <v>23000</v>
      </c>
      <c r="T1001" s="21">
        <f>Deals[[#This Row],[ApprovedAmount]]*Deals[[#This Row],[ProfitRate]]</f>
        <v>1520.3000000000002</v>
      </c>
    </row>
    <row r="1002" spans="1:20">
      <c r="A1002" s="2" t="s">
        <v>1714</v>
      </c>
      <c r="B1002" s="3">
        <v>46240</v>
      </c>
      <c r="C1002" s="2" t="s">
        <v>1715</v>
      </c>
      <c r="D1002" s="2" t="s">
        <v>54</v>
      </c>
      <c r="E1002" s="2" t="s">
        <v>43</v>
      </c>
      <c r="F1002" s="2" t="s">
        <v>31</v>
      </c>
      <c r="G1002" s="4">
        <v>75900</v>
      </c>
      <c r="H1002" s="5">
        <v>5.5800000000000002E-2</v>
      </c>
      <c r="I1002" s="2">
        <v>60</v>
      </c>
      <c r="J1002" s="2" t="s">
        <v>148</v>
      </c>
      <c r="K1002" s="2" t="s">
        <v>17</v>
      </c>
      <c r="L1002" s="3">
        <v>46260</v>
      </c>
      <c r="M1002" s="2" t="str">
        <f>_xlfn.XLOOKUP(Deals[[#This Row],[CustomerID]],Customers!A:A,Customers!F:F)</f>
        <v>Mass</v>
      </c>
      <c r="N1002" s="2" t="str">
        <f>_xlfn.XLOOKUP(Deals[[#This Row],[CustomerID]],Customers!A:A,Customers!E:E)</f>
        <v>Non-Kuwaiti</v>
      </c>
      <c r="O1002" s="2">
        <f>2026-_xlfn.XLOOKUP(Deals[[#This Row],[CustomerID]],Customers!A:A,Customers!D:D)</f>
        <v>68</v>
      </c>
      <c r="P1002" s="2" t="str" cm="1">
        <f t="array" ref="P1002">_xlfn.IFS(Deals[[#This Row],[Age]]&lt;30,"Under 30",Deals[[#This Row],[Age]]&lt;45,"30-44",TRUE,"45+")</f>
        <v>45+</v>
      </c>
      <c r="Q1002" s="21">
        <f>IF(Deals[[#This Row],[Status]]="Pending","",Deals[[#This Row],[DecisionDate]]-Deals[[#This Row],[ApplicationDate]])</f>
        <v>20</v>
      </c>
      <c r="R1002" s="21">
        <f>IF(Deals[[#This Row],[Status]]="Approved",1,0)</f>
        <v>1</v>
      </c>
      <c r="S1002" s="21">
        <f>IF(Deals[[#This Row],[IsApproved]]=1,Deals[[#This Row],[Amount]],0)</f>
        <v>75900</v>
      </c>
      <c r="T1002" s="21">
        <f>Deals[[#This Row],[ApprovedAmount]]*Deals[[#This Row],[ProfitRate]]</f>
        <v>4235.22</v>
      </c>
    </row>
    <row r="1003" spans="1:20">
      <c r="A1003" s="2" t="s">
        <v>1716</v>
      </c>
      <c r="B1003" s="3">
        <v>46240</v>
      </c>
      <c r="C1003" s="2" t="s">
        <v>769</v>
      </c>
      <c r="D1003" s="2" t="s">
        <v>54</v>
      </c>
      <c r="E1003" s="2" t="s">
        <v>43</v>
      </c>
      <c r="F1003" s="2" t="s">
        <v>31</v>
      </c>
      <c r="G1003" s="4">
        <v>93200</v>
      </c>
      <c r="H1003" s="5">
        <v>6.0600000000000001E-2</v>
      </c>
      <c r="I1003" s="2">
        <v>36</v>
      </c>
      <c r="J1003" s="2" t="s">
        <v>148</v>
      </c>
      <c r="K1003" s="2" t="s">
        <v>17</v>
      </c>
      <c r="L1003" s="3">
        <v>46256</v>
      </c>
      <c r="M1003" s="2" t="str">
        <f>_xlfn.XLOOKUP(Deals[[#This Row],[CustomerID]],Customers!A:A,Customers!F:F)</f>
        <v>Mass</v>
      </c>
      <c r="N1003" s="2" t="str">
        <f>_xlfn.XLOOKUP(Deals[[#This Row],[CustomerID]],Customers!A:A,Customers!E:E)</f>
        <v>Kuwaiti</v>
      </c>
      <c r="O1003" s="2">
        <f>2026-_xlfn.XLOOKUP(Deals[[#This Row],[CustomerID]],Customers!A:A,Customers!D:D)</f>
        <v>47</v>
      </c>
      <c r="P1003" s="2" t="str" cm="1">
        <f t="array" ref="P1003">_xlfn.IFS(Deals[[#This Row],[Age]]&lt;30,"Under 30",Deals[[#This Row],[Age]]&lt;45,"30-44",TRUE,"45+")</f>
        <v>45+</v>
      </c>
      <c r="Q1003" s="21">
        <f>IF(Deals[[#This Row],[Status]]="Pending","",Deals[[#This Row],[DecisionDate]]-Deals[[#This Row],[ApplicationDate]])</f>
        <v>16</v>
      </c>
      <c r="R1003" s="21">
        <f>IF(Deals[[#This Row],[Status]]="Approved",1,0)</f>
        <v>1</v>
      </c>
      <c r="S1003" s="21">
        <f>IF(Deals[[#This Row],[IsApproved]]=1,Deals[[#This Row],[Amount]],0)</f>
        <v>93200</v>
      </c>
      <c r="T1003" s="21">
        <f>Deals[[#This Row],[ApprovedAmount]]*Deals[[#This Row],[ProfitRate]]</f>
        <v>5647.92</v>
      </c>
    </row>
    <row r="1004" spans="1:20">
      <c r="A1004" s="2" t="s">
        <v>1717</v>
      </c>
      <c r="B1004" s="3">
        <v>46240</v>
      </c>
      <c r="C1004" s="2" t="s">
        <v>453</v>
      </c>
      <c r="D1004" s="2" t="s">
        <v>20</v>
      </c>
      <c r="E1004" s="2" t="s">
        <v>30</v>
      </c>
      <c r="F1004" s="2" t="s">
        <v>31</v>
      </c>
      <c r="G1004" s="4">
        <v>9200</v>
      </c>
      <c r="H1004" s="5">
        <v>4.0099999999999997E-2</v>
      </c>
      <c r="I1004" s="2">
        <v>60</v>
      </c>
      <c r="J1004" s="2" t="s">
        <v>44</v>
      </c>
      <c r="K1004" s="2" t="s">
        <v>17</v>
      </c>
      <c r="L1004" s="3">
        <v>46240</v>
      </c>
      <c r="M1004" s="2" t="str">
        <f>_xlfn.XLOOKUP(Deals[[#This Row],[CustomerID]],Customers!A:A,Customers!F:F)</f>
        <v>Mass</v>
      </c>
      <c r="N1004" s="2" t="str">
        <f>_xlfn.XLOOKUP(Deals[[#This Row],[CustomerID]],Customers!A:A,Customers!E:E)</f>
        <v>Kuwaiti</v>
      </c>
      <c r="O1004" s="2">
        <f>2026-_xlfn.XLOOKUP(Deals[[#This Row],[CustomerID]],Customers!A:A,Customers!D:D)</f>
        <v>56</v>
      </c>
      <c r="P1004" s="2" t="str" cm="1">
        <f t="array" ref="P1004">_xlfn.IFS(Deals[[#This Row],[Age]]&lt;30,"Under 30",Deals[[#This Row],[Age]]&lt;45,"30-44",TRUE,"45+")</f>
        <v>45+</v>
      </c>
      <c r="Q1004" s="21">
        <f>IF(Deals[[#This Row],[Status]]="Pending","",Deals[[#This Row],[DecisionDate]]-Deals[[#This Row],[ApplicationDate]])</f>
        <v>0</v>
      </c>
      <c r="R1004" s="21">
        <f>IF(Deals[[#This Row],[Status]]="Approved",1,0)</f>
        <v>1</v>
      </c>
      <c r="S1004" s="21">
        <f>IF(Deals[[#This Row],[IsApproved]]=1,Deals[[#This Row],[Amount]],0)</f>
        <v>9200</v>
      </c>
      <c r="T1004" s="21">
        <f>Deals[[#This Row],[ApprovedAmount]]*Deals[[#This Row],[ProfitRate]]</f>
        <v>368.91999999999996</v>
      </c>
    </row>
    <row r="1005" spans="1:20">
      <c r="A1005" s="2" t="s">
        <v>1718</v>
      </c>
      <c r="B1005" s="3">
        <v>46240</v>
      </c>
      <c r="C1005" s="2" t="s">
        <v>109</v>
      </c>
      <c r="D1005" s="2" t="s">
        <v>20</v>
      </c>
      <c r="E1005" s="2" t="s">
        <v>15</v>
      </c>
      <c r="F1005" s="2" t="s">
        <v>3</v>
      </c>
      <c r="G1005" s="4">
        <v>19800</v>
      </c>
      <c r="H1005" s="5">
        <v>6.8599999999999994E-2</v>
      </c>
      <c r="I1005" s="2">
        <v>12</v>
      </c>
      <c r="J1005" s="2" t="s">
        <v>44</v>
      </c>
      <c r="K1005" s="2" t="s">
        <v>17</v>
      </c>
      <c r="L1005" s="3">
        <v>46243</v>
      </c>
      <c r="M1005" s="2" t="str">
        <f>_xlfn.XLOOKUP(Deals[[#This Row],[CustomerID]],Customers!A:A,Customers!F:F)</f>
        <v>Premium</v>
      </c>
      <c r="N1005" s="2" t="str">
        <f>_xlfn.XLOOKUP(Deals[[#This Row],[CustomerID]],Customers!A:A,Customers!E:E)</f>
        <v>Kuwaiti</v>
      </c>
      <c r="O1005" s="2">
        <f>2026-_xlfn.XLOOKUP(Deals[[#This Row],[CustomerID]],Customers!A:A,Customers!D:D)</f>
        <v>40</v>
      </c>
      <c r="P1005" s="2" t="str" cm="1">
        <f t="array" ref="P1005">_xlfn.IFS(Deals[[#This Row],[Age]]&lt;30,"Under 30",Deals[[#This Row],[Age]]&lt;45,"30-44",TRUE,"45+")</f>
        <v>30-44</v>
      </c>
      <c r="Q1005" s="21">
        <f>IF(Deals[[#This Row],[Status]]="Pending","",Deals[[#This Row],[DecisionDate]]-Deals[[#This Row],[ApplicationDate]])</f>
        <v>3</v>
      </c>
      <c r="R1005" s="21">
        <f>IF(Deals[[#This Row],[Status]]="Approved",1,0)</f>
        <v>1</v>
      </c>
      <c r="S1005" s="21">
        <f>IF(Deals[[#This Row],[IsApproved]]=1,Deals[[#This Row],[Amount]],0)</f>
        <v>19800</v>
      </c>
      <c r="T1005" s="21">
        <f>Deals[[#This Row],[ApprovedAmount]]*Deals[[#This Row],[ProfitRate]]</f>
        <v>1358.28</v>
      </c>
    </row>
    <row r="1006" spans="1:20">
      <c r="A1006" s="2" t="s">
        <v>1719</v>
      </c>
      <c r="B1006" s="3">
        <v>46240</v>
      </c>
      <c r="C1006" s="2" t="s">
        <v>98</v>
      </c>
      <c r="D1006" s="2" t="s">
        <v>71</v>
      </c>
      <c r="E1006" s="2" t="s">
        <v>30</v>
      </c>
      <c r="F1006" s="2" t="s">
        <v>31</v>
      </c>
      <c r="G1006" s="4">
        <v>10200</v>
      </c>
      <c r="H1006" s="5">
        <v>4.8300000000000003E-2</v>
      </c>
      <c r="I1006" s="2">
        <v>48</v>
      </c>
      <c r="J1006" s="2" t="s">
        <v>94</v>
      </c>
      <c r="K1006" s="2" t="s">
        <v>17</v>
      </c>
      <c r="L1006" s="3">
        <v>46248</v>
      </c>
      <c r="M1006" s="2" t="str">
        <f>_xlfn.XLOOKUP(Deals[[#This Row],[CustomerID]],Customers!A:A,Customers!F:F)</f>
        <v>Mass</v>
      </c>
      <c r="N1006" s="2" t="str">
        <f>_xlfn.XLOOKUP(Deals[[#This Row],[CustomerID]],Customers!A:A,Customers!E:E)</f>
        <v>Kuwaiti</v>
      </c>
      <c r="O1006" s="2">
        <f>2026-_xlfn.XLOOKUP(Deals[[#This Row],[CustomerID]],Customers!A:A,Customers!D:D)</f>
        <v>48</v>
      </c>
      <c r="P1006" s="2" t="str" cm="1">
        <f t="array" ref="P1006">_xlfn.IFS(Deals[[#This Row],[Age]]&lt;30,"Under 30",Deals[[#This Row],[Age]]&lt;45,"30-44",TRUE,"45+")</f>
        <v>45+</v>
      </c>
      <c r="Q1006" s="21">
        <f>IF(Deals[[#This Row],[Status]]="Pending","",Deals[[#This Row],[DecisionDate]]-Deals[[#This Row],[ApplicationDate]])</f>
        <v>8</v>
      </c>
      <c r="R1006" s="21">
        <f>IF(Deals[[#This Row],[Status]]="Approved",1,0)</f>
        <v>1</v>
      </c>
      <c r="S1006" s="21">
        <f>IF(Deals[[#This Row],[IsApproved]]=1,Deals[[#This Row],[Amount]],0)</f>
        <v>10200</v>
      </c>
      <c r="T1006" s="21">
        <f>Deals[[#This Row],[ApprovedAmount]]*Deals[[#This Row],[ProfitRate]]</f>
        <v>492.66</v>
      </c>
    </row>
    <row r="1007" spans="1:20">
      <c r="A1007" s="2" t="s">
        <v>1720</v>
      </c>
      <c r="B1007" s="3">
        <v>46240</v>
      </c>
      <c r="C1007" s="2" t="s">
        <v>627</v>
      </c>
      <c r="D1007" s="2" t="s">
        <v>20</v>
      </c>
      <c r="E1007" s="2" t="s">
        <v>15</v>
      </c>
      <c r="F1007" s="2" t="s">
        <v>3</v>
      </c>
      <c r="G1007" s="4">
        <v>23900</v>
      </c>
      <c r="H1007" s="5">
        <v>5.9400000000000001E-2</v>
      </c>
      <c r="I1007" s="2">
        <v>48</v>
      </c>
      <c r="J1007" s="2" t="s">
        <v>37</v>
      </c>
      <c r="K1007" s="2" t="s">
        <v>17</v>
      </c>
      <c r="L1007" s="3">
        <v>46244</v>
      </c>
      <c r="M1007" s="2" t="str">
        <f>_xlfn.XLOOKUP(Deals[[#This Row],[CustomerID]],Customers!A:A,Customers!F:F)</f>
        <v>Mass</v>
      </c>
      <c r="N1007" s="2" t="str">
        <f>_xlfn.XLOOKUP(Deals[[#This Row],[CustomerID]],Customers!A:A,Customers!E:E)</f>
        <v>Kuwaiti</v>
      </c>
      <c r="O1007" s="2">
        <f>2026-_xlfn.XLOOKUP(Deals[[#This Row],[CustomerID]],Customers!A:A,Customers!D:D)</f>
        <v>42</v>
      </c>
      <c r="P1007" s="2" t="str" cm="1">
        <f t="array" ref="P1007">_xlfn.IFS(Deals[[#This Row],[Age]]&lt;30,"Under 30",Deals[[#This Row],[Age]]&lt;45,"30-44",TRUE,"45+")</f>
        <v>30-44</v>
      </c>
      <c r="Q1007" s="21">
        <f>IF(Deals[[#This Row],[Status]]="Pending","",Deals[[#This Row],[DecisionDate]]-Deals[[#This Row],[ApplicationDate]])</f>
        <v>4</v>
      </c>
      <c r="R1007" s="21">
        <f>IF(Deals[[#This Row],[Status]]="Approved",1,0)</f>
        <v>1</v>
      </c>
      <c r="S1007" s="21">
        <f>IF(Deals[[#This Row],[IsApproved]]=1,Deals[[#This Row],[Amount]],0)</f>
        <v>23900</v>
      </c>
      <c r="T1007" s="21">
        <f>Deals[[#This Row],[ApprovedAmount]]*Deals[[#This Row],[ProfitRate]]</f>
        <v>1419.66</v>
      </c>
    </row>
    <row r="1008" spans="1:20">
      <c r="A1008" s="2" t="s">
        <v>1721</v>
      </c>
      <c r="B1008" s="3">
        <v>46240</v>
      </c>
      <c r="C1008" s="2" t="s">
        <v>1722</v>
      </c>
      <c r="D1008" s="2" t="s">
        <v>54</v>
      </c>
      <c r="E1008" s="2" t="s">
        <v>30</v>
      </c>
      <c r="F1008" s="2" t="s">
        <v>3</v>
      </c>
      <c r="G1008" s="4">
        <v>7300</v>
      </c>
      <c r="H1008" s="5">
        <v>3.8300000000000001E-2</v>
      </c>
      <c r="I1008" s="2">
        <v>36</v>
      </c>
      <c r="J1008" s="2" t="s">
        <v>148</v>
      </c>
      <c r="K1008" s="2" t="s">
        <v>17</v>
      </c>
      <c r="L1008" s="3">
        <v>46245</v>
      </c>
      <c r="M1008" s="2" t="str">
        <f>_xlfn.XLOOKUP(Deals[[#This Row],[CustomerID]],Customers!A:A,Customers!F:F)</f>
        <v>Mass</v>
      </c>
      <c r="N1008" s="2" t="str">
        <f>_xlfn.XLOOKUP(Deals[[#This Row],[CustomerID]],Customers!A:A,Customers!E:E)</f>
        <v>Non-Kuwaiti</v>
      </c>
      <c r="O1008" s="2">
        <f>2026-_xlfn.XLOOKUP(Deals[[#This Row],[CustomerID]],Customers!A:A,Customers!D:D)</f>
        <v>53</v>
      </c>
      <c r="P1008" s="2" t="str" cm="1">
        <f t="array" ref="P1008">_xlfn.IFS(Deals[[#This Row],[Age]]&lt;30,"Under 30",Deals[[#This Row],[Age]]&lt;45,"30-44",TRUE,"45+")</f>
        <v>45+</v>
      </c>
      <c r="Q1008" s="21">
        <f>IF(Deals[[#This Row],[Status]]="Pending","",Deals[[#This Row],[DecisionDate]]-Deals[[#This Row],[ApplicationDate]])</f>
        <v>5</v>
      </c>
      <c r="R1008" s="21">
        <f>IF(Deals[[#This Row],[Status]]="Approved",1,0)</f>
        <v>1</v>
      </c>
      <c r="S1008" s="21">
        <f>IF(Deals[[#This Row],[IsApproved]]=1,Deals[[#This Row],[Amount]],0)</f>
        <v>7300</v>
      </c>
      <c r="T1008" s="21">
        <f>Deals[[#This Row],[ApprovedAmount]]*Deals[[#This Row],[ProfitRate]]</f>
        <v>279.59000000000003</v>
      </c>
    </row>
    <row r="1009" spans="1:20">
      <c r="A1009" s="2" t="s">
        <v>1723</v>
      </c>
      <c r="B1009" s="3">
        <v>46240</v>
      </c>
      <c r="C1009" s="2" t="s">
        <v>477</v>
      </c>
      <c r="D1009" s="2" t="s">
        <v>54</v>
      </c>
      <c r="E1009" s="2" t="s">
        <v>30</v>
      </c>
      <c r="F1009" s="2" t="s">
        <v>55</v>
      </c>
      <c r="G1009" s="4">
        <v>8900</v>
      </c>
      <c r="H1009" s="5">
        <v>4.53E-2</v>
      </c>
      <c r="I1009" s="2">
        <v>48</v>
      </c>
      <c r="J1009" s="2" t="s">
        <v>186</v>
      </c>
      <c r="K1009" s="2" t="s">
        <v>45</v>
      </c>
      <c r="L1009" s="3">
        <v>46244</v>
      </c>
      <c r="M1009" s="2" t="str">
        <f>_xlfn.XLOOKUP(Deals[[#This Row],[CustomerID]],Customers!A:A,Customers!F:F)</f>
        <v>Mass</v>
      </c>
      <c r="N1009" s="2" t="str">
        <f>_xlfn.XLOOKUP(Deals[[#This Row],[CustomerID]],Customers!A:A,Customers!E:E)</f>
        <v>Kuwaiti</v>
      </c>
      <c r="O1009" s="2">
        <f>2026-_xlfn.XLOOKUP(Deals[[#This Row],[CustomerID]],Customers!A:A,Customers!D:D)</f>
        <v>40</v>
      </c>
      <c r="P1009" s="2" t="str" cm="1">
        <f t="array" ref="P1009">_xlfn.IFS(Deals[[#This Row],[Age]]&lt;30,"Under 30",Deals[[#This Row],[Age]]&lt;45,"30-44",TRUE,"45+")</f>
        <v>30-44</v>
      </c>
      <c r="Q1009" s="21">
        <f>IF(Deals[[#This Row],[Status]]="Pending","",Deals[[#This Row],[DecisionDate]]-Deals[[#This Row],[ApplicationDate]])</f>
        <v>4</v>
      </c>
      <c r="R1009" s="21">
        <f>IF(Deals[[#This Row],[Status]]="Approved",1,0)</f>
        <v>0</v>
      </c>
      <c r="S1009" s="21">
        <f>IF(Deals[[#This Row],[IsApproved]]=1,Deals[[#This Row],[Amount]],0)</f>
        <v>0</v>
      </c>
      <c r="T1009" s="21">
        <f>Deals[[#This Row],[ApprovedAmount]]*Deals[[#This Row],[ProfitRate]]</f>
        <v>0</v>
      </c>
    </row>
    <row r="1010" spans="1:20">
      <c r="A1010" s="2" t="s">
        <v>1724</v>
      </c>
      <c r="B1010" s="3">
        <v>46240</v>
      </c>
      <c r="C1010" s="2" t="s">
        <v>1482</v>
      </c>
      <c r="D1010" s="2" t="s">
        <v>54</v>
      </c>
      <c r="E1010" s="2" t="s">
        <v>21</v>
      </c>
      <c r="F1010" s="2" t="s">
        <v>3</v>
      </c>
      <c r="G1010" s="4">
        <v>134300</v>
      </c>
      <c r="H1010" s="5">
        <v>3.8699999999999998E-2</v>
      </c>
      <c r="I1010" s="2">
        <v>300</v>
      </c>
      <c r="J1010" s="2" t="s">
        <v>148</v>
      </c>
      <c r="K1010" s="2" t="s">
        <v>17</v>
      </c>
      <c r="L1010" s="3">
        <v>46258</v>
      </c>
      <c r="M1010" s="2" t="str">
        <f>_xlfn.XLOOKUP(Deals[[#This Row],[CustomerID]],Customers!A:A,Customers!F:F)</f>
        <v>Mass</v>
      </c>
      <c r="N1010" s="2" t="str">
        <f>_xlfn.XLOOKUP(Deals[[#This Row],[CustomerID]],Customers!A:A,Customers!E:E)</f>
        <v>Kuwaiti</v>
      </c>
      <c r="O1010" s="2">
        <f>2026-_xlfn.XLOOKUP(Deals[[#This Row],[CustomerID]],Customers!A:A,Customers!D:D)</f>
        <v>35</v>
      </c>
      <c r="P1010" s="2" t="str" cm="1">
        <f t="array" ref="P1010">_xlfn.IFS(Deals[[#This Row],[Age]]&lt;30,"Under 30",Deals[[#This Row],[Age]]&lt;45,"30-44",TRUE,"45+")</f>
        <v>30-44</v>
      </c>
      <c r="Q1010" s="21">
        <f>IF(Deals[[#This Row],[Status]]="Pending","",Deals[[#This Row],[DecisionDate]]-Deals[[#This Row],[ApplicationDate]])</f>
        <v>18</v>
      </c>
      <c r="R1010" s="21">
        <f>IF(Deals[[#This Row],[Status]]="Approved",1,0)</f>
        <v>1</v>
      </c>
      <c r="S1010" s="21">
        <f>IF(Deals[[#This Row],[IsApproved]]=1,Deals[[#This Row],[Amount]],0)</f>
        <v>134300</v>
      </c>
      <c r="T1010" s="21">
        <f>Deals[[#This Row],[ApprovedAmount]]*Deals[[#This Row],[ProfitRate]]</f>
        <v>5197.41</v>
      </c>
    </row>
    <row r="1011" spans="1:20">
      <c r="A1011" s="2" t="s">
        <v>1725</v>
      </c>
      <c r="B1011" s="3">
        <v>46241</v>
      </c>
      <c r="C1011" s="2" t="s">
        <v>1726</v>
      </c>
      <c r="D1011" s="2" t="s">
        <v>71</v>
      </c>
      <c r="E1011" s="2" t="s">
        <v>30</v>
      </c>
      <c r="F1011" s="2" t="s">
        <v>3</v>
      </c>
      <c r="G1011" s="4">
        <v>11800</v>
      </c>
      <c r="H1011" s="5">
        <v>4.8300000000000003E-2</v>
      </c>
      <c r="I1011" s="2">
        <v>36</v>
      </c>
      <c r="J1011" s="2" t="s">
        <v>101</v>
      </c>
      <c r="K1011" s="2" t="s">
        <v>17</v>
      </c>
      <c r="L1011" s="3">
        <v>46250</v>
      </c>
      <c r="M1011" s="2" t="str">
        <f>_xlfn.XLOOKUP(Deals[[#This Row],[CustomerID]],Customers!A:A,Customers!F:F)</f>
        <v>Affluent</v>
      </c>
      <c r="N1011" s="2" t="str">
        <f>_xlfn.XLOOKUP(Deals[[#This Row],[CustomerID]],Customers!A:A,Customers!E:E)</f>
        <v>Non-Kuwaiti</v>
      </c>
      <c r="O1011" s="2">
        <f>2026-_xlfn.XLOOKUP(Deals[[#This Row],[CustomerID]],Customers!A:A,Customers!D:D)</f>
        <v>22</v>
      </c>
      <c r="P1011" s="2" t="str" cm="1">
        <f t="array" ref="P1011">_xlfn.IFS(Deals[[#This Row],[Age]]&lt;30,"Under 30",Deals[[#This Row],[Age]]&lt;45,"30-44",TRUE,"45+")</f>
        <v>Under 30</v>
      </c>
      <c r="Q1011" s="21">
        <f>IF(Deals[[#This Row],[Status]]="Pending","",Deals[[#This Row],[DecisionDate]]-Deals[[#This Row],[ApplicationDate]])</f>
        <v>9</v>
      </c>
      <c r="R1011" s="21">
        <f>IF(Deals[[#This Row],[Status]]="Approved",1,0)</f>
        <v>1</v>
      </c>
      <c r="S1011" s="21">
        <f>IF(Deals[[#This Row],[IsApproved]]=1,Deals[[#This Row],[Amount]],0)</f>
        <v>11800</v>
      </c>
      <c r="T1011" s="21">
        <f>Deals[[#This Row],[ApprovedAmount]]*Deals[[#This Row],[ProfitRate]]</f>
        <v>569.94000000000005</v>
      </c>
    </row>
    <row r="1012" spans="1:20">
      <c r="A1012" s="2" t="s">
        <v>1727</v>
      </c>
      <c r="B1012" s="3">
        <v>46241</v>
      </c>
      <c r="C1012" s="2" t="s">
        <v>979</v>
      </c>
      <c r="D1012" s="2" t="s">
        <v>25</v>
      </c>
      <c r="E1012" s="2" t="s">
        <v>21</v>
      </c>
      <c r="F1012" s="2" t="s">
        <v>3</v>
      </c>
      <c r="G1012" s="4">
        <v>125600</v>
      </c>
      <c r="H1012" s="5">
        <v>3.3399999999999999E-2</v>
      </c>
      <c r="I1012" s="2">
        <v>120</v>
      </c>
      <c r="J1012" s="2" t="s">
        <v>26</v>
      </c>
      <c r="K1012" s="2" t="s">
        <v>17</v>
      </c>
      <c r="L1012" s="3">
        <v>46252</v>
      </c>
      <c r="M1012" s="2" t="str">
        <f>_xlfn.XLOOKUP(Deals[[#This Row],[CustomerID]],Customers!A:A,Customers!F:F)</f>
        <v>Mass</v>
      </c>
      <c r="N1012" s="2" t="str">
        <f>_xlfn.XLOOKUP(Deals[[#This Row],[CustomerID]],Customers!A:A,Customers!E:E)</f>
        <v>Kuwaiti</v>
      </c>
      <c r="O1012" s="2">
        <f>2026-_xlfn.XLOOKUP(Deals[[#This Row],[CustomerID]],Customers!A:A,Customers!D:D)</f>
        <v>66</v>
      </c>
      <c r="P1012" s="2" t="str" cm="1">
        <f t="array" ref="P1012">_xlfn.IFS(Deals[[#This Row],[Age]]&lt;30,"Under 30",Deals[[#This Row],[Age]]&lt;45,"30-44",TRUE,"45+")</f>
        <v>45+</v>
      </c>
      <c r="Q1012" s="21">
        <f>IF(Deals[[#This Row],[Status]]="Pending","",Deals[[#This Row],[DecisionDate]]-Deals[[#This Row],[ApplicationDate]])</f>
        <v>11</v>
      </c>
      <c r="R1012" s="21">
        <f>IF(Deals[[#This Row],[Status]]="Approved",1,0)</f>
        <v>1</v>
      </c>
      <c r="S1012" s="21">
        <f>IF(Deals[[#This Row],[IsApproved]]=1,Deals[[#This Row],[Amount]],0)</f>
        <v>125600</v>
      </c>
      <c r="T1012" s="21">
        <f>Deals[[#This Row],[ApprovedAmount]]*Deals[[#This Row],[ProfitRate]]</f>
        <v>4195.04</v>
      </c>
    </row>
    <row r="1013" spans="1:20">
      <c r="A1013" s="2" t="s">
        <v>1728</v>
      </c>
      <c r="B1013" s="3">
        <v>46241</v>
      </c>
      <c r="C1013" s="2" t="s">
        <v>1438</v>
      </c>
      <c r="D1013" s="2" t="s">
        <v>20</v>
      </c>
      <c r="E1013" s="2" t="s">
        <v>30</v>
      </c>
      <c r="F1013" s="2" t="s">
        <v>3</v>
      </c>
      <c r="G1013" s="4">
        <v>10800</v>
      </c>
      <c r="H1013" s="5">
        <v>4.6899999999999997E-2</v>
      </c>
      <c r="I1013" s="2">
        <v>36</v>
      </c>
      <c r="J1013" s="2" t="s">
        <v>37</v>
      </c>
      <c r="K1013" s="2" t="s">
        <v>17</v>
      </c>
      <c r="L1013" s="3">
        <v>46245</v>
      </c>
      <c r="M1013" s="2" t="str">
        <f>_xlfn.XLOOKUP(Deals[[#This Row],[CustomerID]],Customers!A:A,Customers!F:F)</f>
        <v>Affluent</v>
      </c>
      <c r="N1013" s="2" t="str">
        <f>_xlfn.XLOOKUP(Deals[[#This Row],[CustomerID]],Customers!A:A,Customers!E:E)</f>
        <v>Kuwaiti</v>
      </c>
      <c r="O1013" s="2">
        <f>2026-_xlfn.XLOOKUP(Deals[[#This Row],[CustomerID]],Customers!A:A,Customers!D:D)</f>
        <v>44</v>
      </c>
      <c r="P1013" s="2" t="str" cm="1">
        <f t="array" ref="P1013">_xlfn.IFS(Deals[[#This Row],[Age]]&lt;30,"Under 30",Deals[[#This Row],[Age]]&lt;45,"30-44",TRUE,"45+")</f>
        <v>30-44</v>
      </c>
      <c r="Q1013" s="21">
        <f>IF(Deals[[#This Row],[Status]]="Pending","",Deals[[#This Row],[DecisionDate]]-Deals[[#This Row],[ApplicationDate]])</f>
        <v>4</v>
      </c>
      <c r="R1013" s="21">
        <f>IF(Deals[[#This Row],[Status]]="Approved",1,0)</f>
        <v>1</v>
      </c>
      <c r="S1013" s="21">
        <f>IF(Deals[[#This Row],[IsApproved]]=1,Deals[[#This Row],[Amount]],0)</f>
        <v>10800</v>
      </c>
      <c r="T1013" s="21">
        <f>Deals[[#This Row],[ApprovedAmount]]*Deals[[#This Row],[ProfitRate]]</f>
        <v>506.52</v>
      </c>
    </row>
    <row r="1014" spans="1:20">
      <c r="A1014" s="2" t="s">
        <v>1729</v>
      </c>
      <c r="B1014" s="3">
        <v>46242</v>
      </c>
      <c r="C1014" s="2" t="s">
        <v>1440</v>
      </c>
      <c r="D1014" s="2" t="s">
        <v>71</v>
      </c>
      <c r="E1014" s="2" t="s">
        <v>30</v>
      </c>
      <c r="F1014" s="2" t="s">
        <v>3</v>
      </c>
      <c r="G1014" s="4">
        <v>5900</v>
      </c>
      <c r="H1014" s="5">
        <v>4.2999999999999997E-2</v>
      </c>
      <c r="I1014" s="2">
        <v>36</v>
      </c>
      <c r="J1014" s="2" t="s">
        <v>72</v>
      </c>
      <c r="K1014" s="2" t="s">
        <v>17</v>
      </c>
      <c r="L1014" s="3">
        <v>46250</v>
      </c>
      <c r="M1014" s="2" t="str">
        <f>_xlfn.XLOOKUP(Deals[[#This Row],[CustomerID]],Customers!A:A,Customers!F:F)</f>
        <v>Mass</v>
      </c>
      <c r="N1014" s="2" t="str">
        <f>_xlfn.XLOOKUP(Deals[[#This Row],[CustomerID]],Customers!A:A,Customers!E:E)</f>
        <v>Kuwaiti</v>
      </c>
      <c r="O1014" s="2">
        <f>2026-_xlfn.XLOOKUP(Deals[[#This Row],[CustomerID]],Customers!A:A,Customers!D:D)</f>
        <v>24</v>
      </c>
      <c r="P1014" s="2" t="str" cm="1">
        <f t="array" ref="P1014">_xlfn.IFS(Deals[[#This Row],[Age]]&lt;30,"Under 30",Deals[[#This Row],[Age]]&lt;45,"30-44",TRUE,"45+")</f>
        <v>Under 30</v>
      </c>
      <c r="Q1014" s="21">
        <f>IF(Deals[[#This Row],[Status]]="Pending","",Deals[[#This Row],[DecisionDate]]-Deals[[#This Row],[ApplicationDate]])</f>
        <v>8</v>
      </c>
      <c r="R1014" s="21">
        <f>IF(Deals[[#This Row],[Status]]="Approved",1,0)</f>
        <v>1</v>
      </c>
      <c r="S1014" s="21">
        <f>IF(Deals[[#This Row],[IsApproved]]=1,Deals[[#This Row],[Amount]],0)</f>
        <v>5900</v>
      </c>
      <c r="T1014" s="21">
        <f>Deals[[#This Row],[ApprovedAmount]]*Deals[[#This Row],[ProfitRate]]</f>
        <v>253.7</v>
      </c>
    </row>
    <row r="1015" spans="1:20">
      <c r="A1015" s="2" t="s">
        <v>1730</v>
      </c>
      <c r="B1015" s="3">
        <v>46242</v>
      </c>
      <c r="C1015" s="2" t="s">
        <v>1731</v>
      </c>
      <c r="D1015" s="2" t="s">
        <v>20</v>
      </c>
      <c r="E1015" s="2" t="s">
        <v>30</v>
      </c>
      <c r="F1015" s="2" t="s">
        <v>55</v>
      </c>
      <c r="G1015" s="4">
        <v>9200</v>
      </c>
      <c r="H1015" s="5">
        <v>3.5799999999999998E-2</v>
      </c>
      <c r="I1015" s="2">
        <v>36</v>
      </c>
      <c r="J1015" s="2" t="s">
        <v>37</v>
      </c>
      <c r="K1015" s="2" t="s">
        <v>17</v>
      </c>
      <c r="L1015" s="3">
        <v>46245</v>
      </c>
      <c r="M1015" s="2" t="str">
        <f>_xlfn.XLOOKUP(Deals[[#This Row],[CustomerID]],Customers!A:A,Customers!F:F)</f>
        <v>Affluent</v>
      </c>
      <c r="N1015" s="2" t="str">
        <f>_xlfn.XLOOKUP(Deals[[#This Row],[CustomerID]],Customers!A:A,Customers!E:E)</f>
        <v>Non-Kuwaiti</v>
      </c>
      <c r="O1015" s="2">
        <f>2026-_xlfn.XLOOKUP(Deals[[#This Row],[CustomerID]],Customers!A:A,Customers!D:D)</f>
        <v>35</v>
      </c>
      <c r="P1015" s="2" t="str" cm="1">
        <f t="array" ref="P1015">_xlfn.IFS(Deals[[#This Row],[Age]]&lt;30,"Under 30",Deals[[#This Row],[Age]]&lt;45,"30-44",TRUE,"45+")</f>
        <v>30-44</v>
      </c>
      <c r="Q1015" s="21">
        <f>IF(Deals[[#This Row],[Status]]="Pending","",Deals[[#This Row],[DecisionDate]]-Deals[[#This Row],[ApplicationDate]])</f>
        <v>3</v>
      </c>
      <c r="R1015" s="21">
        <f>IF(Deals[[#This Row],[Status]]="Approved",1,0)</f>
        <v>1</v>
      </c>
      <c r="S1015" s="21">
        <f>IF(Deals[[#This Row],[IsApproved]]=1,Deals[[#This Row],[Amount]],0)</f>
        <v>9200</v>
      </c>
      <c r="T1015" s="21">
        <f>Deals[[#This Row],[ApprovedAmount]]*Deals[[#This Row],[ProfitRate]]</f>
        <v>329.36</v>
      </c>
    </row>
    <row r="1016" spans="1:20">
      <c r="A1016" s="2" t="s">
        <v>1732</v>
      </c>
      <c r="B1016" s="3">
        <v>46242</v>
      </c>
      <c r="C1016" s="2" t="s">
        <v>1733</v>
      </c>
      <c r="D1016" s="2" t="s">
        <v>29</v>
      </c>
      <c r="E1016" s="2" t="s">
        <v>21</v>
      </c>
      <c r="F1016" s="2" t="s">
        <v>31</v>
      </c>
      <c r="G1016" s="4">
        <v>207200</v>
      </c>
      <c r="H1016" s="5">
        <v>3.5999999999999997E-2</v>
      </c>
      <c r="I1016" s="2">
        <v>240</v>
      </c>
      <c r="J1016" s="2" t="s">
        <v>123</v>
      </c>
      <c r="K1016" s="2" t="s">
        <v>45</v>
      </c>
      <c r="L1016" s="3">
        <v>46257</v>
      </c>
      <c r="M1016" s="2" t="str">
        <f>_xlfn.XLOOKUP(Deals[[#This Row],[CustomerID]],Customers!A:A,Customers!F:F)</f>
        <v>Mass</v>
      </c>
      <c r="N1016" s="2" t="str">
        <f>_xlfn.XLOOKUP(Deals[[#This Row],[CustomerID]],Customers!A:A,Customers!E:E)</f>
        <v>Kuwaiti</v>
      </c>
      <c r="O1016" s="2">
        <f>2026-_xlfn.XLOOKUP(Deals[[#This Row],[CustomerID]],Customers!A:A,Customers!D:D)</f>
        <v>24</v>
      </c>
      <c r="P1016" s="2" t="str" cm="1">
        <f t="array" ref="P1016">_xlfn.IFS(Deals[[#This Row],[Age]]&lt;30,"Under 30",Deals[[#This Row],[Age]]&lt;45,"30-44",TRUE,"45+")</f>
        <v>Under 30</v>
      </c>
      <c r="Q1016" s="21">
        <f>IF(Deals[[#This Row],[Status]]="Pending","",Deals[[#This Row],[DecisionDate]]-Deals[[#This Row],[ApplicationDate]])</f>
        <v>15</v>
      </c>
      <c r="R1016" s="21">
        <f>IF(Deals[[#This Row],[Status]]="Approved",1,0)</f>
        <v>0</v>
      </c>
      <c r="S1016" s="21">
        <f>IF(Deals[[#This Row],[IsApproved]]=1,Deals[[#This Row],[Amount]],0)</f>
        <v>0</v>
      </c>
      <c r="T1016" s="21">
        <f>Deals[[#This Row],[ApprovedAmount]]*Deals[[#This Row],[ProfitRate]]</f>
        <v>0</v>
      </c>
    </row>
    <row r="1017" spans="1:20">
      <c r="A1017" s="2" t="s">
        <v>1734</v>
      </c>
      <c r="B1017" s="3">
        <v>46242</v>
      </c>
      <c r="C1017" s="2" t="s">
        <v>63</v>
      </c>
      <c r="D1017" s="2" t="s">
        <v>71</v>
      </c>
      <c r="E1017" s="2" t="s">
        <v>30</v>
      </c>
      <c r="F1017" s="2" t="s">
        <v>31</v>
      </c>
      <c r="G1017" s="4">
        <v>11800</v>
      </c>
      <c r="H1017" s="5">
        <v>3.5900000000000001E-2</v>
      </c>
      <c r="I1017" s="2">
        <v>36</v>
      </c>
      <c r="J1017" s="2" t="s">
        <v>94</v>
      </c>
      <c r="K1017" s="2" t="s">
        <v>17</v>
      </c>
      <c r="L1017" s="3">
        <v>46248</v>
      </c>
      <c r="M1017" s="2" t="str">
        <f>_xlfn.XLOOKUP(Deals[[#This Row],[CustomerID]],Customers!A:A,Customers!F:F)</f>
        <v>Mass</v>
      </c>
      <c r="N1017" s="2" t="str">
        <f>_xlfn.XLOOKUP(Deals[[#This Row],[CustomerID]],Customers!A:A,Customers!E:E)</f>
        <v>Kuwaiti</v>
      </c>
      <c r="O1017" s="2">
        <f>2026-_xlfn.XLOOKUP(Deals[[#This Row],[CustomerID]],Customers!A:A,Customers!D:D)</f>
        <v>35</v>
      </c>
      <c r="P1017" s="2" t="str" cm="1">
        <f t="array" ref="P1017">_xlfn.IFS(Deals[[#This Row],[Age]]&lt;30,"Under 30",Deals[[#This Row],[Age]]&lt;45,"30-44",TRUE,"45+")</f>
        <v>30-44</v>
      </c>
      <c r="Q1017" s="21">
        <f>IF(Deals[[#This Row],[Status]]="Pending","",Deals[[#This Row],[DecisionDate]]-Deals[[#This Row],[ApplicationDate]])</f>
        <v>6</v>
      </c>
      <c r="R1017" s="21">
        <f>IF(Deals[[#This Row],[Status]]="Approved",1,0)</f>
        <v>1</v>
      </c>
      <c r="S1017" s="21">
        <f>IF(Deals[[#This Row],[IsApproved]]=1,Deals[[#This Row],[Amount]],0)</f>
        <v>11800</v>
      </c>
      <c r="T1017" s="21">
        <f>Deals[[#This Row],[ApprovedAmount]]*Deals[[#This Row],[ProfitRate]]</f>
        <v>423.62</v>
      </c>
    </row>
    <row r="1018" spans="1:20">
      <c r="A1018" s="2" t="s">
        <v>1735</v>
      </c>
      <c r="B1018" s="3">
        <v>46242</v>
      </c>
      <c r="C1018" s="2" t="s">
        <v>928</v>
      </c>
      <c r="D1018" s="2" t="s">
        <v>71</v>
      </c>
      <c r="E1018" s="2" t="s">
        <v>30</v>
      </c>
      <c r="F1018" s="2" t="s">
        <v>3</v>
      </c>
      <c r="G1018" s="4">
        <v>16800</v>
      </c>
      <c r="H1018" s="5">
        <v>4.4999999999999998E-2</v>
      </c>
      <c r="I1018" s="2">
        <v>36</v>
      </c>
      <c r="J1018" s="2" t="s">
        <v>72</v>
      </c>
      <c r="K1018" s="2" t="s">
        <v>45</v>
      </c>
      <c r="L1018" s="3">
        <v>46247</v>
      </c>
      <c r="M1018" s="2" t="str">
        <f>_xlfn.XLOOKUP(Deals[[#This Row],[CustomerID]],Customers!A:A,Customers!F:F)</f>
        <v>Affluent</v>
      </c>
      <c r="N1018" s="2" t="str">
        <f>_xlfn.XLOOKUP(Deals[[#This Row],[CustomerID]],Customers!A:A,Customers!E:E)</f>
        <v>Kuwaiti</v>
      </c>
      <c r="O1018" s="2">
        <f>2026-_xlfn.XLOOKUP(Deals[[#This Row],[CustomerID]],Customers!A:A,Customers!D:D)</f>
        <v>26</v>
      </c>
      <c r="P1018" s="2" t="str" cm="1">
        <f t="array" ref="P1018">_xlfn.IFS(Deals[[#This Row],[Age]]&lt;30,"Under 30",Deals[[#This Row],[Age]]&lt;45,"30-44",TRUE,"45+")</f>
        <v>Under 30</v>
      </c>
      <c r="Q1018" s="21">
        <f>IF(Deals[[#This Row],[Status]]="Pending","",Deals[[#This Row],[DecisionDate]]-Deals[[#This Row],[ApplicationDate]])</f>
        <v>5</v>
      </c>
      <c r="R1018" s="21">
        <f>IF(Deals[[#This Row],[Status]]="Approved",1,0)</f>
        <v>0</v>
      </c>
      <c r="S1018" s="21">
        <f>IF(Deals[[#This Row],[IsApproved]]=1,Deals[[#This Row],[Amount]],0)</f>
        <v>0</v>
      </c>
      <c r="T1018" s="21">
        <f>Deals[[#This Row],[ApprovedAmount]]*Deals[[#This Row],[ProfitRate]]</f>
        <v>0</v>
      </c>
    </row>
    <row r="1019" spans="1:20">
      <c r="A1019" s="2" t="s">
        <v>1736</v>
      </c>
      <c r="B1019" s="3">
        <v>46242</v>
      </c>
      <c r="C1019" s="2" t="s">
        <v>324</v>
      </c>
      <c r="D1019" s="2" t="s">
        <v>20</v>
      </c>
      <c r="E1019" s="2" t="s">
        <v>15</v>
      </c>
      <c r="F1019" s="2" t="s">
        <v>3</v>
      </c>
      <c r="G1019" s="4">
        <v>18100</v>
      </c>
      <c r="H1019" s="5">
        <v>5.0799999999999998E-2</v>
      </c>
      <c r="I1019" s="2">
        <v>60</v>
      </c>
      <c r="J1019" s="2" t="s">
        <v>22</v>
      </c>
      <c r="K1019" s="2" t="s">
        <v>17</v>
      </c>
      <c r="L1019" s="3">
        <v>46247</v>
      </c>
      <c r="M1019" s="2" t="str">
        <f>_xlfn.XLOOKUP(Deals[[#This Row],[CustomerID]],Customers!A:A,Customers!F:F)</f>
        <v>Affluent</v>
      </c>
      <c r="N1019" s="2" t="str">
        <f>_xlfn.XLOOKUP(Deals[[#This Row],[CustomerID]],Customers!A:A,Customers!E:E)</f>
        <v>Kuwaiti</v>
      </c>
      <c r="O1019" s="2">
        <f>2026-_xlfn.XLOOKUP(Deals[[#This Row],[CustomerID]],Customers!A:A,Customers!D:D)</f>
        <v>66</v>
      </c>
      <c r="P1019" s="2" t="str" cm="1">
        <f t="array" ref="P1019">_xlfn.IFS(Deals[[#This Row],[Age]]&lt;30,"Under 30",Deals[[#This Row],[Age]]&lt;45,"30-44",TRUE,"45+")</f>
        <v>45+</v>
      </c>
      <c r="Q1019" s="21">
        <f>IF(Deals[[#This Row],[Status]]="Pending","",Deals[[#This Row],[DecisionDate]]-Deals[[#This Row],[ApplicationDate]])</f>
        <v>5</v>
      </c>
      <c r="R1019" s="21">
        <f>IF(Deals[[#This Row],[Status]]="Approved",1,0)</f>
        <v>1</v>
      </c>
      <c r="S1019" s="21">
        <f>IF(Deals[[#This Row],[IsApproved]]=1,Deals[[#This Row],[Amount]],0)</f>
        <v>18100</v>
      </c>
      <c r="T1019" s="21">
        <f>Deals[[#This Row],[ApprovedAmount]]*Deals[[#This Row],[ProfitRate]]</f>
        <v>919.48</v>
      </c>
    </row>
    <row r="1020" spans="1:20">
      <c r="A1020" s="2" t="s">
        <v>1737</v>
      </c>
      <c r="B1020" s="3">
        <v>46242</v>
      </c>
      <c r="C1020" s="2" t="s">
        <v>1738</v>
      </c>
      <c r="D1020" s="2" t="s">
        <v>29</v>
      </c>
      <c r="E1020" s="2" t="s">
        <v>30</v>
      </c>
      <c r="F1020" s="2" t="s">
        <v>31</v>
      </c>
      <c r="G1020" s="4">
        <v>11300</v>
      </c>
      <c r="H1020" s="5">
        <v>4.6600000000000003E-2</v>
      </c>
      <c r="I1020" s="2">
        <v>36</v>
      </c>
      <c r="J1020" s="2" t="s">
        <v>123</v>
      </c>
      <c r="K1020" s="2" t="s">
        <v>17</v>
      </c>
      <c r="L1020" s="3">
        <v>46243</v>
      </c>
      <c r="M1020" s="2" t="str">
        <f>_xlfn.XLOOKUP(Deals[[#This Row],[CustomerID]],Customers!A:A,Customers!F:F)</f>
        <v>Mass</v>
      </c>
      <c r="N1020" s="2" t="str">
        <f>_xlfn.XLOOKUP(Deals[[#This Row],[CustomerID]],Customers!A:A,Customers!E:E)</f>
        <v>Kuwaiti</v>
      </c>
      <c r="O1020" s="2">
        <f>2026-_xlfn.XLOOKUP(Deals[[#This Row],[CustomerID]],Customers!A:A,Customers!D:D)</f>
        <v>26</v>
      </c>
      <c r="P1020" s="2" t="str" cm="1">
        <f t="array" ref="P1020">_xlfn.IFS(Deals[[#This Row],[Age]]&lt;30,"Under 30",Deals[[#This Row],[Age]]&lt;45,"30-44",TRUE,"45+")</f>
        <v>Under 30</v>
      </c>
      <c r="Q1020" s="21">
        <f>IF(Deals[[#This Row],[Status]]="Pending","",Deals[[#This Row],[DecisionDate]]-Deals[[#This Row],[ApplicationDate]])</f>
        <v>1</v>
      </c>
      <c r="R1020" s="21">
        <f>IF(Deals[[#This Row],[Status]]="Approved",1,0)</f>
        <v>1</v>
      </c>
      <c r="S1020" s="21">
        <f>IF(Deals[[#This Row],[IsApproved]]=1,Deals[[#This Row],[Amount]],0)</f>
        <v>11300</v>
      </c>
      <c r="T1020" s="21">
        <f>Deals[[#This Row],[ApprovedAmount]]*Deals[[#This Row],[ProfitRate]]</f>
        <v>526.58000000000004</v>
      </c>
    </row>
    <row r="1021" spans="1:20">
      <c r="A1021" s="2" t="s">
        <v>1740</v>
      </c>
      <c r="B1021" s="3">
        <v>46243</v>
      </c>
      <c r="C1021" s="2" t="s">
        <v>1741</v>
      </c>
      <c r="D1021" s="2" t="s">
        <v>20</v>
      </c>
      <c r="E1021" s="2" t="s">
        <v>21</v>
      </c>
      <c r="F1021" s="2" t="s">
        <v>3</v>
      </c>
      <c r="G1021" s="4">
        <v>199800</v>
      </c>
      <c r="H1021" s="5">
        <v>4.1000000000000002E-2</v>
      </c>
      <c r="I1021" s="2">
        <v>300</v>
      </c>
      <c r="J1021" s="2" t="s">
        <v>22</v>
      </c>
      <c r="K1021" s="2" t="s">
        <v>17</v>
      </c>
      <c r="L1021" s="3">
        <v>46260</v>
      </c>
      <c r="M1021" s="2" t="str">
        <f>_xlfn.XLOOKUP(Deals[[#This Row],[CustomerID]],Customers!A:A,Customers!F:F)</f>
        <v>Affluent</v>
      </c>
      <c r="N1021" s="2" t="str">
        <f>_xlfn.XLOOKUP(Deals[[#This Row],[CustomerID]],Customers!A:A,Customers!E:E)</f>
        <v>Kuwaiti</v>
      </c>
      <c r="O1021" s="2">
        <f>2026-_xlfn.XLOOKUP(Deals[[#This Row],[CustomerID]],Customers!A:A,Customers!D:D)</f>
        <v>26</v>
      </c>
      <c r="P1021" s="2" t="str" cm="1">
        <f t="array" ref="P1021">_xlfn.IFS(Deals[[#This Row],[Age]]&lt;30,"Under 30",Deals[[#This Row],[Age]]&lt;45,"30-44",TRUE,"45+")</f>
        <v>Under 30</v>
      </c>
      <c r="Q1021" s="21">
        <f>IF(Deals[[#This Row],[Status]]="Pending","",Deals[[#This Row],[DecisionDate]]-Deals[[#This Row],[ApplicationDate]])</f>
        <v>17</v>
      </c>
      <c r="R1021" s="21">
        <f>IF(Deals[[#This Row],[Status]]="Approved",1,0)</f>
        <v>1</v>
      </c>
      <c r="S1021" s="21">
        <f>IF(Deals[[#This Row],[IsApproved]]=1,Deals[[#This Row],[Amount]],0)</f>
        <v>199800</v>
      </c>
      <c r="T1021" s="21">
        <f>Deals[[#This Row],[ApprovedAmount]]*Deals[[#This Row],[ProfitRate]]</f>
        <v>8191.8</v>
      </c>
    </row>
    <row r="1022" spans="1:20">
      <c r="A1022" s="2" t="s">
        <v>1742</v>
      </c>
      <c r="B1022" s="3">
        <v>46243</v>
      </c>
      <c r="C1022" s="2" t="s">
        <v>431</v>
      </c>
      <c r="D1022" s="2" t="s">
        <v>54</v>
      </c>
      <c r="E1022" s="2" t="s">
        <v>30</v>
      </c>
      <c r="F1022" s="2" t="s">
        <v>31</v>
      </c>
      <c r="G1022" s="4">
        <v>5200</v>
      </c>
      <c r="H1022" s="5">
        <v>4.41E-2</v>
      </c>
      <c r="I1022" s="2">
        <v>48</v>
      </c>
      <c r="J1022" s="2" t="s">
        <v>148</v>
      </c>
      <c r="K1022" s="2" t="s">
        <v>17</v>
      </c>
      <c r="L1022" s="3">
        <v>46243</v>
      </c>
      <c r="M1022" s="2" t="str">
        <f>_xlfn.XLOOKUP(Deals[[#This Row],[CustomerID]],Customers!A:A,Customers!F:F)</f>
        <v>Mass</v>
      </c>
      <c r="N1022" s="2" t="str">
        <f>_xlfn.XLOOKUP(Deals[[#This Row],[CustomerID]],Customers!A:A,Customers!E:E)</f>
        <v>Non-Kuwaiti</v>
      </c>
      <c r="O1022" s="2">
        <f>2026-_xlfn.XLOOKUP(Deals[[#This Row],[CustomerID]],Customers!A:A,Customers!D:D)</f>
        <v>30</v>
      </c>
      <c r="P1022" s="2" t="str" cm="1">
        <f t="array" ref="P1022">_xlfn.IFS(Deals[[#This Row],[Age]]&lt;30,"Under 30",Deals[[#This Row],[Age]]&lt;45,"30-44",TRUE,"45+")</f>
        <v>30-44</v>
      </c>
      <c r="Q1022" s="21">
        <f>IF(Deals[[#This Row],[Status]]="Pending","",Deals[[#This Row],[DecisionDate]]-Deals[[#This Row],[ApplicationDate]])</f>
        <v>0</v>
      </c>
      <c r="R1022" s="21">
        <f>IF(Deals[[#This Row],[Status]]="Approved",1,0)</f>
        <v>1</v>
      </c>
      <c r="S1022" s="21">
        <f>IF(Deals[[#This Row],[IsApproved]]=1,Deals[[#This Row],[Amount]],0)</f>
        <v>5200</v>
      </c>
      <c r="T1022" s="21">
        <f>Deals[[#This Row],[ApprovedAmount]]*Deals[[#This Row],[ProfitRate]]</f>
        <v>229.32</v>
      </c>
    </row>
    <row r="1023" spans="1:20">
      <c r="A1023" s="2" t="s">
        <v>1743</v>
      </c>
      <c r="B1023" s="3">
        <v>46243</v>
      </c>
      <c r="C1023" s="2" t="s">
        <v>1744</v>
      </c>
      <c r="D1023" s="2" t="s">
        <v>29</v>
      </c>
      <c r="E1023" s="2" t="s">
        <v>30</v>
      </c>
      <c r="F1023" s="2" t="s">
        <v>31</v>
      </c>
      <c r="G1023" s="4">
        <v>4100</v>
      </c>
      <c r="H1023" s="5">
        <v>3.8199999999999998E-2</v>
      </c>
      <c r="I1023" s="2">
        <v>48</v>
      </c>
      <c r="J1023" s="2" t="s">
        <v>61</v>
      </c>
      <c r="K1023" s="2" t="s">
        <v>45</v>
      </c>
      <c r="L1023" s="3">
        <v>46245</v>
      </c>
      <c r="M1023" s="2" t="str">
        <f>_xlfn.XLOOKUP(Deals[[#This Row],[CustomerID]],Customers!A:A,Customers!F:F)</f>
        <v>Mass</v>
      </c>
      <c r="N1023" s="2" t="str">
        <f>_xlfn.XLOOKUP(Deals[[#This Row],[CustomerID]],Customers!A:A,Customers!E:E)</f>
        <v>Kuwaiti</v>
      </c>
      <c r="O1023" s="2">
        <f>2026-_xlfn.XLOOKUP(Deals[[#This Row],[CustomerID]],Customers!A:A,Customers!D:D)</f>
        <v>33</v>
      </c>
      <c r="P1023" s="2" t="str" cm="1">
        <f t="array" ref="P1023">_xlfn.IFS(Deals[[#This Row],[Age]]&lt;30,"Under 30",Deals[[#This Row],[Age]]&lt;45,"30-44",TRUE,"45+")</f>
        <v>30-44</v>
      </c>
      <c r="Q1023" s="21">
        <f>IF(Deals[[#This Row],[Status]]="Pending","",Deals[[#This Row],[DecisionDate]]-Deals[[#This Row],[ApplicationDate]])</f>
        <v>2</v>
      </c>
      <c r="R1023" s="21">
        <f>IF(Deals[[#This Row],[Status]]="Approved",1,0)</f>
        <v>0</v>
      </c>
      <c r="S1023" s="21">
        <f>IF(Deals[[#This Row],[IsApproved]]=1,Deals[[#This Row],[Amount]],0)</f>
        <v>0</v>
      </c>
      <c r="T1023" s="21">
        <f>Deals[[#This Row],[ApprovedAmount]]*Deals[[#This Row],[ProfitRate]]</f>
        <v>0</v>
      </c>
    </row>
    <row r="1024" spans="1:20">
      <c r="A1024" s="2" t="s">
        <v>1746</v>
      </c>
      <c r="B1024" s="3">
        <v>46243</v>
      </c>
      <c r="C1024" s="2" t="s">
        <v>1096</v>
      </c>
      <c r="D1024" s="2" t="s">
        <v>20</v>
      </c>
      <c r="E1024" s="2" t="s">
        <v>30</v>
      </c>
      <c r="F1024" s="2" t="s">
        <v>3</v>
      </c>
      <c r="G1024" s="4">
        <v>7000</v>
      </c>
      <c r="H1024" s="5">
        <v>4.5400000000000003E-2</v>
      </c>
      <c r="I1024" s="2">
        <v>60</v>
      </c>
      <c r="J1024" s="2" t="s">
        <v>37</v>
      </c>
      <c r="K1024" s="2" t="s">
        <v>17</v>
      </c>
      <c r="L1024" s="3">
        <v>46244</v>
      </c>
      <c r="M1024" s="2" t="str">
        <f>_xlfn.XLOOKUP(Deals[[#This Row],[CustomerID]],Customers!A:A,Customers!F:F)</f>
        <v>Affluent</v>
      </c>
      <c r="N1024" s="2" t="str">
        <f>_xlfn.XLOOKUP(Deals[[#This Row],[CustomerID]],Customers!A:A,Customers!E:E)</f>
        <v>Non-Kuwaiti</v>
      </c>
      <c r="O1024" s="2">
        <f>2026-_xlfn.XLOOKUP(Deals[[#This Row],[CustomerID]],Customers!A:A,Customers!D:D)</f>
        <v>44</v>
      </c>
      <c r="P1024" s="2" t="str" cm="1">
        <f t="array" ref="P1024">_xlfn.IFS(Deals[[#This Row],[Age]]&lt;30,"Under 30",Deals[[#This Row],[Age]]&lt;45,"30-44",TRUE,"45+")</f>
        <v>30-44</v>
      </c>
      <c r="Q1024" s="21">
        <f>IF(Deals[[#This Row],[Status]]="Pending","",Deals[[#This Row],[DecisionDate]]-Deals[[#This Row],[ApplicationDate]])</f>
        <v>1</v>
      </c>
      <c r="R1024" s="21">
        <f>IF(Deals[[#This Row],[Status]]="Approved",1,0)</f>
        <v>1</v>
      </c>
      <c r="S1024" s="21">
        <f>IF(Deals[[#This Row],[IsApproved]]=1,Deals[[#This Row],[Amount]],0)</f>
        <v>7000</v>
      </c>
      <c r="T1024" s="21">
        <f>Deals[[#This Row],[ApprovedAmount]]*Deals[[#This Row],[ProfitRate]]</f>
        <v>317.8</v>
      </c>
    </row>
    <row r="1025" spans="1:20">
      <c r="A1025" s="2" t="s">
        <v>1747</v>
      </c>
      <c r="B1025" s="3">
        <v>46243</v>
      </c>
      <c r="C1025" s="2" t="s">
        <v>1748</v>
      </c>
      <c r="D1025" s="2" t="s">
        <v>54</v>
      </c>
      <c r="E1025" s="2" t="s">
        <v>15</v>
      </c>
      <c r="F1025" s="2" t="s">
        <v>31</v>
      </c>
      <c r="G1025" s="4">
        <v>15400</v>
      </c>
      <c r="H1025" s="5">
        <v>5.96E-2</v>
      </c>
      <c r="I1025" s="2">
        <v>12</v>
      </c>
      <c r="J1025" s="2" t="s">
        <v>148</v>
      </c>
      <c r="K1025" s="2" t="s">
        <v>45</v>
      </c>
      <c r="L1025" s="3">
        <v>46249</v>
      </c>
      <c r="M1025" s="2" t="str">
        <f>_xlfn.XLOOKUP(Deals[[#This Row],[CustomerID]],Customers!A:A,Customers!F:F)</f>
        <v>Mass</v>
      </c>
      <c r="N1025" s="2" t="str">
        <f>_xlfn.XLOOKUP(Deals[[#This Row],[CustomerID]],Customers!A:A,Customers!E:E)</f>
        <v>Kuwaiti</v>
      </c>
      <c r="O1025" s="2">
        <f>2026-_xlfn.XLOOKUP(Deals[[#This Row],[CustomerID]],Customers!A:A,Customers!D:D)</f>
        <v>58</v>
      </c>
      <c r="P1025" s="2" t="str" cm="1">
        <f t="array" ref="P1025">_xlfn.IFS(Deals[[#This Row],[Age]]&lt;30,"Under 30",Deals[[#This Row],[Age]]&lt;45,"30-44",TRUE,"45+")</f>
        <v>45+</v>
      </c>
      <c r="Q1025" s="21">
        <f>IF(Deals[[#This Row],[Status]]="Pending","",Deals[[#This Row],[DecisionDate]]-Deals[[#This Row],[ApplicationDate]])</f>
        <v>6</v>
      </c>
      <c r="R1025" s="21">
        <f>IF(Deals[[#This Row],[Status]]="Approved",1,0)</f>
        <v>0</v>
      </c>
      <c r="S1025" s="21">
        <f>IF(Deals[[#This Row],[IsApproved]]=1,Deals[[#This Row],[Amount]],0)</f>
        <v>0</v>
      </c>
      <c r="T1025" s="21">
        <f>Deals[[#This Row],[ApprovedAmount]]*Deals[[#This Row],[ProfitRate]]</f>
        <v>0</v>
      </c>
    </row>
    <row r="1026" spans="1:20">
      <c r="A1026" s="2" t="s">
        <v>1750</v>
      </c>
      <c r="B1026" s="3">
        <v>46243</v>
      </c>
      <c r="C1026" s="2" t="s">
        <v>1547</v>
      </c>
      <c r="D1026" s="2" t="s">
        <v>14</v>
      </c>
      <c r="E1026" s="2" t="s">
        <v>43</v>
      </c>
      <c r="F1026" s="2" t="s">
        <v>31</v>
      </c>
      <c r="G1026" s="4">
        <v>70100</v>
      </c>
      <c r="H1026" s="5">
        <v>6.4699999999999994E-2</v>
      </c>
      <c r="I1026" s="2">
        <v>84</v>
      </c>
      <c r="J1026" s="2" t="s">
        <v>40</v>
      </c>
      <c r="K1026" s="2" t="s">
        <v>17</v>
      </c>
      <c r="L1026" s="3">
        <v>46251</v>
      </c>
      <c r="M1026" s="2" t="str">
        <f>_xlfn.XLOOKUP(Deals[[#This Row],[CustomerID]],Customers!A:A,Customers!F:F)</f>
        <v>Affluent</v>
      </c>
      <c r="N1026" s="2" t="str">
        <f>_xlfn.XLOOKUP(Deals[[#This Row],[CustomerID]],Customers!A:A,Customers!E:E)</f>
        <v>Kuwaiti</v>
      </c>
      <c r="O1026" s="2">
        <f>2026-_xlfn.XLOOKUP(Deals[[#This Row],[CustomerID]],Customers!A:A,Customers!D:D)</f>
        <v>47</v>
      </c>
      <c r="P1026" s="2" t="str" cm="1">
        <f t="array" ref="P1026">_xlfn.IFS(Deals[[#This Row],[Age]]&lt;30,"Under 30",Deals[[#This Row],[Age]]&lt;45,"30-44",TRUE,"45+")</f>
        <v>45+</v>
      </c>
      <c r="Q1026" s="21">
        <f>IF(Deals[[#This Row],[Status]]="Pending","",Deals[[#This Row],[DecisionDate]]-Deals[[#This Row],[ApplicationDate]])</f>
        <v>8</v>
      </c>
      <c r="R1026" s="21">
        <f>IF(Deals[[#This Row],[Status]]="Approved",1,0)</f>
        <v>1</v>
      </c>
      <c r="S1026" s="21">
        <f>IF(Deals[[#This Row],[IsApproved]]=1,Deals[[#This Row],[Amount]],0)</f>
        <v>70100</v>
      </c>
      <c r="T1026" s="21">
        <f>Deals[[#This Row],[ApprovedAmount]]*Deals[[#This Row],[ProfitRate]]</f>
        <v>4535.4699999999993</v>
      </c>
    </row>
    <row r="1027" spans="1:20">
      <c r="A1027" s="2" t="s">
        <v>1752</v>
      </c>
      <c r="B1027" s="3">
        <v>46244</v>
      </c>
      <c r="C1027" s="2" t="s">
        <v>1753</v>
      </c>
      <c r="D1027" s="2" t="s">
        <v>54</v>
      </c>
      <c r="E1027" s="2" t="s">
        <v>21</v>
      </c>
      <c r="F1027" s="2" t="s">
        <v>55</v>
      </c>
      <c r="G1027" s="4">
        <v>358800</v>
      </c>
      <c r="H1027" s="5">
        <v>4.0500000000000001E-2</v>
      </c>
      <c r="I1027" s="2">
        <v>300</v>
      </c>
      <c r="J1027" s="2" t="s">
        <v>148</v>
      </c>
      <c r="K1027" s="2" t="s">
        <v>45</v>
      </c>
      <c r="L1027" s="3">
        <v>46274</v>
      </c>
      <c r="M1027" s="2" t="str">
        <f>_xlfn.XLOOKUP(Deals[[#This Row],[CustomerID]],Customers!A:A,Customers!F:F)</f>
        <v>Premium</v>
      </c>
      <c r="N1027" s="2" t="str">
        <f>_xlfn.XLOOKUP(Deals[[#This Row],[CustomerID]],Customers!A:A,Customers!E:E)</f>
        <v>Non-Kuwaiti</v>
      </c>
      <c r="O1027" s="2">
        <f>2026-_xlfn.XLOOKUP(Deals[[#This Row],[CustomerID]],Customers!A:A,Customers!D:D)</f>
        <v>35</v>
      </c>
      <c r="P1027" s="2" t="str" cm="1">
        <f t="array" ref="P1027">_xlfn.IFS(Deals[[#This Row],[Age]]&lt;30,"Under 30",Deals[[#This Row],[Age]]&lt;45,"30-44",TRUE,"45+")</f>
        <v>30-44</v>
      </c>
      <c r="Q1027" s="21">
        <f>IF(Deals[[#This Row],[Status]]="Pending","",Deals[[#This Row],[DecisionDate]]-Deals[[#This Row],[ApplicationDate]])</f>
        <v>30</v>
      </c>
      <c r="R1027" s="21">
        <f>IF(Deals[[#This Row],[Status]]="Approved",1,0)</f>
        <v>0</v>
      </c>
      <c r="S1027" s="21">
        <f>IF(Deals[[#This Row],[IsApproved]]=1,Deals[[#This Row],[Amount]],0)</f>
        <v>0</v>
      </c>
      <c r="T1027" s="21">
        <f>Deals[[#This Row],[ApprovedAmount]]*Deals[[#This Row],[ProfitRate]]</f>
        <v>0</v>
      </c>
    </row>
    <row r="1028" spans="1:20">
      <c r="A1028" s="2" t="s">
        <v>1754</v>
      </c>
      <c r="B1028" s="3">
        <v>46244</v>
      </c>
      <c r="C1028" s="2" t="s">
        <v>1464</v>
      </c>
      <c r="D1028" s="2" t="s">
        <v>25</v>
      </c>
      <c r="E1028" s="2" t="s">
        <v>43</v>
      </c>
      <c r="F1028" s="2" t="s">
        <v>3</v>
      </c>
      <c r="G1028" s="4">
        <v>78600</v>
      </c>
      <c r="H1028" s="5">
        <v>6.3799999999999996E-2</v>
      </c>
      <c r="I1028" s="2">
        <v>24</v>
      </c>
      <c r="J1028" s="2" t="s">
        <v>26</v>
      </c>
      <c r="K1028" s="2" t="s">
        <v>17</v>
      </c>
      <c r="L1028" s="3">
        <v>46256</v>
      </c>
      <c r="M1028" s="2" t="str">
        <f>_xlfn.XLOOKUP(Deals[[#This Row],[CustomerID]],Customers!A:A,Customers!F:F)</f>
        <v>Mass</v>
      </c>
      <c r="N1028" s="2" t="str">
        <f>_xlfn.XLOOKUP(Deals[[#This Row],[CustomerID]],Customers!A:A,Customers!E:E)</f>
        <v>Non-Kuwaiti</v>
      </c>
      <c r="O1028" s="2">
        <f>2026-_xlfn.XLOOKUP(Deals[[#This Row],[CustomerID]],Customers!A:A,Customers!D:D)</f>
        <v>27</v>
      </c>
      <c r="P1028" s="2" t="str" cm="1">
        <f t="array" ref="P1028">_xlfn.IFS(Deals[[#This Row],[Age]]&lt;30,"Under 30",Deals[[#This Row],[Age]]&lt;45,"30-44",TRUE,"45+")</f>
        <v>Under 30</v>
      </c>
      <c r="Q1028" s="21">
        <f>IF(Deals[[#This Row],[Status]]="Pending","",Deals[[#This Row],[DecisionDate]]-Deals[[#This Row],[ApplicationDate]])</f>
        <v>12</v>
      </c>
      <c r="R1028" s="21">
        <f>IF(Deals[[#This Row],[Status]]="Approved",1,0)</f>
        <v>1</v>
      </c>
      <c r="S1028" s="21">
        <f>IF(Deals[[#This Row],[IsApproved]]=1,Deals[[#This Row],[Amount]],0)</f>
        <v>78600</v>
      </c>
      <c r="T1028" s="21">
        <f>Deals[[#This Row],[ApprovedAmount]]*Deals[[#This Row],[ProfitRate]]</f>
        <v>5014.6799999999994</v>
      </c>
    </row>
    <row r="1029" spans="1:20">
      <c r="A1029" s="2" t="s">
        <v>1755</v>
      </c>
      <c r="B1029" s="3">
        <v>46245</v>
      </c>
      <c r="C1029" s="2" t="s">
        <v>1424</v>
      </c>
      <c r="D1029" s="2" t="s">
        <v>20</v>
      </c>
      <c r="E1029" s="2" t="s">
        <v>30</v>
      </c>
      <c r="F1029" s="2" t="s">
        <v>3</v>
      </c>
      <c r="G1029" s="4">
        <v>13700</v>
      </c>
      <c r="H1029" s="5">
        <v>4.1799999999999997E-2</v>
      </c>
      <c r="I1029" s="2">
        <v>48</v>
      </c>
      <c r="J1029" s="2" t="s">
        <v>22</v>
      </c>
      <c r="K1029" s="2" t="s">
        <v>17</v>
      </c>
      <c r="L1029" s="3">
        <v>46248</v>
      </c>
      <c r="M1029" s="2" t="str">
        <f>_xlfn.XLOOKUP(Deals[[#This Row],[CustomerID]],Customers!A:A,Customers!F:F)</f>
        <v>Mass</v>
      </c>
      <c r="N1029" s="2" t="str">
        <f>_xlfn.XLOOKUP(Deals[[#This Row],[CustomerID]],Customers!A:A,Customers!E:E)</f>
        <v>Kuwaiti</v>
      </c>
      <c r="O1029" s="2">
        <f>2026-_xlfn.XLOOKUP(Deals[[#This Row],[CustomerID]],Customers!A:A,Customers!D:D)</f>
        <v>25</v>
      </c>
      <c r="P1029" s="2" t="str" cm="1">
        <f t="array" ref="P1029">_xlfn.IFS(Deals[[#This Row],[Age]]&lt;30,"Under 30",Deals[[#This Row],[Age]]&lt;45,"30-44",TRUE,"45+")</f>
        <v>Under 30</v>
      </c>
      <c r="Q1029" s="21">
        <f>IF(Deals[[#This Row],[Status]]="Pending","",Deals[[#This Row],[DecisionDate]]-Deals[[#This Row],[ApplicationDate]])</f>
        <v>3</v>
      </c>
      <c r="R1029" s="21">
        <f>IF(Deals[[#This Row],[Status]]="Approved",1,0)</f>
        <v>1</v>
      </c>
      <c r="S1029" s="21">
        <f>IF(Deals[[#This Row],[IsApproved]]=1,Deals[[#This Row],[Amount]],0)</f>
        <v>13700</v>
      </c>
      <c r="T1029" s="21">
        <f>Deals[[#This Row],[ApprovedAmount]]*Deals[[#This Row],[ProfitRate]]</f>
        <v>572.66</v>
      </c>
    </row>
    <row r="1030" spans="1:20">
      <c r="A1030" s="2" t="s">
        <v>1756</v>
      </c>
      <c r="B1030" s="3">
        <v>46245</v>
      </c>
      <c r="C1030" s="2" t="s">
        <v>141</v>
      </c>
      <c r="D1030" s="2" t="s">
        <v>14</v>
      </c>
      <c r="E1030" s="2" t="s">
        <v>43</v>
      </c>
      <c r="F1030" s="2" t="s">
        <v>55</v>
      </c>
      <c r="G1030" s="4">
        <v>155700</v>
      </c>
      <c r="H1030" s="5">
        <v>6.25E-2</v>
      </c>
      <c r="I1030" s="2">
        <v>36</v>
      </c>
      <c r="J1030" s="2" t="s">
        <v>40</v>
      </c>
      <c r="K1030" s="2" t="s">
        <v>45</v>
      </c>
      <c r="L1030" s="3">
        <v>46263</v>
      </c>
      <c r="M1030" s="2" t="str">
        <f>_xlfn.XLOOKUP(Deals[[#This Row],[CustomerID]],Customers!A:A,Customers!F:F)</f>
        <v>Affluent</v>
      </c>
      <c r="N1030" s="2" t="str">
        <f>_xlfn.XLOOKUP(Deals[[#This Row],[CustomerID]],Customers!A:A,Customers!E:E)</f>
        <v>Kuwaiti</v>
      </c>
      <c r="O1030" s="2">
        <f>2026-_xlfn.XLOOKUP(Deals[[#This Row],[CustomerID]],Customers!A:A,Customers!D:D)</f>
        <v>40</v>
      </c>
      <c r="P1030" s="2" t="str" cm="1">
        <f t="array" ref="P1030">_xlfn.IFS(Deals[[#This Row],[Age]]&lt;30,"Under 30",Deals[[#This Row],[Age]]&lt;45,"30-44",TRUE,"45+")</f>
        <v>30-44</v>
      </c>
      <c r="Q1030" s="21">
        <f>IF(Deals[[#This Row],[Status]]="Pending","",Deals[[#This Row],[DecisionDate]]-Deals[[#This Row],[ApplicationDate]])</f>
        <v>18</v>
      </c>
      <c r="R1030" s="21">
        <f>IF(Deals[[#This Row],[Status]]="Approved",1,0)</f>
        <v>0</v>
      </c>
      <c r="S1030" s="21">
        <f>IF(Deals[[#This Row],[IsApproved]]=1,Deals[[#This Row],[Amount]],0)</f>
        <v>0</v>
      </c>
      <c r="T1030" s="21">
        <f>Deals[[#This Row],[ApprovedAmount]]*Deals[[#This Row],[ProfitRate]]</f>
        <v>0</v>
      </c>
    </row>
    <row r="1031" spans="1:20">
      <c r="A1031" s="2" t="s">
        <v>1757</v>
      </c>
      <c r="B1031" s="3">
        <v>46245</v>
      </c>
      <c r="C1031" s="2" t="s">
        <v>805</v>
      </c>
      <c r="D1031" s="2" t="s">
        <v>71</v>
      </c>
      <c r="E1031" s="2" t="s">
        <v>15</v>
      </c>
      <c r="F1031" s="2" t="s">
        <v>3</v>
      </c>
      <c r="G1031" s="4">
        <v>23900</v>
      </c>
      <c r="H1031" s="5">
        <v>5.0999999999999997E-2</v>
      </c>
      <c r="I1031" s="2">
        <v>48</v>
      </c>
      <c r="J1031" s="2" t="s">
        <v>94</v>
      </c>
      <c r="K1031" s="2" t="s">
        <v>17</v>
      </c>
      <c r="L1031" s="3">
        <v>46253</v>
      </c>
      <c r="M1031" s="2" t="str">
        <f>_xlfn.XLOOKUP(Deals[[#This Row],[CustomerID]],Customers!A:A,Customers!F:F)</f>
        <v>Premium</v>
      </c>
      <c r="N1031" s="2" t="str">
        <f>_xlfn.XLOOKUP(Deals[[#This Row],[CustomerID]],Customers!A:A,Customers!E:E)</f>
        <v>Kuwaiti</v>
      </c>
      <c r="O1031" s="2">
        <f>2026-_xlfn.XLOOKUP(Deals[[#This Row],[CustomerID]],Customers!A:A,Customers!D:D)</f>
        <v>25</v>
      </c>
      <c r="P1031" s="2" t="str" cm="1">
        <f t="array" ref="P1031">_xlfn.IFS(Deals[[#This Row],[Age]]&lt;30,"Under 30",Deals[[#This Row],[Age]]&lt;45,"30-44",TRUE,"45+")</f>
        <v>Under 30</v>
      </c>
      <c r="Q1031" s="21">
        <f>IF(Deals[[#This Row],[Status]]="Pending","",Deals[[#This Row],[DecisionDate]]-Deals[[#This Row],[ApplicationDate]])</f>
        <v>8</v>
      </c>
      <c r="R1031" s="21">
        <f>IF(Deals[[#This Row],[Status]]="Approved",1,0)</f>
        <v>1</v>
      </c>
      <c r="S1031" s="21">
        <f>IF(Deals[[#This Row],[IsApproved]]=1,Deals[[#This Row],[Amount]],0)</f>
        <v>23900</v>
      </c>
      <c r="T1031" s="21">
        <f>Deals[[#This Row],[ApprovedAmount]]*Deals[[#This Row],[ProfitRate]]</f>
        <v>1218.8999999999999</v>
      </c>
    </row>
    <row r="1032" spans="1:20">
      <c r="A1032" s="2" t="s">
        <v>1758</v>
      </c>
      <c r="B1032" s="3">
        <v>46245</v>
      </c>
      <c r="C1032" s="2" t="s">
        <v>1759</v>
      </c>
      <c r="D1032" s="2" t="s">
        <v>20</v>
      </c>
      <c r="E1032" s="2" t="s">
        <v>15</v>
      </c>
      <c r="F1032" s="2" t="s">
        <v>55</v>
      </c>
      <c r="G1032" s="4">
        <v>18700</v>
      </c>
      <c r="H1032" s="5">
        <v>6.8500000000000005E-2</v>
      </c>
      <c r="I1032" s="2">
        <v>24</v>
      </c>
      <c r="J1032" s="2" t="s">
        <v>22</v>
      </c>
      <c r="K1032" s="2" t="s">
        <v>17</v>
      </c>
      <c r="L1032" s="3">
        <v>46246</v>
      </c>
      <c r="M1032" s="2" t="str">
        <f>_xlfn.XLOOKUP(Deals[[#This Row],[CustomerID]],Customers!A:A,Customers!F:F)</f>
        <v>Mass</v>
      </c>
      <c r="N1032" s="2" t="str">
        <f>_xlfn.XLOOKUP(Deals[[#This Row],[CustomerID]],Customers!A:A,Customers!E:E)</f>
        <v>Kuwaiti</v>
      </c>
      <c r="O1032" s="2">
        <f>2026-_xlfn.XLOOKUP(Deals[[#This Row],[CustomerID]],Customers!A:A,Customers!D:D)</f>
        <v>49</v>
      </c>
      <c r="P1032" s="2" t="str" cm="1">
        <f t="array" ref="P1032">_xlfn.IFS(Deals[[#This Row],[Age]]&lt;30,"Under 30",Deals[[#This Row],[Age]]&lt;45,"30-44",TRUE,"45+")</f>
        <v>45+</v>
      </c>
      <c r="Q1032" s="21">
        <f>IF(Deals[[#This Row],[Status]]="Pending","",Deals[[#This Row],[DecisionDate]]-Deals[[#This Row],[ApplicationDate]])</f>
        <v>1</v>
      </c>
      <c r="R1032" s="21">
        <f>IF(Deals[[#This Row],[Status]]="Approved",1,0)</f>
        <v>1</v>
      </c>
      <c r="S1032" s="21">
        <f>IF(Deals[[#This Row],[IsApproved]]=1,Deals[[#This Row],[Amount]],0)</f>
        <v>18700</v>
      </c>
      <c r="T1032" s="21">
        <f>Deals[[#This Row],[ApprovedAmount]]*Deals[[#This Row],[ProfitRate]]</f>
        <v>1280.95</v>
      </c>
    </row>
    <row r="1033" spans="1:20">
      <c r="A1033" s="2" t="s">
        <v>1760</v>
      </c>
      <c r="B1033" s="3">
        <v>46245</v>
      </c>
      <c r="C1033" s="2" t="s">
        <v>1761</v>
      </c>
      <c r="D1033" s="2" t="s">
        <v>14</v>
      </c>
      <c r="E1033" s="2" t="s">
        <v>30</v>
      </c>
      <c r="F1033" s="2" t="s">
        <v>31</v>
      </c>
      <c r="G1033" s="4">
        <v>9400</v>
      </c>
      <c r="H1033" s="5">
        <v>4.4200000000000003E-2</v>
      </c>
      <c r="I1033" s="2">
        <v>60</v>
      </c>
      <c r="J1033" s="2" t="s">
        <v>40</v>
      </c>
      <c r="K1033" s="2" t="s">
        <v>17</v>
      </c>
      <c r="L1033" s="3">
        <v>46246</v>
      </c>
      <c r="M1033" s="2" t="str">
        <f>_xlfn.XLOOKUP(Deals[[#This Row],[CustomerID]],Customers!A:A,Customers!F:F)</f>
        <v>Mass</v>
      </c>
      <c r="N1033" s="2" t="str">
        <f>_xlfn.XLOOKUP(Deals[[#This Row],[CustomerID]],Customers!A:A,Customers!E:E)</f>
        <v>Kuwaiti</v>
      </c>
      <c r="O1033" s="2">
        <f>2026-_xlfn.XLOOKUP(Deals[[#This Row],[CustomerID]],Customers!A:A,Customers!D:D)</f>
        <v>30</v>
      </c>
      <c r="P1033" s="2" t="str" cm="1">
        <f t="array" ref="P1033">_xlfn.IFS(Deals[[#This Row],[Age]]&lt;30,"Under 30",Deals[[#This Row],[Age]]&lt;45,"30-44",TRUE,"45+")</f>
        <v>30-44</v>
      </c>
      <c r="Q1033" s="21">
        <f>IF(Deals[[#This Row],[Status]]="Pending","",Deals[[#This Row],[DecisionDate]]-Deals[[#This Row],[ApplicationDate]])</f>
        <v>1</v>
      </c>
      <c r="R1033" s="21">
        <f>IF(Deals[[#This Row],[Status]]="Approved",1,0)</f>
        <v>1</v>
      </c>
      <c r="S1033" s="21">
        <f>IF(Deals[[#This Row],[IsApproved]]=1,Deals[[#This Row],[Amount]],0)</f>
        <v>9400</v>
      </c>
      <c r="T1033" s="21">
        <f>Deals[[#This Row],[ApprovedAmount]]*Deals[[#This Row],[ProfitRate]]</f>
        <v>415.48</v>
      </c>
    </row>
    <row r="1034" spans="1:20">
      <c r="A1034" s="2" t="s">
        <v>1762</v>
      </c>
      <c r="B1034" s="3">
        <v>46245</v>
      </c>
      <c r="C1034" s="2" t="s">
        <v>1442</v>
      </c>
      <c r="D1034" s="2" t="s">
        <v>20</v>
      </c>
      <c r="E1034" s="2" t="s">
        <v>15</v>
      </c>
      <c r="F1034" s="2" t="s">
        <v>31</v>
      </c>
      <c r="G1034" s="4">
        <v>24700</v>
      </c>
      <c r="H1034" s="5">
        <v>5.4699999999999999E-2</v>
      </c>
      <c r="I1034" s="2">
        <v>36</v>
      </c>
      <c r="J1034" s="2" t="s">
        <v>37</v>
      </c>
      <c r="K1034" s="2" t="s">
        <v>17</v>
      </c>
      <c r="L1034" s="3">
        <v>46247</v>
      </c>
      <c r="M1034" s="2" t="str">
        <f>_xlfn.XLOOKUP(Deals[[#This Row],[CustomerID]],Customers!A:A,Customers!F:F)</f>
        <v>Affluent</v>
      </c>
      <c r="N1034" s="2" t="str">
        <f>_xlfn.XLOOKUP(Deals[[#This Row],[CustomerID]],Customers!A:A,Customers!E:E)</f>
        <v>Kuwaiti</v>
      </c>
      <c r="O1034" s="2">
        <f>2026-_xlfn.XLOOKUP(Deals[[#This Row],[CustomerID]],Customers!A:A,Customers!D:D)</f>
        <v>37</v>
      </c>
      <c r="P1034" s="2" t="str" cm="1">
        <f t="array" ref="P1034">_xlfn.IFS(Deals[[#This Row],[Age]]&lt;30,"Under 30",Deals[[#This Row],[Age]]&lt;45,"30-44",TRUE,"45+")</f>
        <v>30-44</v>
      </c>
      <c r="Q1034" s="21">
        <f>IF(Deals[[#This Row],[Status]]="Pending","",Deals[[#This Row],[DecisionDate]]-Deals[[#This Row],[ApplicationDate]])</f>
        <v>2</v>
      </c>
      <c r="R1034" s="21">
        <f>IF(Deals[[#This Row],[Status]]="Approved",1,0)</f>
        <v>1</v>
      </c>
      <c r="S1034" s="21">
        <f>IF(Deals[[#This Row],[IsApproved]]=1,Deals[[#This Row],[Amount]],0)</f>
        <v>24700</v>
      </c>
      <c r="T1034" s="21">
        <f>Deals[[#This Row],[ApprovedAmount]]*Deals[[#This Row],[ProfitRate]]</f>
        <v>1351.09</v>
      </c>
    </row>
    <row r="1035" spans="1:20">
      <c r="A1035" s="2" t="s">
        <v>1763</v>
      </c>
      <c r="B1035" s="3">
        <v>46245</v>
      </c>
      <c r="C1035" s="2" t="s">
        <v>1124</v>
      </c>
      <c r="D1035" s="2" t="s">
        <v>25</v>
      </c>
      <c r="E1035" s="2" t="s">
        <v>43</v>
      </c>
      <c r="F1035" s="2" t="s">
        <v>3</v>
      </c>
      <c r="G1035" s="4">
        <v>91600</v>
      </c>
      <c r="H1035" s="5">
        <v>6.4199999999999993E-2</v>
      </c>
      <c r="I1035" s="2">
        <v>36</v>
      </c>
      <c r="J1035" s="2" t="s">
        <v>66</v>
      </c>
      <c r="K1035" s="2" t="s">
        <v>17</v>
      </c>
      <c r="L1035" s="3">
        <v>46255</v>
      </c>
      <c r="M1035" s="2" t="str">
        <f>_xlfn.XLOOKUP(Deals[[#This Row],[CustomerID]],Customers!A:A,Customers!F:F)</f>
        <v>Mass</v>
      </c>
      <c r="N1035" s="2" t="str">
        <f>_xlfn.XLOOKUP(Deals[[#This Row],[CustomerID]],Customers!A:A,Customers!E:E)</f>
        <v>Kuwaiti</v>
      </c>
      <c r="O1035" s="2">
        <f>2026-_xlfn.XLOOKUP(Deals[[#This Row],[CustomerID]],Customers!A:A,Customers!D:D)</f>
        <v>48</v>
      </c>
      <c r="P1035" s="2" t="str" cm="1">
        <f t="array" ref="P1035">_xlfn.IFS(Deals[[#This Row],[Age]]&lt;30,"Under 30",Deals[[#This Row],[Age]]&lt;45,"30-44",TRUE,"45+")</f>
        <v>45+</v>
      </c>
      <c r="Q1035" s="21">
        <f>IF(Deals[[#This Row],[Status]]="Pending","",Deals[[#This Row],[DecisionDate]]-Deals[[#This Row],[ApplicationDate]])</f>
        <v>10</v>
      </c>
      <c r="R1035" s="21">
        <f>IF(Deals[[#This Row],[Status]]="Approved",1,0)</f>
        <v>1</v>
      </c>
      <c r="S1035" s="21">
        <f>IF(Deals[[#This Row],[IsApproved]]=1,Deals[[#This Row],[Amount]],0)</f>
        <v>91600</v>
      </c>
      <c r="T1035" s="21">
        <f>Deals[[#This Row],[ApprovedAmount]]*Deals[[#This Row],[ProfitRate]]</f>
        <v>5880.7199999999993</v>
      </c>
    </row>
    <row r="1036" spans="1:20">
      <c r="A1036" s="2" t="s">
        <v>1764</v>
      </c>
      <c r="B1036" s="3">
        <v>46246</v>
      </c>
      <c r="C1036" s="2" t="s">
        <v>1765</v>
      </c>
      <c r="D1036" s="2" t="s">
        <v>54</v>
      </c>
      <c r="E1036" s="2" t="s">
        <v>30</v>
      </c>
      <c r="F1036" s="2" t="s">
        <v>3</v>
      </c>
      <c r="G1036" s="4">
        <v>10400</v>
      </c>
      <c r="H1036" s="5">
        <v>4.1200000000000001E-2</v>
      </c>
      <c r="I1036" s="2">
        <v>60</v>
      </c>
      <c r="J1036" s="2" t="s">
        <v>148</v>
      </c>
      <c r="K1036" s="2" t="s">
        <v>17</v>
      </c>
      <c r="L1036" s="3">
        <v>46251</v>
      </c>
      <c r="M1036" s="2" t="str">
        <f>_xlfn.XLOOKUP(Deals[[#This Row],[CustomerID]],Customers!A:A,Customers!F:F)</f>
        <v>Mass</v>
      </c>
      <c r="N1036" s="2" t="str">
        <f>_xlfn.XLOOKUP(Deals[[#This Row],[CustomerID]],Customers!A:A,Customers!E:E)</f>
        <v>Kuwaiti</v>
      </c>
      <c r="O1036" s="2">
        <f>2026-_xlfn.XLOOKUP(Deals[[#This Row],[CustomerID]],Customers!A:A,Customers!D:D)</f>
        <v>64</v>
      </c>
      <c r="P1036" s="2" t="str" cm="1">
        <f t="array" ref="P1036">_xlfn.IFS(Deals[[#This Row],[Age]]&lt;30,"Under 30",Deals[[#This Row],[Age]]&lt;45,"30-44",TRUE,"45+")</f>
        <v>45+</v>
      </c>
      <c r="Q1036" s="21">
        <f>IF(Deals[[#This Row],[Status]]="Pending","",Deals[[#This Row],[DecisionDate]]-Deals[[#This Row],[ApplicationDate]])</f>
        <v>5</v>
      </c>
      <c r="R1036" s="21">
        <f>IF(Deals[[#This Row],[Status]]="Approved",1,0)</f>
        <v>1</v>
      </c>
      <c r="S1036" s="21">
        <f>IF(Deals[[#This Row],[IsApproved]]=1,Deals[[#This Row],[Amount]],0)</f>
        <v>10400</v>
      </c>
      <c r="T1036" s="21">
        <f>Deals[[#This Row],[ApprovedAmount]]*Deals[[#This Row],[ProfitRate]]</f>
        <v>428.48</v>
      </c>
    </row>
    <row r="1037" spans="1:20">
      <c r="A1037" s="2" t="s">
        <v>1766</v>
      </c>
      <c r="B1037" s="3">
        <v>46246</v>
      </c>
      <c r="C1037" s="2" t="s">
        <v>1173</v>
      </c>
      <c r="D1037" s="2" t="s">
        <v>25</v>
      </c>
      <c r="E1037" s="2" t="s">
        <v>30</v>
      </c>
      <c r="F1037" s="2" t="s">
        <v>31</v>
      </c>
      <c r="G1037" s="4">
        <v>14000</v>
      </c>
      <c r="H1037" s="5">
        <v>4.1200000000000001E-2</v>
      </c>
      <c r="I1037" s="2">
        <v>48</v>
      </c>
      <c r="J1037" s="2" t="s">
        <v>26</v>
      </c>
      <c r="K1037" s="2" t="s">
        <v>17</v>
      </c>
      <c r="L1037" s="3">
        <v>46247</v>
      </c>
      <c r="M1037" s="2" t="str">
        <f>_xlfn.XLOOKUP(Deals[[#This Row],[CustomerID]],Customers!A:A,Customers!F:F)</f>
        <v>Mass</v>
      </c>
      <c r="N1037" s="2" t="str">
        <f>_xlfn.XLOOKUP(Deals[[#This Row],[CustomerID]],Customers!A:A,Customers!E:E)</f>
        <v>Kuwaiti</v>
      </c>
      <c r="O1037" s="2">
        <f>2026-_xlfn.XLOOKUP(Deals[[#This Row],[CustomerID]],Customers!A:A,Customers!D:D)</f>
        <v>38</v>
      </c>
      <c r="P1037" s="2" t="str" cm="1">
        <f t="array" ref="P1037">_xlfn.IFS(Deals[[#This Row],[Age]]&lt;30,"Under 30",Deals[[#This Row],[Age]]&lt;45,"30-44",TRUE,"45+")</f>
        <v>30-44</v>
      </c>
      <c r="Q1037" s="21">
        <f>IF(Deals[[#This Row],[Status]]="Pending","",Deals[[#This Row],[DecisionDate]]-Deals[[#This Row],[ApplicationDate]])</f>
        <v>1</v>
      </c>
      <c r="R1037" s="21">
        <f>IF(Deals[[#This Row],[Status]]="Approved",1,0)</f>
        <v>1</v>
      </c>
      <c r="S1037" s="21">
        <f>IF(Deals[[#This Row],[IsApproved]]=1,Deals[[#This Row],[Amount]],0)</f>
        <v>14000</v>
      </c>
      <c r="T1037" s="21">
        <f>Deals[[#This Row],[ApprovedAmount]]*Deals[[#This Row],[ProfitRate]]</f>
        <v>576.79999999999995</v>
      </c>
    </row>
    <row r="1038" spans="1:20">
      <c r="A1038" s="2" t="s">
        <v>1767</v>
      </c>
      <c r="B1038" s="3">
        <v>46246</v>
      </c>
      <c r="C1038" s="2" t="s">
        <v>120</v>
      </c>
      <c r="D1038" s="2" t="s">
        <v>71</v>
      </c>
      <c r="E1038" s="2" t="s">
        <v>15</v>
      </c>
      <c r="F1038" s="2" t="s">
        <v>3</v>
      </c>
      <c r="G1038" s="4">
        <v>20500</v>
      </c>
      <c r="H1038" s="5">
        <v>6.5199999999999994E-2</v>
      </c>
      <c r="I1038" s="2">
        <v>36</v>
      </c>
      <c r="J1038" s="2" t="s">
        <v>94</v>
      </c>
      <c r="K1038" s="2" t="s">
        <v>45</v>
      </c>
      <c r="L1038" s="3">
        <v>46254</v>
      </c>
      <c r="M1038" s="2" t="str">
        <f>_xlfn.XLOOKUP(Deals[[#This Row],[CustomerID]],Customers!A:A,Customers!F:F)</f>
        <v>Mass</v>
      </c>
      <c r="N1038" s="2" t="str">
        <f>_xlfn.XLOOKUP(Deals[[#This Row],[CustomerID]],Customers!A:A,Customers!E:E)</f>
        <v>Kuwaiti</v>
      </c>
      <c r="O1038" s="2">
        <f>2026-_xlfn.XLOOKUP(Deals[[#This Row],[CustomerID]],Customers!A:A,Customers!D:D)</f>
        <v>31</v>
      </c>
      <c r="P1038" s="2" t="str" cm="1">
        <f t="array" ref="P1038">_xlfn.IFS(Deals[[#This Row],[Age]]&lt;30,"Under 30",Deals[[#This Row],[Age]]&lt;45,"30-44",TRUE,"45+")</f>
        <v>30-44</v>
      </c>
      <c r="Q1038" s="21">
        <f>IF(Deals[[#This Row],[Status]]="Pending","",Deals[[#This Row],[DecisionDate]]-Deals[[#This Row],[ApplicationDate]])</f>
        <v>8</v>
      </c>
      <c r="R1038" s="21">
        <f>IF(Deals[[#This Row],[Status]]="Approved",1,0)</f>
        <v>0</v>
      </c>
      <c r="S1038" s="21">
        <f>IF(Deals[[#This Row],[IsApproved]]=1,Deals[[#This Row],[Amount]],0)</f>
        <v>0</v>
      </c>
      <c r="T1038" s="21">
        <f>Deals[[#This Row],[ApprovedAmount]]*Deals[[#This Row],[ProfitRate]]</f>
        <v>0</v>
      </c>
    </row>
    <row r="1039" spans="1:20">
      <c r="A1039" s="2" t="s">
        <v>1768</v>
      </c>
      <c r="B1039" s="3">
        <v>46246</v>
      </c>
      <c r="C1039" s="2" t="s">
        <v>709</v>
      </c>
      <c r="D1039" s="2" t="s">
        <v>29</v>
      </c>
      <c r="E1039" s="2" t="s">
        <v>30</v>
      </c>
      <c r="F1039" s="2" t="s">
        <v>3</v>
      </c>
      <c r="G1039" s="4">
        <v>7000</v>
      </c>
      <c r="H1039" s="5">
        <v>4.6600000000000003E-2</v>
      </c>
      <c r="I1039" s="2">
        <v>36</v>
      </c>
      <c r="J1039" s="2" t="s">
        <v>123</v>
      </c>
      <c r="K1039" s="2" t="s">
        <v>45</v>
      </c>
      <c r="L1039" s="3">
        <v>46250</v>
      </c>
      <c r="M1039" s="2" t="str">
        <f>_xlfn.XLOOKUP(Deals[[#This Row],[CustomerID]],Customers!A:A,Customers!F:F)</f>
        <v>Mass</v>
      </c>
      <c r="N1039" s="2" t="str">
        <f>_xlfn.XLOOKUP(Deals[[#This Row],[CustomerID]],Customers!A:A,Customers!E:E)</f>
        <v>Non-Kuwaiti</v>
      </c>
      <c r="O1039" s="2">
        <f>2026-_xlfn.XLOOKUP(Deals[[#This Row],[CustomerID]],Customers!A:A,Customers!D:D)</f>
        <v>49</v>
      </c>
      <c r="P1039" s="2" t="str" cm="1">
        <f t="array" ref="P1039">_xlfn.IFS(Deals[[#This Row],[Age]]&lt;30,"Under 30",Deals[[#This Row],[Age]]&lt;45,"30-44",TRUE,"45+")</f>
        <v>45+</v>
      </c>
      <c r="Q1039" s="21">
        <f>IF(Deals[[#This Row],[Status]]="Pending","",Deals[[#This Row],[DecisionDate]]-Deals[[#This Row],[ApplicationDate]])</f>
        <v>4</v>
      </c>
      <c r="R1039" s="21">
        <f>IF(Deals[[#This Row],[Status]]="Approved",1,0)</f>
        <v>0</v>
      </c>
      <c r="S1039" s="21">
        <f>IF(Deals[[#This Row],[IsApproved]]=1,Deals[[#This Row],[Amount]],0)</f>
        <v>0</v>
      </c>
      <c r="T1039" s="21">
        <f>Deals[[#This Row],[ApprovedAmount]]*Deals[[#This Row],[ProfitRate]]</f>
        <v>0</v>
      </c>
    </row>
    <row r="1040" spans="1:20">
      <c r="A1040" s="2" t="s">
        <v>1769</v>
      </c>
      <c r="B1040" s="3">
        <v>46246</v>
      </c>
      <c r="C1040" s="2" t="s">
        <v>1715</v>
      </c>
      <c r="D1040" s="2" t="s">
        <v>29</v>
      </c>
      <c r="E1040" s="2" t="s">
        <v>43</v>
      </c>
      <c r="F1040" s="2" t="s">
        <v>55</v>
      </c>
      <c r="G1040" s="4">
        <v>104800</v>
      </c>
      <c r="H1040" s="5">
        <v>6.7900000000000002E-2</v>
      </c>
      <c r="I1040" s="2">
        <v>24</v>
      </c>
      <c r="J1040" s="2" t="s">
        <v>61</v>
      </c>
      <c r="K1040" s="2" t="s">
        <v>45</v>
      </c>
      <c r="L1040" s="3">
        <v>46263</v>
      </c>
      <c r="M1040" s="2" t="str">
        <f>_xlfn.XLOOKUP(Deals[[#This Row],[CustomerID]],Customers!A:A,Customers!F:F)</f>
        <v>Mass</v>
      </c>
      <c r="N1040" s="2" t="str">
        <f>_xlfn.XLOOKUP(Deals[[#This Row],[CustomerID]],Customers!A:A,Customers!E:E)</f>
        <v>Non-Kuwaiti</v>
      </c>
      <c r="O1040" s="2">
        <f>2026-_xlfn.XLOOKUP(Deals[[#This Row],[CustomerID]],Customers!A:A,Customers!D:D)</f>
        <v>68</v>
      </c>
      <c r="P1040" s="2" t="str" cm="1">
        <f t="array" ref="P1040">_xlfn.IFS(Deals[[#This Row],[Age]]&lt;30,"Under 30",Deals[[#This Row],[Age]]&lt;45,"30-44",TRUE,"45+")</f>
        <v>45+</v>
      </c>
      <c r="Q1040" s="21">
        <f>IF(Deals[[#This Row],[Status]]="Pending","",Deals[[#This Row],[DecisionDate]]-Deals[[#This Row],[ApplicationDate]])</f>
        <v>17</v>
      </c>
      <c r="R1040" s="21">
        <f>IF(Deals[[#This Row],[Status]]="Approved",1,0)</f>
        <v>0</v>
      </c>
      <c r="S1040" s="21">
        <f>IF(Deals[[#This Row],[IsApproved]]=1,Deals[[#This Row],[Amount]],0)</f>
        <v>0</v>
      </c>
      <c r="T1040" s="21">
        <f>Deals[[#This Row],[ApprovedAmount]]*Deals[[#This Row],[ProfitRate]]</f>
        <v>0</v>
      </c>
    </row>
    <row r="1041" spans="1:20">
      <c r="A1041" s="2" t="s">
        <v>1770</v>
      </c>
      <c r="B1041" s="3">
        <v>46246</v>
      </c>
      <c r="C1041" s="2" t="s">
        <v>1771</v>
      </c>
      <c r="D1041" s="2" t="s">
        <v>25</v>
      </c>
      <c r="E1041" s="2" t="s">
        <v>43</v>
      </c>
      <c r="F1041" s="2" t="s">
        <v>31</v>
      </c>
      <c r="G1041" s="4">
        <v>20700</v>
      </c>
      <c r="H1041" s="5">
        <v>0.06</v>
      </c>
      <c r="I1041" s="2">
        <v>60</v>
      </c>
      <c r="J1041" s="2" t="s">
        <v>26</v>
      </c>
      <c r="K1041" s="2" t="s">
        <v>45</v>
      </c>
      <c r="L1041" s="3">
        <v>46264</v>
      </c>
      <c r="M1041" s="2" t="str">
        <f>_xlfn.XLOOKUP(Deals[[#This Row],[CustomerID]],Customers!A:A,Customers!F:F)</f>
        <v>Mass</v>
      </c>
      <c r="N1041" s="2" t="str">
        <f>_xlfn.XLOOKUP(Deals[[#This Row],[CustomerID]],Customers!A:A,Customers!E:E)</f>
        <v>Kuwaiti</v>
      </c>
      <c r="O1041" s="2">
        <f>2026-_xlfn.XLOOKUP(Deals[[#This Row],[CustomerID]],Customers!A:A,Customers!D:D)</f>
        <v>33</v>
      </c>
      <c r="P1041" s="2" t="str" cm="1">
        <f t="array" ref="P1041">_xlfn.IFS(Deals[[#This Row],[Age]]&lt;30,"Under 30",Deals[[#This Row],[Age]]&lt;45,"30-44",TRUE,"45+")</f>
        <v>30-44</v>
      </c>
      <c r="Q1041" s="21">
        <f>IF(Deals[[#This Row],[Status]]="Pending","",Deals[[#This Row],[DecisionDate]]-Deals[[#This Row],[ApplicationDate]])</f>
        <v>18</v>
      </c>
      <c r="R1041" s="21">
        <f>IF(Deals[[#This Row],[Status]]="Approved",1,0)</f>
        <v>0</v>
      </c>
      <c r="S1041" s="21">
        <f>IF(Deals[[#This Row],[IsApproved]]=1,Deals[[#This Row],[Amount]],0)</f>
        <v>0</v>
      </c>
      <c r="T1041" s="21">
        <f>Deals[[#This Row],[ApprovedAmount]]*Deals[[#This Row],[ProfitRate]]</f>
        <v>0</v>
      </c>
    </row>
    <row r="1042" spans="1:20">
      <c r="A1042" s="2" t="s">
        <v>1772</v>
      </c>
      <c r="B1042" s="3">
        <v>46246</v>
      </c>
      <c r="C1042" s="2" t="s">
        <v>1773</v>
      </c>
      <c r="D1042" s="2" t="s">
        <v>25</v>
      </c>
      <c r="E1042" s="2" t="s">
        <v>43</v>
      </c>
      <c r="F1042" s="2" t="s">
        <v>31</v>
      </c>
      <c r="G1042" s="4">
        <v>156700</v>
      </c>
      <c r="H1042" s="5">
        <v>5.9400000000000001E-2</v>
      </c>
      <c r="I1042" s="2">
        <v>24</v>
      </c>
      <c r="J1042" s="2" t="s">
        <v>181</v>
      </c>
      <c r="K1042" s="2" t="s">
        <v>17</v>
      </c>
      <c r="L1042" s="3">
        <v>46258</v>
      </c>
      <c r="M1042" s="2" t="str">
        <f>_xlfn.XLOOKUP(Deals[[#This Row],[CustomerID]],Customers!A:A,Customers!F:F)</f>
        <v>Affluent</v>
      </c>
      <c r="N1042" s="2" t="str">
        <f>_xlfn.XLOOKUP(Deals[[#This Row],[CustomerID]],Customers!A:A,Customers!E:E)</f>
        <v>Non-Kuwaiti</v>
      </c>
      <c r="O1042" s="2">
        <f>2026-_xlfn.XLOOKUP(Deals[[#This Row],[CustomerID]],Customers!A:A,Customers!D:D)</f>
        <v>32</v>
      </c>
      <c r="P1042" s="2" t="str" cm="1">
        <f t="array" ref="P1042">_xlfn.IFS(Deals[[#This Row],[Age]]&lt;30,"Under 30",Deals[[#This Row],[Age]]&lt;45,"30-44",TRUE,"45+")</f>
        <v>30-44</v>
      </c>
      <c r="Q1042" s="21">
        <f>IF(Deals[[#This Row],[Status]]="Pending","",Deals[[#This Row],[DecisionDate]]-Deals[[#This Row],[ApplicationDate]])</f>
        <v>12</v>
      </c>
      <c r="R1042" s="21">
        <f>IF(Deals[[#This Row],[Status]]="Approved",1,0)</f>
        <v>1</v>
      </c>
      <c r="S1042" s="21">
        <f>IF(Deals[[#This Row],[IsApproved]]=1,Deals[[#This Row],[Amount]],0)</f>
        <v>156700</v>
      </c>
      <c r="T1042" s="21">
        <f>Deals[[#This Row],[ApprovedAmount]]*Deals[[#This Row],[ProfitRate]]</f>
        <v>9307.98</v>
      </c>
    </row>
    <row r="1043" spans="1:20">
      <c r="A1043" s="2" t="s">
        <v>1774</v>
      </c>
      <c r="B1043" s="3">
        <v>46246</v>
      </c>
      <c r="C1043" s="2" t="s">
        <v>1775</v>
      </c>
      <c r="D1043" s="2" t="s">
        <v>25</v>
      </c>
      <c r="E1043" s="2" t="s">
        <v>15</v>
      </c>
      <c r="F1043" s="2" t="s">
        <v>31</v>
      </c>
      <c r="G1043" s="4">
        <v>13300</v>
      </c>
      <c r="H1043" s="5">
        <v>6.9000000000000006E-2</v>
      </c>
      <c r="I1043" s="2">
        <v>48</v>
      </c>
      <c r="J1043" s="2" t="s">
        <v>26</v>
      </c>
      <c r="K1043" s="2" t="s">
        <v>17</v>
      </c>
      <c r="L1043" s="3">
        <v>46251</v>
      </c>
      <c r="M1043" s="2" t="str">
        <f>_xlfn.XLOOKUP(Deals[[#This Row],[CustomerID]],Customers!A:A,Customers!F:F)</f>
        <v>Mass</v>
      </c>
      <c r="N1043" s="2" t="str">
        <f>_xlfn.XLOOKUP(Deals[[#This Row],[CustomerID]],Customers!A:A,Customers!E:E)</f>
        <v>Kuwaiti</v>
      </c>
      <c r="O1043" s="2">
        <f>2026-_xlfn.XLOOKUP(Deals[[#This Row],[CustomerID]],Customers!A:A,Customers!D:D)</f>
        <v>32</v>
      </c>
      <c r="P1043" s="2" t="str" cm="1">
        <f t="array" ref="P1043">_xlfn.IFS(Deals[[#This Row],[Age]]&lt;30,"Under 30",Deals[[#This Row],[Age]]&lt;45,"30-44",TRUE,"45+")</f>
        <v>30-44</v>
      </c>
      <c r="Q1043" s="21">
        <f>IF(Deals[[#This Row],[Status]]="Pending","",Deals[[#This Row],[DecisionDate]]-Deals[[#This Row],[ApplicationDate]])</f>
        <v>5</v>
      </c>
      <c r="R1043" s="21">
        <f>IF(Deals[[#This Row],[Status]]="Approved",1,0)</f>
        <v>1</v>
      </c>
      <c r="S1043" s="21">
        <f>IF(Deals[[#This Row],[IsApproved]]=1,Deals[[#This Row],[Amount]],0)</f>
        <v>13300</v>
      </c>
      <c r="T1043" s="21">
        <f>Deals[[#This Row],[ApprovedAmount]]*Deals[[#This Row],[ProfitRate]]</f>
        <v>917.7</v>
      </c>
    </row>
    <row r="1044" spans="1:20">
      <c r="A1044" s="2" t="s">
        <v>1776</v>
      </c>
      <c r="B1044" s="3">
        <v>46247</v>
      </c>
      <c r="C1044" s="2" t="s">
        <v>495</v>
      </c>
      <c r="D1044" s="2" t="s">
        <v>25</v>
      </c>
      <c r="E1044" s="2" t="s">
        <v>30</v>
      </c>
      <c r="F1044" s="2" t="s">
        <v>31</v>
      </c>
      <c r="G1044" s="4">
        <v>14300</v>
      </c>
      <c r="H1044" s="5">
        <v>4.2700000000000002E-2</v>
      </c>
      <c r="I1044" s="2">
        <v>48</v>
      </c>
      <c r="J1044" s="2" t="s">
        <v>66</v>
      </c>
      <c r="K1044" s="2" t="s">
        <v>17</v>
      </c>
      <c r="L1044" s="3">
        <v>46248</v>
      </c>
      <c r="M1044" s="2" t="str">
        <f>_xlfn.XLOOKUP(Deals[[#This Row],[CustomerID]],Customers!A:A,Customers!F:F)</f>
        <v>Affluent</v>
      </c>
      <c r="N1044" s="2" t="str">
        <f>_xlfn.XLOOKUP(Deals[[#This Row],[CustomerID]],Customers!A:A,Customers!E:E)</f>
        <v>Kuwaiti</v>
      </c>
      <c r="O1044" s="2">
        <f>2026-_xlfn.XLOOKUP(Deals[[#This Row],[CustomerID]],Customers!A:A,Customers!D:D)</f>
        <v>31</v>
      </c>
      <c r="P1044" s="2" t="str" cm="1">
        <f t="array" ref="P1044">_xlfn.IFS(Deals[[#This Row],[Age]]&lt;30,"Under 30",Deals[[#This Row],[Age]]&lt;45,"30-44",TRUE,"45+")</f>
        <v>30-44</v>
      </c>
      <c r="Q1044" s="21">
        <f>IF(Deals[[#This Row],[Status]]="Pending","",Deals[[#This Row],[DecisionDate]]-Deals[[#This Row],[ApplicationDate]])</f>
        <v>1</v>
      </c>
      <c r="R1044" s="21">
        <f>IF(Deals[[#This Row],[Status]]="Approved",1,0)</f>
        <v>1</v>
      </c>
      <c r="S1044" s="21">
        <f>IF(Deals[[#This Row],[IsApproved]]=1,Deals[[#This Row],[Amount]],0)</f>
        <v>14300</v>
      </c>
      <c r="T1044" s="21">
        <f>Deals[[#This Row],[ApprovedAmount]]*Deals[[#This Row],[ProfitRate]]</f>
        <v>610.61</v>
      </c>
    </row>
    <row r="1045" spans="1:20">
      <c r="A1045" s="2" t="s">
        <v>1777</v>
      </c>
      <c r="B1045" s="3">
        <v>46247</v>
      </c>
      <c r="C1045" s="2" t="s">
        <v>1778</v>
      </c>
      <c r="D1045" s="2" t="s">
        <v>20</v>
      </c>
      <c r="E1045" s="2" t="s">
        <v>30</v>
      </c>
      <c r="F1045" s="2" t="s">
        <v>55</v>
      </c>
      <c r="G1045" s="4">
        <v>4200</v>
      </c>
      <c r="H1045" s="5">
        <v>4.2000000000000003E-2</v>
      </c>
      <c r="I1045" s="2">
        <v>48</v>
      </c>
      <c r="J1045" s="2" t="s">
        <v>22</v>
      </c>
      <c r="K1045" s="2" t="s">
        <v>17</v>
      </c>
      <c r="L1045" s="3">
        <v>46248</v>
      </c>
      <c r="M1045" s="2" t="str">
        <f>_xlfn.XLOOKUP(Deals[[#This Row],[CustomerID]],Customers!A:A,Customers!F:F)</f>
        <v>Mass</v>
      </c>
      <c r="N1045" s="2" t="str">
        <f>_xlfn.XLOOKUP(Deals[[#This Row],[CustomerID]],Customers!A:A,Customers!E:E)</f>
        <v>Non-Kuwaiti</v>
      </c>
      <c r="O1045" s="2">
        <f>2026-_xlfn.XLOOKUP(Deals[[#This Row],[CustomerID]],Customers!A:A,Customers!D:D)</f>
        <v>65</v>
      </c>
      <c r="P1045" s="2" t="str" cm="1">
        <f t="array" ref="P1045">_xlfn.IFS(Deals[[#This Row],[Age]]&lt;30,"Under 30",Deals[[#This Row],[Age]]&lt;45,"30-44",TRUE,"45+")</f>
        <v>45+</v>
      </c>
      <c r="Q1045" s="21">
        <f>IF(Deals[[#This Row],[Status]]="Pending","",Deals[[#This Row],[DecisionDate]]-Deals[[#This Row],[ApplicationDate]])</f>
        <v>1</v>
      </c>
      <c r="R1045" s="21">
        <f>IF(Deals[[#This Row],[Status]]="Approved",1,0)</f>
        <v>1</v>
      </c>
      <c r="S1045" s="21">
        <f>IF(Deals[[#This Row],[IsApproved]]=1,Deals[[#This Row],[Amount]],0)</f>
        <v>4200</v>
      </c>
      <c r="T1045" s="21">
        <f>Deals[[#This Row],[ApprovedAmount]]*Deals[[#This Row],[ProfitRate]]</f>
        <v>176.4</v>
      </c>
    </row>
    <row r="1046" spans="1:20">
      <c r="A1046" s="2" t="s">
        <v>1780</v>
      </c>
      <c r="B1046" s="3">
        <v>46248</v>
      </c>
      <c r="C1046" s="2" t="s">
        <v>195</v>
      </c>
      <c r="D1046" s="2" t="s">
        <v>54</v>
      </c>
      <c r="E1046" s="2" t="s">
        <v>15</v>
      </c>
      <c r="F1046" s="2" t="s">
        <v>3</v>
      </c>
      <c r="G1046" s="4">
        <v>24900</v>
      </c>
      <c r="H1046" s="5">
        <v>5.1400000000000001E-2</v>
      </c>
      <c r="I1046" s="2">
        <v>36</v>
      </c>
      <c r="J1046" s="2" t="s">
        <v>56</v>
      </c>
      <c r="K1046" s="2" t="s">
        <v>17</v>
      </c>
      <c r="L1046" s="3">
        <v>46249</v>
      </c>
      <c r="M1046" s="2" t="str">
        <f>_xlfn.XLOOKUP(Deals[[#This Row],[CustomerID]],Customers!A:A,Customers!F:F)</f>
        <v>Affluent</v>
      </c>
      <c r="N1046" s="2" t="str">
        <f>_xlfn.XLOOKUP(Deals[[#This Row],[CustomerID]],Customers!A:A,Customers!E:E)</f>
        <v>Kuwaiti</v>
      </c>
      <c r="O1046" s="2">
        <f>2026-_xlfn.XLOOKUP(Deals[[#This Row],[CustomerID]],Customers!A:A,Customers!D:D)</f>
        <v>32</v>
      </c>
      <c r="P1046" s="2" t="str" cm="1">
        <f t="array" ref="P1046">_xlfn.IFS(Deals[[#This Row],[Age]]&lt;30,"Under 30",Deals[[#This Row],[Age]]&lt;45,"30-44",TRUE,"45+")</f>
        <v>30-44</v>
      </c>
      <c r="Q1046" s="21">
        <f>IF(Deals[[#This Row],[Status]]="Pending","",Deals[[#This Row],[DecisionDate]]-Deals[[#This Row],[ApplicationDate]])</f>
        <v>1</v>
      </c>
      <c r="R1046" s="21">
        <f>IF(Deals[[#This Row],[Status]]="Approved",1,0)</f>
        <v>1</v>
      </c>
      <c r="S1046" s="21">
        <f>IF(Deals[[#This Row],[IsApproved]]=1,Deals[[#This Row],[Amount]],0)</f>
        <v>24900</v>
      </c>
      <c r="T1046" s="21">
        <f>Deals[[#This Row],[ApprovedAmount]]*Deals[[#This Row],[ProfitRate]]</f>
        <v>1279.8600000000001</v>
      </c>
    </row>
    <row r="1047" spans="1:20">
      <c r="A1047" s="2" t="s">
        <v>1781</v>
      </c>
      <c r="B1047" s="3">
        <v>46248</v>
      </c>
      <c r="C1047" s="2" t="s">
        <v>579</v>
      </c>
      <c r="D1047" s="2" t="s">
        <v>71</v>
      </c>
      <c r="E1047" s="2" t="s">
        <v>15</v>
      </c>
      <c r="F1047" s="2" t="s">
        <v>31</v>
      </c>
      <c r="G1047" s="4">
        <v>25000</v>
      </c>
      <c r="H1047" s="5">
        <v>6.3E-2</v>
      </c>
      <c r="I1047" s="2">
        <v>48</v>
      </c>
      <c r="J1047" s="2" t="s">
        <v>94</v>
      </c>
      <c r="K1047" s="2" t="s">
        <v>17</v>
      </c>
      <c r="L1047" s="3">
        <v>46254</v>
      </c>
      <c r="M1047" s="2" t="str">
        <f>_xlfn.XLOOKUP(Deals[[#This Row],[CustomerID]],Customers!A:A,Customers!F:F)</f>
        <v>Premium</v>
      </c>
      <c r="N1047" s="2" t="str">
        <f>_xlfn.XLOOKUP(Deals[[#This Row],[CustomerID]],Customers!A:A,Customers!E:E)</f>
        <v>Kuwaiti</v>
      </c>
      <c r="O1047" s="2">
        <f>2026-_xlfn.XLOOKUP(Deals[[#This Row],[CustomerID]],Customers!A:A,Customers!D:D)</f>
        <v>29</v>
      </c>
      <c r="P1047" s="2" t="str" cm="1">
        <f t="array" ref="P1047">_xlfn.IFS(Deals[[#This Row],[Age]]&lt;30,"Under 30",Deals[[#This Row],[Age]]&lt;45,"30-44",TRUE,"45+")</f>
        <v>Under 30</v>
      </c>
      <c r="Q1047" s="21">
        <f>IF(Deals[[#This Row],[Status]]="Pending","",Deals[[#This Row],[DecisionDate]]-Deals[[#This Row],[ApplicationDate]])</f>
        <v>6</v>
      </c>
      <c r="R1047" s="21">
        <f>IF(Deals[[#This Row],[Status]]="Approved",1,0)</f>
        <v>1</v>
      </c>
      <c r="S1047" s="21">
        <f>IF(Deals[[#This Row],[IsApproved]]=1,Deals[[#This Row],[Amount]],0)</f>
        <v>25000</v>
      </c>
      <c r="T1047" s="21">
        <f>Deals[[#This Row],[ApprovedAmount]]*Deals[[#This Row],[ProfitRate]]</f>
        <v>1575</v>
      </c>
    </row>
    <row r="1048" spans="1:20">
      <c r="A1048" s="2" t="s">
        <v>1782</v>
      </c>
      <c r="B1048" s="3">
        <v>46248</v>
      </c>
      <c r="C1048" s="2" t="s">
        <v>1783</v>
      </c>
      <c r="D1048" s="2" t="s">
        <v>29</v>
      </c>
      <c r="E1048" s="2" t="s">
        <v>15</v>
      </c>
      <c r="F1048" s="2" t="s">
        <v>55</v>
      </c>
      <c r="G1048" s="4">
        <v>3700</v>
      </c>
      <c r="H1048" s="5">
        <v>6.4799999999999996E-2</v>
      </c>
      <c r="I1048" s="2">
        <v>36</v>
      </c>
      <c r="J1048" s="2" t="s">
        <v>123</v>
      </c>
      <c r="K1048" s="2" t="s">
        <v>17</v>
      </c>
      <c r="L1048" s="3">
        <v>46250</v>
      </c>
      <c r="M1048" s="2" t="str">
        <f>_xlfn.XLOOKUP(Deals[[#This Row],[CustomerID]],Customers!A:A,Customers!F:F)</f>
        <v>Mass</v>
      </c>
      <c r="N1048" s="2" t="str">
        <f>_xlfn.XLOOKUP(Deals[[#This Row],[CustomerID]],Customers!A:A,Customers!E:E)</f>
        <v>Non-Kuwaiti</v>
      </c>
      <c r="O1048" s="2">
        <f>2026-_xlfn.XLOOKUP(Deals[[#This Row],[CustomerID]],Customers!A:A,Customers!D:D)</f>
        <v>40</v>
      </c>
      <c r="P1048" s="2" t="str" cm="1">
        <f t="array" ref="P1048">_xlfn.IFS(Deals[[#This Row],[Age]]&lt;30,"Under 30",Deals[[#This Row],[Age]]&lt;45,"30-44",TRUE,"45+")</f>
        <v>30-44</v>
      </c>
      <c r="Q1048" s="21">
        <f>IF(Deals[[#This Row],[Status]]="Pending","",Deals[[#This Row],[DecisionDate]]-Deals[[#This Row],[ApplicationDate]])</f>
        <v>2</v>
      </c>
      <c r="R1048" s="21">
        <f>IF(Deals[[#This Row],[Status]]="Approved",1,0)</f>
        <v>1</v>
      </c>
      <c r="S1048" s="21">
        <f>IF(Deals[[#This Row],[IsApproved]]=1,Deals[[#This Row],[Amount]],0)</f>
        <v>3700</v>
      </c>
      <c r="T1048" s="21">
        <f>Deals[[#This Row],[ApprovedAmount]]*Deals[[#This Row],[ProfitRate]]</f>
        <v>239.76</v>
      </c>
    </row>
    <row r="1049" spans="1:20">
      <c r="A1049" s="2" t="s">
        <v>1784</v>
      </c>
      <c r="B1049" s="3">
        <v>46248</v>
      </c>
      <c r="C1049" s="2" t="s">
        <v>1106</v>
      </c>
      <c r="D1049" s="2" t="s">
        <v>14</v>
      </c>
      <c r="E1049" s="2" t="s">
        <v>15</v>
      </c>
      <c r="F1049" s="2" t="s">
        <v>3</v>
      </c>
      <c r="G1049" s="4">
        <v>3800</v>
      </c>
      <c r="H1049" s="5">
        <v>5.5599999999999997E-2</v>
      </c>
      <c r="I1049" s="2">
        <v>48</v>
      </c>
      <c r="J1049" s="2" t="s">
        <v>48</v>
      </c>
      <c r="K1049" s="2" t="s">
        <v>17</v>
      </c>
      <c r="L1049" s="3">
        <v>46251</v>
      </c>
      <c r="M1049" s="2" t="str">
        <f>_xlfn.XLOOKUP(Deals[[#This Row],[CustomerID]],Customers!A:A,Customers!F:F)</f>
        <v>Affluent</v>
      </c>
      <c r="N1049" s="2" t="str">
        <f>_xlfn.XLOOKUP(Deals[[#This Row],[CustomerID]],Customers!A:A,Customers!E:E)</f>
        <v>Kuwaiti</v>
      </c>
      <c r="O1049" s="2">
        <f>2026-_xlfn.XLOOKUP(Deals[[#This Row],[CustomerID]],Customers!A:A,Customers!D:D)</f>
        <v>28</v>
      </c>
      <c r="P1049" s="2" t="str" cm="1">
        <f t="array" ref="P1049">_xlfn.IFS(Deals[[#This Row],[Age]]&lt;30,"Under 30",Deals[[#This Row],[Age]]&lt;45,"30-44",TRUE,"45+")</f>
        <v>Under 30</v>
      </c>
      <c r="Q1049" s="21">
        <f>IF(Deals[[#This Row],[Status]]="Pending","",Deals[[#This Row],[DecisionDate]]-Deals[[#This Row],[ApplicationDate]])</f>
        <v>3</v>
      </c>
      <c r="R1049" s="21">
        <f>IF(Deals[[#This Row],[Status]]="Approved",1,0)</f>
        <v>1</v>
      </c>
      <c r="S1049" s="21">
        <f>IF(Deals[[#This Row],[IsApproved]]=1,Deals[[#This Row],[Amount]],0)</f>
        <v>3800</v>
      </c>
      <c r="T1049" s="21">
        <f>Deals[[#This Row],[ApprovedAmount]]*Deals[[#This Row],[ProfitRate]]</f>
        <v>211.28</v>
      </c>
    </row>
    <row r="1050" spans="1:20">
      <c r="A1050" s="2" t="s">
        <v>1785</v>
      </c>
      <c r="B1050" s="3">
        <v>46249</v>
      </c>
      <c r="C1050" s="2" t="s">
        <v>307</v>
      </c>
      <c r="D1050" s="2" t="s">
        <v>71</v>
      </c>
      <c r="E1050" s="2" t="s">
        <v>30</v>
      </c>
      <c r="F1050" s="2" t="s">
        <v>3</v>
      </c>
      <c r="G1050" s="4">
        <v>9400</v>
      </c>
      <c r="H1050" s="5">
        <v>4.3999999999999997E-2</v>
      </c>
      <c r="I1050" s="2">
        <v>36</v>
      </c>
      <c r="J1050" s="2" t="s">
        <v>101</v>
      </c>
      <c r="K1050" s="2" t="s">
        <v>17</v>
      </c>
      <c r="L1050" s="3">
        <v>46256</v>
      </c>
      <c r="M1050" s="2" t="str">
        <f>_xlfn.XLOOKUP(Deals[[#This Row],[CustomerID]],Customers!A:A,Customers!F:F)</f>
        <v>Mass</v>
      </c>
      <c r="N1050" s="2" t="str">
        <f>_xlfn.XLOOKUP(Deals[[#This Row],[CustomerID]],Customers!A:A,Customers!E:E)</f>
        <v>Non-Kuwaiti</v>
      </c>
      <c r="O1050" s="2">
        <f>2026-_xlfn.XLOOKUP(Deals[[#This Row],[CustomerID]],Customers!A:A,Customers!D:D)</f>
        <v>64</v>
      </c>
      <c r="P1050" s="2" t="str" cm="1">
        <f t="array" ref="P1050">_xlfn.IFS(Deals[[#This Row],[Age]]&lt;30,"Under 30",Deals[[#This Row],[Age]]&lt;45,"30-44",TRUE,"45+")</f>
        <v>45+</v>
      </c>
      <c r="Q1050" s="21">
        <f>IF(Deals[[#This Row],[Status]]="Pending","",Deals[[#This Row],[DecisionDate]]-Deals[[#This Row],[ApplicationDate]])</f>
        <v>7</v>
      </c>
      <c r="R1050" s="21">
        <f>IF(Deals[[#This Row],[Status]]="Approved",1,0)</f>
        <v>1</v>
      </c>
      <c r="S1050" s="21">
        <f>IF(Deals[[#This Row],[IsApproved]]=1,Deals[[#This Row],[Amount]],0)</f>
        <v>9400</v>
      </c>
      <c r="T1050" s="21">
        <f>Deals[[#This Row],[ApprovedAmount]]*Deals[[#This Row],[ProfitRate]]</f>
        <v>413.59999999999997</v>
      </c>
    </row>
    <row r="1051" spans="1:20">
      <c r="A1051" s="2" t="s">
        <v>1786</v>
      </c>
      <c r="B1051" s="3">
        <v>46249</v>
      </c>
      <c r="C1051" s="2" t="s">
        <v>1488</v>
      </c>
      <c r="D1051" s="2" t="s">
        <v>20</v>
      </c>
      <c r="E1051" s="2" t="s">
        <v>21</v>
      </c>
      <c r="F1051" s="2" t="s">
        <v>3</v>
      </c>
      <c r="G1051" s="4">
        <v>126000</v>
      </c>
      <c r="H1051" s="5">
        <v>4.0099999999999997E-2</v>
      </c>
      <c r="I1051" s="2">
        <v>240</v>
      </c>
      <c r="J1051" s="2" t="s">
        <v>22</v>
      </c>
      <c r="K1051" s="2" t="s">
        <v>45</v>
      </c>
      <c r="L1051" s="3">
        <v>46268</v>
      </c>
      <c r="M1051" s="2" t="str">
        <f>_xlfn.XLOOKUP(Deals[[#This Row],[CustomerID]],Customers!A:A,Customers!F:F)</f>
        <v>Mass</v>
      </c>
      <c r="N1051" s="2" t="str">
        <f>_xlfn.XLOOKUP(Deals[[#This Row],[CustomerID]],Customers!A:A,Customers!E:E)</f>
        <v>Non-Kuwaiti</v>
      </c>
      <c r="O1051" s="2">
        <f>2026-_xlfn.XLOOKUP(Deals[[#This Row],[CustomerID]],Customers!A:A,Customers!D:D)</f>
        <v>49</v>
      </c>
      <c r="P1051" s="2" t="str" cm="1">
        <f t="array" ref="P1051">_xlfn.IFS(Deals[[#This Row],[Age]]&lt;30,"Under 30",Deals[[#This Row],[Age]]&lt;45,"30-44",TRUE,"45+")</f>
        <v>45+</v>
      </c>
      <c r="Q1051" s="21">
        <f>IF(Deals[[#This Row],[Status]]="Pending","",Deals[[#This Row],[DecisionDate]]-Deals[[#This Row],[ApplicationDate]])</f>
        <v>19</v>
      </c>
      <c r="R1051" s="21">
        <f>IF(Deals[[#This Row],[Status]]="Approved",1,0)</f>
        <v>0</v>
      </c>
      <c r="S1051" s="21">
        <f>IF(Deals[[#This Row],[IsApproved]]=1,Deals[[#This Row],[Amount]],0)</f>
        <v>0</v>
      </c>
      <c r="T1051" s="21">
        <f>Deals[[#This Row],[ApprovedAmount]]*Deals[[#This Row],[ProfitRate]]</f>
        <v>0</v>
      </c>
    </row>
    <row r="1052" spans="1:20">
      <c r="A1052" s="2" t="s">
        <v>1787</v>
      </c>
      <c r="B1052" s="3">
        <v>46249</v>
      </c>
      <c r="C1052" s="2" t="s">
        <v>1788</v>
      </c>
      <c r="D1052" s="2" t="s">
        <v>54</v>
      </c>
      <c r="E1052" s="2" t="s">
        <v>15</v>
      </c>
      <c r="F1052" s="2" t="s">
        <v>3</v>
      </c>
      <c r="G1052" s="4">
        <v>8000</v>
      </c>
      <c r="H1052" s="5">
        <v>6.1100000000000002E-2</v>
      </c>
      <c r="I1052" s="2">
        <v>36</v>
      </c>
      <c r="J1052" s="2" t="s">
        <v>186</v>
      </c>
      <c r="K1052" s="2" t="s">
        <v>45</v>
      </c>
      <c r="L1052" s="3">
        <v>46255</v>
      </c>
      <c r="M1052" s="2" t="str">
        <f>_xlfn.XLOOKUP(Deals[[#This Row],[CustomerID]],Customers!A:A,Customers!F:F)</f>
        <v>Mass</v>
      </c>
      <c r="N1052" s="2" t="str">
        <f>_xlfn.XLOOKUP(Deals[[#This Row],[CustomerID]],Customers!A:A,Customers!E:E)</f>
        <v>Kuwaiti</v>
      </c>
      <c r="O1052" s="2">
        <f>2026-_xlfn.XLOOKUP(Deals[[#This Row],[CustomerID]],Customers!A:A,Customers!D:D)</f>
        <v>54</v>
      </c>
      <c r="P1052" s="2" t="str" cm="1">
        <f t="array" ref="P1052">_xlfn.IFS(Deals[[#This Row],[Age]]&lt;30,"Under 30",Deals[[#This Row],[Age]]&lt;45,"30-44",TRUE,"45+")</f>
        <v>45+</v>
      </c>
      <c r="Q1052" s="21">
        <f>IF(Deals[[#This Row],[Status]]="Pending","",Deals[[#This Row],[DecisionDate]]-Deals[[#This Row],[ApplicationDate]])</f>
        <v>6</v>
      </c>
      <c r="R1052" s="21">
        <f>IF(Deals[[#This Row],[Status]]="Approved",1,0)</f>
        <v>0</v>
      </c>
      <c r="S1052" s="21">
        <f>IF(Deals[[#This Row],[IsApproved]]=1,Deals[[#This Row],[Amount]],0)</f>
        <v>0</v>
      </c>
      <c r="T1052" s="21">
        <f>Deals[[#This Row],[ApprovedAmount]]*Deals[[#This Row],[ProfitRate]]</f>
        <v>0</v>
      </c>
    </row>
    <row r="1053" spans="1:20">
      <c r="A1053" s="2" t="s">
        <v>1789</v>
      </c>
      <c r="B1053" s="3">
        <v>46249</v>
      </c>
      <c r="C1053" s="2" t="s">
        <v>1753</v>
      </c>
      <c r="D1053" s="2" t="s">
        <v>14</v>
      </c>
      <c r="E1053" s="2" t="s">
        <v>15</v>
      </c>
      <c r="F1053" s="2" t="s">
        <v>3</v>
      </c>
      <c r="G1053" s="4">
        <v>25000</v>
      </c>
      <c r="H1053" s="5">
        <v>5.0200000000000002E-2</v>
      </c>
      <c r="I1053" s="2">
        <v>60</v>
      </c>
      <c r="J1053" s="2" t="s">
        <v>16</v>
      </c>
      <c r="K1053" s="2" t="s">
        <v>17</v>
      </c>
      <c r="L1053" s="3">
        <v>46253</v>
      </c>
      <c r="M1053" s="2" t="str">
        <f>_xlfn.XLOOKUP(Deals[[#This Row],[CustomerID]],Customers!A:A,Customers!F:F)</f>
        <v>Premium</v>
      </c>
      <c r="N1053" s="2" t="str">
        <f>_xlfn.XLOOKUP(Deals[[#This Row],[CustomerID]],Customers!A:A,Customers!E:E)</f>
        <v>Non-Kuwaiti</v>
      </c>
      <c r="O1053" s="2">
        <f>2026-_xlfn.XLOOKUP(Deals[[#This Row],[CustomerID]],Customers!A:A,Customers!D:D)</f>
        <v>35</v>
      </c>
      <c r="P1053" s="2" t="str" cm="1">
        <f t="array" ref="P1053">_xlfn.IFS(Deals[[#This Row],[Age]]&lt;30,"Under 30",Deals[[#This Row],[Age]]&lt;45,"30-44",TRUE,"45+")</f>
        <v>30-44</v>
      </c>
      <c r="Q1053" s="21">
        <f>IF(Deals[[#This Row],[Status]]="Pending","",Deals[[#This Row],[DecisionDate]]-Deals[[#This Row],[ApplicationDate]])</f>
        <v>4</v>
      </c>
      <c r="R1053" s="21">
        <f>IF(Deals[[#This Row],[Status]]="Approved",1,0)</f>
        <v>1</v>
      </c>
      <c r="S1053" s="21">
        <f>IF(Deals[[#This Row],[IsApproved]]=1,Deals[[#This Row],[Amount]],0)</f>
        <v>25000</v>
      </c>
      <c r="T1053" s="21">
        <f>Deals[[#This Row],[ApprovedAmount]]*Deals[[#This Row],[ProfitRate]]</f>
        <v>1255</v>
      </c>
    </row>
    <row r="1054" spans="1:20">
      <c r="A1054" s="2" t="s">
        <v>1790</v>
      </c>
      <c r="B1054" s="3">
        <v>46249</v>
      </c>
      <c r="C1054" s="2" t="s">
        <v>1791</v>
      </c>
      <c r="D1054" s="2" t="s">
        <v>25</v>
      </c>
      <c r="E1054" s="2" t="s">
        <v>21</v>
      </c>
      <c r="F1054" s="2" t="s">
        <v>31</v>
      </c>
      <c r="G1054" s="4">
        <v>286800</v>
      </c>
      <c r="H1054" s="5">
        <v>3.04E-2</v>
      </c>
      <c r="I1054" s="2">
        <v>120</v>
      </c>
      <c r="J1054" s="2" t="s">
        <v>181</v>
      </c>
      <c r="K1054" s="2" t="s">
        <v>17</v>
      </c>
      <c r="L1054" s="3">
        <v>46264</v>
      </c>
      <c r="M1054" s="2" t="str">
        <f>_xlfn.XLOOKUP(Deals[[#This Row],[CustomerID]],Customers!A:A,Customers!F:F)</f>
        <v>Affluent</v>
      </c>
      <c r="N1054" s="2" t="str">
        <f>_xlfn.XLOOKUP(Deals[[#This Row],[CustomerID]],Customers!A:A,Customers!E:E)</f>
        <v>Kuwaiti</v>
      </c>
      <c r="O1054" s="2">
        <f>2026-_xlfn.XLOOKUP(Deals[[#This Row],[CustomerID]],Customers!A:A,Customers!D:D)</f>
        <v>39</v>
      </c>
      <c r="P1054" s="2" t="str" cm="1">
        <f t="array" ref="P1054">_xlfn.IFS(Deals[[#This Row],[Age]]&lt;30,"Under 30",Deals[[#This Row],[Age]]&lt;45,"30-44",TRUE,"45+")</f>
        <v>30-44</v>
      </c>
      <c r="Q1054" s="21">
        <f>IF(Deals[[#This Row],[Status]]="Pending","",Deals[[#This Row],[DecisionDate]]-Deals[[#This Row],[ApplicationDate]])</f>
        <v>15</v>
      </c>
      <c r="R1054" s="21">
        <f>IF(Deals[[#This Row],[Status]]="Approved",1,0)</f>
        <v>1</v>
      </c>
      <c r="S1054" s="21">
        <f>IF(Deals[[#This Row],[IsApproved]]=1,Deals[[#This Row],[Amount]],0)</f>
        <v>286800</v>
      </c>
      <c r="T1054" s="21">
        <f>Deals[[#This Row],[ApprovedAmount]]*Deals[[#This Row],[ProfitRate]]</f>
        <v>8718.7199999999993</v>
      </c>
    </row>
    <row r="1055" spans="1:20">
      <c r="A1055" s="2" t="s">
        <v>1793</v>
      </c>
      <c r="B1055" s="3">
        <v>46250</v>
      </c>
      <c r="C1055" s="2" t="s">
        <v>1571</v>
      </c>
      <c r="D1055" s="2" t="s">
        <v>29</v>
      </c>
      <c r="E1055" s="2" t="s">
        <v>15</v>
      </c>
      <c r="F1055" s="2" t="s">
        <v>3</v>
      </c>
      <c r="G1055" s="4">
        <v>23300</v>
      </c>
      <c r="H1055" s="5">
        <v>5.6500000000000002E-2</v>
      </c>
      <c r="I1055" s="2">
        <v>36</v>
      </c>
      <c r="J1055" s="2" t="s">
        <v>123</v>
      </c>
      <c r="K1055" s="2" t="s">
        <v>17</v>
      </c>
      <c r="L1055" s="3">
        <v>46254</v>
      </c>
      <c r="M1055" s="2" t="str">
        <f>_xlfn.XLOOKUP(Deals[[#This Row],[CustomerID]],Customers!A:A,Customers!F:F)</f>
        <v>Affluent</v>
      </c>
      <c r="N1055" s="2" t="str">
        <f>_xlfn.XLOOKUP(Deals[[#This Row],[CustomerID]],Customers!A:A,Customers!E:E)</f>
        <v>Non-Kuwaiti</v>
      </c>
      <c r="O1055" s="2">
        <f>2026-_xlfn.XLOOKUP(Deals[[#This Row],[CustomerID]],Customers!A:A,Customers!D:D)</f>
        <v>58</v>
      </c>
      <c r="P1055" s="2" t="str" cm="1">
        <f t="array" ref="P1055">_xlfn.IFS(Deals[[#This Row],[Age]]&lt;30,"Under 30",Deals[[#This Row],[Age]]&lt;45,"30-44",TRUE,"45+")</f>
        <v>45+</v>
      </c>
      <c r="Q1055" s="21">
        <f>IF(Deals[[#This Row],[Status]]="Pending","",Deals[[#This Row],[DecisionDate]]-Deals[[#This Row],[ApplicationDate]])</f>
        <v>4</v>
      </c>
      <c r="R1055" s="21">
        <f>IF(Deals[[#This Row],[Status]]="Approved",1,0)</f>
        <v>1</v>
      </c>
      <c r="S1055" s="21">
        <f>IF(Deals[[#This Row],[IsApproved]]=1,Deals[[#This Row],[Amount]],0)</f>
        <v>23300</v>
      </c>
      <c r="T1055" s="21">
        <f>Deals[[#This Row],[ApprovedAmount]]*Deals[[#This Row],[ProfitRate]]</f>
        <v>1316.45</v>
      </c>
    </row>
    <row r="1056" spans="1:20">
      <c r="A1056" s="2" t="s">
        <v>1794</v>
      </c>
      <c r="B1056" s="3">
        <v>46250</v>
      </c>
      <c r="C1056" s="2" t="s">
        <v>1270</v>
      </c>
      <c r="D1056" s="2" t="s">
        <v>29</v>
      </c>
      <c r="E1056" s="2" t="s">
        <v>43</v>
      </c>
      <c r="F1056" s="2" t="s">
        <v>3</v>
      </c>
      <c r="G1056" s="4">
        <v>35900</v>
      </c>
      <c r="H1056" s="5">
        <v>7.22E-2</v>
      </c>
      <c r="I1056" s="2">
        <v>24</v>
      </c>
      <c r="J1056" s="2" t="s">
        <v>61</v>
      </c>
      <c r="K1056" s="2" t="s">
        <v>17</v>
      </c>
      <c r="L1056" s="3">
        <v>46270</v>
      </c>
      <c r="M1056" s="2" t="str">
        <f>_xlfn.XLOOKUP(Deals[[#This Row],[CustomerID]],Customers!A:A,Customers!F:F)</f>
        <v>Mass</v>
      </c>
      <c r="N1056" s="2" t="str">
        <f>_xlfn.XLOOKUP(Deals[[#This Row],[CustomerID]],Customers!A:A,Customers!E:E)</f>
        <v>Non-Kuwaiti</v>
      </c>
      <c r="O1056" s="2">
        <f>2026-_xlfn.XLOOKUP(Deals[[#This Row],[CustomerID]],Customers!A:A,Customers!D:D)</f>
        <v>49</v>
      </c>
      <c r="P1056" s="2" t="str" cm="1">
        <f t="array" ref="P1056">_xlfn.IFS(Deals[[#This Row],[Age]]&lt;30,"Under 30",Deals[[#This Row],[Age]]&lt;45,"30-44",TRUE,"45+")</f>
        <v>45+</v>
      </c>
      <c r="Q1056" s="21">
        <f>IF(Deals[[#This Row],[Status]]="Pending","",Deals[[#This Row],[DecisionDate]]-Deals[[#This Row],[ApplicationDate]])</f>
        <v>20</v>
      </c>
      <c r="R1056" s="21">
        <f>IF(Deals[[#This Row],[Status]]="Approved",1,0)</f>
        <v>1</v>
      </c>
      <c r="S1056" s="21">
        <f>IF(Deals[[#This Row],[IsApproved]]=1,Deals[[#This Row],[Amount]],0)</f>
        <v>35900</v>
      </c>
      <c r="T1056" s="21">
        <f>Deals[[#This Row],[ApprovedAmount]]*Deals[[#This Row],[ProfitRate]]</f>
        <v>2591.98</v>
      </c>
    </row>
    <row r="1057" spans="1:20">
      <c r="A1057" s="2" t="s">
        <v>1795</v>
      </c>
      <c r="B1057" s="3">
        <v>46250</v>
      </c>
      <c r="C1057" s="2" t="s">
        <v>1796</v>
      </c>
      <c r="D1057" s="2" t="s">
        <v>71</v>
      </c>
      <c r="E1057" s="2" t="s">
        <v>30</v>
      </c>
      <c r="F1057" s="2" t="s">
        <v>55</v>
      </c>
      <c r="G1057" s="4">
        <v>10400</v>
      </c>
      <c r="H1057" s="5">
        <v>4.6399999999999997E-2</v>
      </c>
      <c r="I1057" s="2">
        <v>36</v>
      </c>
      <c r="J1057" s="2" t="s">
        <v>101</v>
      </c>
      <c r="K1057" s="2" t="s">
        <v>17</v>
      </c>
      <c r="L1057" s="3">
        <v>46256</v>
      </c>
      <c r="M1057" s="2" t="str">
        <f>_xlfn.XLOOKUP(Deals[[#This Row],[CustomerID]],Customers!A:A,Customers!F:F)</f>
        <v>Mass</v>
      </c>
      <c r="N1057" s="2" t="str">
        <f>_xlfn.XLOOKUP(Deals[[#This Row],[CustomerID]],Customers!A:A,Customers!E:E)</f>
        <v>Kuwaiti</v>
      </c>
      <c r="O1057" s="2">
        <f>2026-_xlfn.XLOOKUP(Deals[[#This Row],[CustomerID]],Customers!A:A,Customers!D:D)</f>
        <v>42</v>
      </c>
      <c r="P1057" s="2" t="str" cm="1">
        <f t="array" ref="P1057">_xlfn.IFS(Deals[[#This Row],[Age]]&lt;30,"Under 30",Deals[[#This Row],[Age]]&lt;45,"30-44",TRUE,"45+")</f>
        <v>30-44</v>
      </c>
      <c r="Q1057" s="21">
        <f>IF(Deals[[#This Row],[Status]]="Pending","",Deals[[#This Row],[DecisionDate]]-Deals[[#This Row],[ApplicationDate]])</f>
        <v>6</v>
      </c>
      <c r="R1057" s="21">
        <f>IF(Deals[[#This Row],[Status]]="Approved",1,0)</f>
        <v>1</v>
      </c>
      <c r="S1057" s="21">
        <f>IF(Deals[[#This Row],[IsApproved]]=1,Deals[[#This Row],[Amount]],0)</f>
        <v>10400</v>
      </c>
      <c r="T1057" s="21">
        <f>Deals[[#This Row],[ApprovedAmount]]*Deals[[#This Row],[ProfitRate]]</f>
        <v>482.55999999999995</v>
      </c>
    </row>
    <row r="1058" spans="1:20">
      <c r="A1058" s="2" t="s">
        <v>1797</v>
      </c>
      <c r="B1058" s="3">
        <v>46250</v>
      </c>
      <c r="C1058" s="2" t="s">
        <v>507</v>
      </c>
      <c r="D1058" s="2" t="s">
        <v>14</v>
      </c>
      <c r="E1058" s="2" t="s">
        <v>21</v>
      </c>
      <c r="F1058" s="2" t="s">
        <v>31</v>
      </c>
      <c r="G1058" s="4">
        <v>211600</v>
      </c>
      <c r="H1058" s="5">
        <v>3.2500000000000001E-2</v>
      </c>
      <c r="I1058" s="2">
        <v>120</v>
      </c>
      <c r="J1058" s="2" t="s">
        <v>48</v>
      </c>
      <c r="K1058" s="2" t="s">
        <v>17</v>
      </c>
      <c r="L1058" s="3">
        <v>46265</v>
      </c>
      <c r="M1058" s="2" t="str">
        <f>_xlfn.XLOOKUP(Deals[[#This Row],[CustomerID]],Customers!A:A,Customers!F:F)</f>
        <v>Mass</v>
      </c>
      <c r="N1058" s="2" t="str">
        <f>_xlfn.XLOOKUP(Deals[[#This Row],[CustomerID]],Customers!A:A,Customers!E:E)</f>
        <v>Non-Kuwaiti</v>
      </c>
      <c r="O1058" s="2">
        <f>2026-_xlfn.XLOOKUP(Deals[[#This Row],[CustomerID]],Customers!A:A,Customers!D:D)</f>
        <v>44</v>
      </c>
      <c r="P1058" s="2" t="str" cm="1">
        <f t="array" ref="P1058">_xlfn.IFS(Deals[[#This Row],[Age]]&lt;30,"Under 30",Deals[[#This Row],[Age]]&lt;45,"30-44",TRUE,"45+")</f>
        <v>30-44</v>
      </c>
      <c r="Q1058" s="21">
        <f>IF(Deals[[#This Row],[Status]]="Pending","",Deals[[#This Row],[DecisionDate]]-Deals[[#This Row],[ApplicationDate]])</f>
        <v>15</v>
      </c>
      <c r="R1058" s="21">
        <f>IF(Deals[[#This Row],[Status]]="Approved",1,0)</f>
        <v>1</v>
      </c>
      <c r="S1058" s="21">
        <f>IF(Deals[[#This Row],[IsApproved]]=1,Deals[[#This Row],[Amount]],0)</f>
        <v>211600</v>
      </c>
      <c r="T1058" s="21">
        <f>Deals[[#This Row],[ApprovedAmount]]*Deals[[#This Row],[ProfitRate]]</f>
        <v>6877</v>
      </c>
    </row>
    <row r="1059" spans="1:20">
      <c r="A1059" s="2" t="s">
        <v>1798</v>
      </c>
      <c r="B1059" s="3">
        <v>46250</v>
      </c>
      <c r="C1059" s="2" t="s">
        <v>1799</v>
      </c>
      <c r="D1059" s="2" t="s">
        <v>14</v>
      </c>
      <c r="E1059" s="2" t="s">
        <v>21</v>
      </c>
      <c r="F1059" s="2" t="s">
        <v>3</v>
      </c>
      <c r="G1059" s="4">
        <v>141900</v>
      </c>
      <c r="H1059" s="5">
        <v>3.7100000000000001E-2</v>
      </c>
      <c r="I1059" s="2">
        <v>240</v>
      </c>
      <c r="J1059" s="2" t="s">
        <v>40</v>
      </c>
      <c r="K1059" s="2" t="s">
        <v>45</v>
      </c>
      <c r="L1059" s="3">
        <v>46272</v>
      </c>
      <c r="M1059" s="2" t="str">
        <f>_xlfn.XLOOKUP(Deals[[#This Row],[CustomerID]],Customers!A:A,Customers!F:F)</f>
        <v>Mass</v>
      </c>
      <c r="N1059" s="2" t="str">
        <f>_xlfn.XLOOKUP(Deals[[#This Row],[CustomerID]],Customers!A:A,Customers!E:E)</f>
        <v>Kuwaiti</v>
      </c>
      <c r="O1059" s="2">
        <f>2026-_xlfn.XLOOKUP(Deals[[#This Row],[CustomerID]],Customers!A:A,Customers!D:D)</f>
        <v>40</v>
      </c>
      <c r="P1059" s="2" t="str" cm="1">
        <f t="array" ref="P1059">_xlfn.IFS(Deals[[#This Row],[Age]]&lt;30,"Under 30",Deals[[#This Row],[Age]]&lt;45,"30-44",TRUE,"45+")</f>
        <v>30-44</v>
      </c>
      <c r="Q1059" s="21">
        <f>IF(Deals[[#This Row],[Status]]="Pending","",Deals[[#This Row],[DecisionDate]]-Deals[[#This Row],[ApplicationDate]])</f>
        <v>22</v>
      </c>
      <c r="R1059" s="21">
        <f>IF(Deals[[#This Row],[Status]]="Approved",1,0)</f>
        <v>0</v>
      </c>
      <c r="S1059" s="21">
        <f>IF(Deals[[#This Row],[IsApproved]]=1,Deals[[#This Row],[Amount]],0)</f>
        <v>0</v>
      </c>
      <c r="T1059" s="21">
        <f>Deals[[#This Row],[ApprovedAmount]]*Deals[[#This Row],[ProfitRate]]</f>
        <v>0</v>
      </c>
    </row>
    <row r="1060" spans="1:20">
      <c r="A1060" s="2" t="s">
        <v>1800</v>
      </c>
      <c r="B1060" s="3">
        <v>46250</v>
      </c>
      <c r="C1060" s="2" t="s">
        <v>1801</v>
      </c>
      <c r="D1060" s="2" t="s">
        <v>54</v>
      </c>
      <c r="E1060" s="2" t="s">
        <v>21</v>
      </c>
      <c r="F1060" s="2" t="s">
        <v>31</v>
      </c>
      <c r="G1060" s="4">
        <v>229300</v>
      </c>
      <c r="H1060" s="5">
        <v>3.6700000000000003E-2</v>
      </c>
      <c r="I1060" s="2">
        <v>240</v>
      </c>
      <c r="J1060" s="2" t="s">
        <v>186</v>
      </c>
      <c r="K1060" s="2" t="s">
        <v>17</v>
      </c>
      <c r="L1060" s="3">
        <v>46263</v>
      </c>
      <c r="M1060" s="2" t="str">
        <f>_xlfn.XLOOKUP(Deals[[#This Row],[CustomerID]],Customers!A:A,Customers!F:F)</f>
        <v>Premium</v>
      </c>
      <c r="N1060" s="2" t="str">
        <f>_xlfn.XLOOKUP(Deals[[#This Row],[CustomerID]],Customers!A:A,Customers!E:E)</f>
        <v>Kuwaiti</v>
      </c>
      <c r="O1060" s="2">
        <f>2026-_xlfn.XLOOKUP(Deals[[#This Row],[CustomerID]],Customers!A:A,Customers!D:D)</f>
        <v>37</v>
      </c>
      <c r="P1060" s="2" t="str" cm="1">
        <f t="array" ref="P1060">_xlfn.IFS(Deals[[#This Row],[Age]]&lt;30,"Under 30",Deals[[#This Row],[Age]]&lt;45,"30-44",TRUE,"45+")</f>
        <v>30-44</v>
      </c>
      <c r="Q1060" s="21">
        <f>IF(Deals[[#This Row],[Status]]="Pending","",Deals[[#This Row],[DecisionDate]]-Deals[[#This Row],[ApplicationDate]])</f>
        <v>13</v>
      </c>
      <c r="R1060" s="21">
        <f>IF(Deals[[#This Row],[Status]]="Approved",1,0)</f>
        <v>1</v>
      </c>
      <c r="S1060" s="21">
        <f>IF(Deals[[#This Row],[IsApproved]]=1,Deals[[#This Row],[Amount]],0)</f>
        <v>229300</v>
      </c>
      <c r="T1060" s="21">
        <f>Deals[[#This Row],[ApprovedAmount]]*Deals[[#This Row],[ProfitRate]]</f>
        <v>8415.3100000000013</v>
      </c>
    </row>
    <row r="1061" spans="1:20">
      <c r="A1061" s="2" t="s">
        <v>1802</v>
      </c>
      <c r="B1061" s="3">
        <v>46250</v>
      </c>
      <c r="C1061" s="2" t="s">
        <v>1791</v>
      </c>
      <c r="D1061" s="2" t="s">
        <v>20</v>
      </c>
      <c r="E1061" s="2" t="s">
        <v>30</v>
      </c>
      <c r="F1061" s="2" t="s">
        <v>55</v>
      </c>
      <c r="G1061" s="4">
        <v>8600</v>
      </c>
      <c r="H1061" s="5">
        <v>4.5499999999999999E-2</v>
      </c>
      <c r="I1061" s="2">
        <v>36</v>
      </c>
      <c r="J1061" s="2" t="s">
        <v>22</v>
      </c>
      <c r="K1061" s="2" t="s">
        <v>17</v>
      </c>
      <c r="L1061" s="3">
        <v>46254</v>
      </c>
      <c r="M1061" s="2" t="str">
        <f>_xlfn.XLOOKUP(Deals[[#This Row],[CustomerID]],Customers!A:A,Customers!F:F)</f>
        <v>Affluent</v>
      </c>
      <c r="N1061" s="2" t="str">
        <f>_xlfn.XLOOKUP(Deals[[#This Row],[CustomerID]],Customers!A:A,Customers!E:E)</f>
        <v>Kuwaiti</v>
      </c>
      <c r="O1061" s="2">
        <f>2026-_xlfn.XLOOKUP(Deals[[#This Row],[CustomerID]],Customers!A:A,Customers!D:D)</f>
        <v>39</v>
      </c>
      <c r="P1061" s="2" t="str" cm="1">
        <f t="array" ref="P1061">_xlfn.IFS(Deals[[#This Row],[Age]]&lt;30,"Under 30",Deals[[#This Row],[Age]]&lt;45,"30-44",TRUE,"45+")</f>
        <v>30-44</v>
      </c>
      <c r="Q1061" s="21">
        <f>IF(Deals[[#This Row],[Status]]="Pending","",Deals[[#This Row],[DecisionDate]]-Deals[[#This Row],[ApplicationDate]])</f>
        <v>4</v>
      </c>
      <c r="R1061" s="21">
        <f>IF(Deals[[#This Row],[Status]]="Approved",1,0)</f>
        <v>1</v>
      </c>
      <c r="S1061" s="21">
        <f>IF(Deals[[#This Row],[IsApproved]]=1,Deals[[#This Row],[Amount]],0)</f>
        <v>8600</v>
      </c>
      <c r="T1061" s="21">
        <f>Deals[[#This Row],[ApprovedAmount]]*Deals[[#This Row],[ProfitRate]]</f>
        <v>391.3</v>
      </c>
    </row>
    <row r="1062" spans="1:20">
      <c r="A1062" s="2" t="s">
        <v>1803</v>
      </c>
      <c r="B1062" s="3">
        <v>46250</v>
      </c>
      <c r="C1062" s="2" t="s">
        <v>560</v>
      </c>
      <c r="D1062" s="2" t="s">
        <v>14</v>
      </c>
      <c r="E1062" s="2" t="s">
        <v>15</v>
      </c>
      <c r="F1062" s="2" t="s">
        <v>3</v>
      </c>
      <c r="G1062" s="4">
        <v>16500</v>
      </c>
      <c r="H1062" s="5">
        <v>6.6199999999999995E-2</v>
      </c>
      <c r="I1062" s="2">
        <v>48</v>
      </c>
      <c r="J1062" s="2" t="s">
        <v>40</v>
      </c>
      <c r="K1062" s="2" t="s">
        <v>17</v>
      </c>
      <c r="L1062" s="3">
        <v>46253</v>
      </c>
      <c r="M1062" s="2" t="str">
        <f>_xlfn.XLOOKUP(Deals[[#This Row],[CustomerID]],Customers!A:A,Customers!F:F)</f>
        <v>Mass</v>
      </c>
      <c r="N1062" s="2" t="str">
        <f>_xlfn.XLOOKUP(Deals[[#This Row],[CustomerID]],Customers!A:A,Customers!E:E)</f>
        <v>Kuwaiti</v>
      </c>
      <c r="O1062" s="2">
        <f>2026-_xlfn.XLOOKUP(Deals[[#This Row],[CustomerID]],Customers!A:A,Customers!D:D)</f>
        <v>29</v>
      </c>
      <c r="P1062" s="2" t="str" cm="1">
        <f t="array" ref="P1062">_xlfn.IFS(Deals[[#This Row],[Age]]&lt;30,"Under 30",Deals[[#This Row],[Age]]&lt;45,"30-44",TRUE,"45+")</f>
        <v>Under 30</v>
      </c>
      <c r="Q1062" s="21">
        <f>IF(Deals[[#This Row],[Status]]="Pending","",Deals[[#This Row],[DecisionDate]]-Deals[[#This Row],[ApplicationDate]])</f>
        <v>3</v>
      </c>
      <c r="R1062" s="21">
        <f>IF(Deals[[#This Row],[Status]]="Approved",1,0)</f>
        <v>1</v>
      </c>
      <c r="S1062" s="21">
        <f>IF(Deals[[#This Row],[IsApproved]]=1,Deals[[#This Row],[Amount]],0)</f>
        <v>16500</v>
      </c>
      <c r="T1062" s="21">
        <f>Deals[[#This Row],[ApprovedAmount]]*Deals[[#This Row],[ProfitRate]]</f>
        <v>1092.3</v>
      </c>
    </row>
    <row r="1063" spans="1:20">
      <c r="A1063" s="2" t="s">
        <v>1804</v>
      </c>
      <c r="B1063" s="3">
        <v>46251</v>
      </c>
      <c r="C1063" s="2" t="s">
        <v>1479</v>
      </c>
      <c r="D1063" s="2" t="s">
        <v>29</v>
      </c>
      <c r="E1063" s="2" t="s">
        <v>30</v>
      </c>
      <c r="F1063" s="2" t="s">
        <v>3</v>
      </c>
      <c r="G1063" s="4">
        <v>8000</v>
      </c>
      <c r="H1063" s="5">
        <v>4.48E-2</v>
      </c>
      <c r="I1063" s="2">
        <v>60</v>
      </c>
      <c r="J1063" s="2" t="s">
        <v>123</v>
      </c>
      <c r="K1063" s="2" t="s">
        <v>17</v>
      </c>
      <c r="L1063" s="3">
        <v>46255</v>
      </c>
      <c r="M1063" s="2" t="str">
        <f>_xlfn.XLOOKUP(Deals[[#This Row],[CustomerID]],Customers!A:A,Customers!F:F)</f>
        <v>Affluent</v>
      </c>
      <c r="N1063" s="2" t="str">
        <f>_xlfn.XLOOKUP(Deals[[#This Row],[CustomerID]],Customers!A:A,Customers!E:E)</f>
        <v>Non-Kuwaiti</v>
      </c>
      <c r="O1063" s="2">
        <f>2026-_xlfn.XLOOKUP(Deals[[#This Row],[CustomerID]],Customers!A:A,Customers!D:D)</f>
        <v>44</v>
      </c>
      <c r="P1063" s="2" t="str" cm="1">
        <f t="array" ref="P1063">_xlfn.IFS(Deals[[#This Row],[Age]]&lt;30,"Under 30",Deals[[#This Row],[Age]]&lt;45,"30-44",TRUE,"45+")</f>
        <v>30-44</v>
      </c>
      <c r="Q1063" s="21">
        <f>IF(Deals[[#This Row],[Status]]="Pending","",Deals[[#This Row],[DecisionDate]]-Deals[[#This Row],[ApplicationDate]])</f>
        <v>4</v>
      </c>
      <c r="R1063" s="21">
        <f>IF(Deals[[#This Row],[Status]]="Approved",1,0)</f>
        <v>1</v>
      </c>
      <c r="S1063" s="21">
        <f>IF(Deals[[#This Row],[IsApproved]]=1,Deals[[#This Row],[Amount]],0)</f>
        <v>8000</v>
      </c>
      <c r="T1063" s="21">
        <f>Deals[[#This Row],[ApprovedAmount]]*Deals[[#This Row],[ProfitRate]]</f>
        <v>358.4</v>
      </c>
    </row>
    <row r="1064" spans="1:20">
      <c r="A1064" s="2" t="s">
        <v>1805</v>
      </c>
      <c r="B1064" s="3">
        <v>46251</v>
      </c>
      <c r="C1064" s="2" t="s">
        <v>1806</v>
      </c>
      <c r="D1064" s="2" t="s">
        <v>20</v>
      </c>
      <c r="E1064" s="2" t="s">
        <v>30</v>
      </c>
      <c r="F1064" s="2" t="s">
        <v>31</v>
      </c>
      <c r="G1064" s="4">
        <v>4300</v>
      </c>
      <c r="H1064" s="5">
        <v>3.9800000000000002E-2</v>
      </c>
      <c r="I1064" s="2">
        <v>36</v>
      </c>
      <c r="J1064" s="2" t="s">
        <v>44</v>
      </c>
      <c r="K1064" s="2" t="s">
        <v>45</v>
      </c>
      <c r="L1064" s="3">
        <v>46253</v>
      </c>
      <c r="M1064" s="2" t="str">
        <f>_xlfn.XLOOKUP(Deals[[#This Row],[CustomerID]],Customers!A:A,Customers!F:F)</f>
        <v>Mass</v>
      </c>
      <c r="N1064" s="2" t="str">
        <f>_xlfn.XLOOKUP(Deals[[#This Row],[CustomerID]],Customers!A:A,Customers!E:E)</f>
        <v>Kuwaiti</v>
      </c>
      <c r="O1064" s="2">
        <f>2026-_xlfn.XLOOKUP(Deals[[#This Row],[CustomerID]],Customers!A:A,Customers!D:D)</f>
        <v>41</v>
      </c>
      <c r="P1064" s="2" t="str" cm="1">
        <f t="array" ref="P1064">_xlfn.IFS(Deals[[#This Row],[Age]]&lt;30,"Under 30",Deals[[#This Row],[Age]]&lt;45,"30-44",TRUE,"45+")</f>
        <v>30-44</v>
      </c>
      <c r="Q1064" s="21">
        <f>IF(Deals[[#This Row],[Status]]="Pending","",Deals[[#This Row],[DecisionDate]]-Deals[[#This Row],[ApplicationDate]])</f>
        <v>2</v>
      </c>
      <c r="R1064" s="21">
        <f>IF(Deals[[#This Row],[Status]]="Approved",1,0)</f>
        <v>0</v>
      </c>
      <c r="S1064" s="21">
        <f>IF(Deals[[#This Row],[IsApproved]]=1,Deals[[#This Row],[Amount]],0)</f>
        <v>0</v>
      </c>
      <c r="T1064" s="21">
        <f>Deals[[#This Row],[ApprovedAmount]]*Deals[[#This Row],[ProfitRate]]</f>
        <v>0</v>
      </c>
    </row>
    <row r="1065" spans="1:20">
      <c r="A1065" s="2" t="s">
        <v>1807</v>
      </c>
      <c r="B1065" s="3">
        <v>46251</v>
      </c>
      <c r="C1065" s="2" t="s">
        <v>1808</v>
      </c>
      <c r="D1065" s="2" t="s">
        <v>25</v>
      </c>
      <c r="E1065" s="2" t="s">
        <v>15</v>
      </c>
      <c r="F1065" s="2" t="s">
        <v>31</v>
      </c>
      <c r="G1065" s="4">
        <v>20400</v>
      </c>
      <c r="H1065" s="5">
        <v>5.6899999999999999E-2</v>
      </c>
      <c r="I1065" s="2">
        <v>60</v>
      </c>
      <c r="J1065" s="2" t="s">
        <v>26</v>
      </c>
      <c r="K1065" s="2" t="s">
        <v>17</v>
      </c>
      <c r="L1065" s="3">
        <v>46257</v>
      </c>
      <c r="M1065" s="2" t="str">
        <f>_xlfn.XLOOKUP(Deals[[#This Row],[CustomerID]],Customers!A:A,Customers!F:F)</f>
        <v>Affluent</v>
      </c>
      <c r="N1065" s="2" t="str">
        <f>_xlfn.XLOOKUP(Deals[[#This Row],[CustomerID]],Customers!A:A,Customers!E:E)</f>
        <v>Kuwaiti</v>
      </c>
      <c r="O1065" s="2">
        <f>2026-_xlfn.XLOOKUP(Deals[[#This Row],[CustomerID]],Customers!A:A,Customers!D:D)</f>
        <v>41</v>
      </c>
      <c r="P1065" s="2" t="str" cm="1">
        <f t="array" ref="P1065">_xlfn.IFS(Deals[[#This Row],[Age]]&lt;30,"Under 30",Deals[[#This Row],[Age]]&lt;45,"30-44",TRUE,"45+")</f>
        <v>30-44</v>
      </c>
      <c r="Q1065" s="21">
        <f>IF(Deals[[#This Row],[Status]]="Pending","",Deals[[#This Row],[DecisionDate]]-Deals[[#This Row],[ApplicationDate]])</f>
        <v>6</v>
      </c>
      <c r="R1065" s="21">
        <f>IF(Deals[[#This Row],[Status]]="Approved",1,0)</f>
        <v>1</v>
      </c>
      <c r="S1065" s="21">
        <f>IF(Deals[[#This Row],[IsApproved]]=1,Deals[[#This Row],[Amount]],0)</f>
        <v>20400</v>
      </c>
      <c r="T1065" s="21">
        <f>Deals[[#This Row],[ApprovedAmount]]*Deals[[#This Row],[ProfitRate]]</f>
        <v>1160.76</v>
      </c>
    </row>
    <row r="1066" spans="1:20">
      <c r="A1066" s="2" t="s">
        <v>1809</v>
      </c>
      <c r="B1066" s="3">
        <v>46251</v>
      </c>
      <c r="C1066" s="2" t="s">
        <v>1810</v>
      </c>
      <c r="D1066" s="2" t="s">
        <v>25</v>
      </c>
      <c r="E1066" s="2" t="s">
        <v>30</v>
      </c>
      <c r="F1066" s="2" t="s">
        <v>3</v>
      </c>
      <c r="G1066" s="4">
        <v>7400</v>
      </c>
      <c r="H1066" s="5">
        <v>4.5199999999999997E-2</v>
      </c>
      <c r="I1066" s="2">
        <v>36</v>
      </c>
      <c r="J1066" s="2" t="s">
        <v>181</v>
      </c>
      <c r="K1066" s="2" t="s">
        <v>17</v>
      </c>
      <c r="L1066" s="3">
        <v>46254</v>
      </c>
      <c r="M1066" s="2" t="str">
        <f>_xlfn.XLOOKUP(Deals[[#This Row],[CustomerID]],Customers!A:A,Customers!F:F)</f>
        <v>Affluent</v>
      </c>
      <c r="N1066" s="2" t="str">
        <f>_xlfn.XLOOKUP(Deals[[#This Row],[CustomerID]],Customers!A:A,Customers!E:E)</f>
        <v>Non-Kuwaiti</v>
      </c>
      <c r="O1066" s="2">
        <f>2026-_xlfn.XLOOKUP(Deals[[#This Row],[CustomerID]],Customers!A:A,Customers!D:D)</f>
        <v>29</v>
      </c>
      <c r="P1066" s="2" t="str" cm="1">
        <f t="array" ref="P1066">_xlfn.IFS(Deals[[#This Row],[Age]]&lt;30,"Under 30",Deals[[#This Row],[Age]]&lt;45,"30-44",TRUE,"45+")</f>
        <v>Under 30</v>
      </c>
      <c r="Q1066" s="21">
        <f>IF(Deals[[#This Row],[Status]]="Pending","",Deals[[#This Row],[DecisionDate]]-Deals[[#This Row],[ApplicationDate]])</f>
        <v>3</v>
      </c>
      <c r="R1066" s="21">
        <f>IF(Deals[[#This Row],[Status]]="Approved",1,0)</f>
        <v>1</v>
      </c>
      <c r="S1066" s="21">
        <f>IF(Deals[[#This Row],[IsApproved]]=1,Deals[[#This Row],[Amount]],0)</f>
        <v>7400</v>
      </c>
      <c r="T1066" s="21">
        <f>Deals[[#This Row],[ApprovedAmount]]*Deals[[#This Row],[ProfitRate]]</f>
        <v>334.47999999999996</v>
      </c>
    </row>
    <row r="1067" spans="1:20">
      <c r="A1067" s="2" t="s">
        <v>1811</v>
      </c>
      <c r="B1067" s="3">
        <v>46251</v>
      </c>
      <c r="C1067" s="2" t="s">
        <v>1683</v>
      </c>
      <c r="D1067" s="2" t="s">
        <v>25</v>
      </c>
      <c r="E1067" s="2" t="s">
        <v>30</v>
      </c>
      <c r="F1067" s="2" t="s">
        <v>31</v>
      </c>
      <c r="G1067" s="4">
        <v>10000</v>
      </c>
      <c r="H1067" s="5">
        <v>3.78E-2</v>
      </c>
      <c r="I1067" s="2">
        <v>60</v>
      </c>
      <c r="J1067" s="2" t="s">
        <v>66</v>
      </c>
      <c r="K1067" s="2" t="s">
        <v>45</v>
      </c>
      <c r="L1067" s="3">
        <v>46253</v>
      </c>
      <c r="M1067" s="2" t="str">
        <f>_xlfn.XLOOKUP(Deals[[#This Row],[CustomerID]],Customers!A:A,Customers!F:F)</f>
        <v>Mass</v>
      </c>
      <c r="N1067" s="2" t="str">
        <f>_xlfn.XLOOKUP(Deals[[#This Row],[CustomerID]],Customers!A:A,Customers!E:E)</f>
        <v>Kuwaiti</v>
      </c>
      <c r="O1067" s="2">
        <f>2026-_xlfn.XLOOKUP(Deals[[#This Row],[CustomerID]],Customers!A:A,Customers!D:D)</f>
        <v>55</v>
      </c>
      <c r="P1067" s="2" t="str" cm="1">
        <f t="array" ref="P1067">_xlfn.IFS(Deals[[#This Row],[Age]]&lt;30,"Under 30",Deals[[#This Row],[Age]]&lt;45,"30-44",TRUE,"45+")</f>
        <v>45+</v>
      </c>
      <c r="Q1067" s="21">
        <f>IF(Deals[[#This Row],[Status]]="Pending","",Deals[[#This Row],[DecisionDate]]-Deals[[#This Row],[ApplicationDate]])</f>
        <v>2</v>
      </c>
      <c r="R1067" s="21">
        <f>IF(Deals[[#This Row],[Status]]="Approved",1,0)</f>
        <v>0</v>
      </c>
      <c r="S1067" s="21">
        <f>IF(Deals[[#This Row],[IsApproved]]=1,Deals[[#This Row],[Amount]],0)</f>
        <v>0</v>
      </c>
      <c r="T1067" s="21">
        <f>Deals[[#This Row],[ApprovedAmount]]*Deals[[#This Row],[ProfitRate]]</f>
        <v>0</v>
      </c>
    </row>
    <row r="1068" spans="1:20">
      <c r="A1068" s="2" t="s">
        <v>1812</v>
      </c>
      <c r="B1068" s="3">
        <v>46251</v>
      </c>
      <c r="C1068" s="2" t="s">
        <v>278</v>
      </c>
      <c r="D1068" s="2" t="s">
        <v>25</v>
      </c>
      <c r="E1068" s="2" t="s">
        <v>30</v>
      </c>
      <c r="F1068" s="2" t="s">
        <v>31</v>
      </c>
      <c r="G1068" s="4">
        <v>16200</v>
      </c>
      <c r="H1068" s="5">
        <v>3.6200000000000003E-2</v>
      </c>
      <c r="I1068" s="2">
        <v>36</v>
      </c>
      <c r="J1068" s="2" t="s">
        <v>181</v>
      </c>
      <c r="K1068" s="2" t="s">
        <v>17</v>
      </c>
      <c r="L1068" s="3">
        <v>46251</v>
      </c>
      <c r="M1068" s="2" t="str">
        <f>_xlfn.XLOOKUP(Deals[[#This Row],[CustomerID]],Customers!A:A,Customers!F:F)</f>
        <v>Affluent</v>
      </c>
      <c r="N1068" s="2" t="str">
        <f>_xlfn.XLOOKUP(Deals[[#This Row],[CustomerID]],Customers!A:A,Customers!E:E)</f>
        <v>Kuwaiti</v>
      </c>
      <c r="O1068" s="2">
        <f>2026-_xlfn.XLOOKUP(Deals[[#This Row],[CustomerID]],Customers!A:A,Customers!D:D)</f>
        <v>26</v>
      </c>
      <c r="P1068" s="2" t="str" cm="1">
        <f t="array" ref="P1068">_xlfn.IFS(Deals[[#This Row],[Age]]&lt;30,"Under 30",Deals[[#This Row],[Age]]&lt;45,"30-44",TRUE,"45+")</f>
        <v>Under 30</v>
      </c>
      <c r="Q1068" s="21">
        <f>IF(Deals[[#This Row],[Status]]="Pending","",Deals[[#This Row],[DecisionDate]]-Deals[[#This Row],[ApplicationDate]])</f>
        <v>0</v>
      </c>
      <c r="R1068" s="21">
        <f>IF(Deals[[#This Row],[Status]]="Approved",1,0)</f>
        <v>1</v>
      </c>
      <c r="S1068" s="21">
        <f>IF(Deals[[#This Row],[IsApproved]]=1,Deals[[#This Row],[Amount]],0)</f>
        <v>16200</v>
      </c>
      <c r="T1068" s="21">
        <f>Deals[[#This Row],[ApprovedAmount]]*Deals[[#This Row],[ProfitRate]]</f>
        <v>586.44000000000005</v>
      </c>
    </row>
    <row r="1069" spans="1:20">
      <c r="A1069" s="2" t="s">
        <v>1813</v>
      </c>
      <c r="B1069" s="3">
        <v>46251</v>
      </c>
      <c r="C1069" s="2" t="s">
        <v>1801</v>
      </c>
      <c r="D1069" s="2" t="s">
        <v>54</v>
      </c>
      <c r="E1069" s="2" t="s">
        <v>21</v>
      </c>
      <c r="F1069" s="2" t="s">
        <v>3</v>
      </c>
      <c r="G1069" s="4">
        <v>337500</v>
      </c>
      <c r="H1069" s="5">
        <v>3.49E-2</v>
      </c>
      <c r="I1069" s="2">
        <v>300</v>
      </c>
      <c r="J1069" s="2" t="s">
        <v>148</v>
      </c>
      <c r="K1069" s="2" t="s">
        <v>45</v>
      </c>
      <c r="L1069" s="3">
        <v>46269</v>
      </c>
      <c r="M1069" s="2" t="str">
        <f>_xlfn.XLOOKUP(Deals[[#This Row],[CustomerID]],Customers!A:A,Customers!F:F)</f>
        <v>Premium</v>
      </c>
      <c r="N1069" s="2" t="str">
        <f>_xlfn.XLOOKUP(Deals[[#This Row],[CustomerID]],Customers!A:A,Customers!E:E)</f>
        <v>Kuwaiti</v>
      </c>
      <c r="O1069" s="2">
        <f>2026-_xlfn.XLOOKUP(Deals[[#This Row],[CustomerID]],Customers!A:A,Customers!D:D)</f>
        <v>37</v>
      </c>
      <c r="P1069" s="2" t="str" cm="1">
        <f t="array" ref="P1069">_xlfn.IFS(Deals[[#This Row],[Age]]&lt;30,"Under 30",Deals[[#This Row],[Age]]&lt;45,"30-44",TRUE,"45+")</f>
        <v>30-44</v>
      </c>
      <c r="Q1069" s="21">
        <f>IF(Deals[[#This Row],[Status]]="Pending","",Deals[[#This Row],[DecisionDate]]-Deals[[#This Row],[ApplicationDate]])</f>
        <v>18</v>
      </c>
      <c r="R1069" s="21">
        <f>IF(Deals[[#This Row],[Status]]="Approved",1,0)</f>
        <v>0</v>
      </c>
      <c r="S1069" s="21">
        <f>IF(Deals[[#This Row],[IsApproved]]=1,Deals[[#This Row],[Amount]],0)</f>
        <v>0</v>
      </c>
      <c r="T1069" s="21">
        <f>Deals[[#This Row],[ApprovedAmount]]*Deals[[#This Row],[ProfitRate]]</f>
        <v>0</v>
      </c>
    </row>
    <row r="1070" spans="1:20">
      <c r="A1070" s="2" t="s">
        <v>1814</v>
      </c>
      <c r="B1070" s="3">
        <v>46251</v>
      </c>
      <c r="C1070" s="2" t="s">
        <v>1815</v>
      </c>
      <c r="D1070" s="2" t="s">
        <v>14</v>
      </c>
      <c r="E1070" s="2" t="s">
        <v>30</v>
      </c>
      <c r="F1070" s="2" t="s">
        <v>55</v>
      </c>
      <c r="G1070" s="4">
        <v>13000</v>
      </c>
      <c r="H1070" s="5">
        <v>4.8399999999999999E-2</v>
      </c>
      <c r="I1070" s="2">
        <v>48</v>
      </c>
      <c r="J1070" s="2" t="s">
        <v>40</v>
      </c>
      <c r="K1070" s="2" t="s">
        <v>17</v>
      </c>
      <c r="L1070" s="3">
        <v>46253</v>
      </c>
      <c r="M1070" s="2" t="str">
        <f>_xlfn.XLOOKUP(Deals[[#This Row],[CustomerID]],Customers!A:A,Customers!F:F)</f>
        <v>Affluent</v>
      </c>
      <c r="N1070" s="2" t="str">
        <f>_xlfn.XLOOKUP(Deals[[#This Row],[CustomerID]],Customers!A:A,Customers!E:E)</f>
        <v>Kuwaiti</v>
      </c>
      <c r="O1070" s="2">
        <f>2026-_xlfn.XLOOKUP(Deals[[#This Row],[CustomerID]],Customers!A:A,Customers!D:D)</f>
        <v>23</v>
      </c>
      <c r="P1070" s="2" t="str" cm="1">
        <f t="array" ref="P1070">_xlfn.IFS(Deals[[#This Row],[Age]]&lt;30,"Under 30",Deals[[#This Row],[Age]]&lt;45,"30-44",TRUE,"45+")</f>
        <v>Under 30</v>
      </c>
      <c r="Q1070" s="21">
        <f>IF(Deals[[#This Row],[Status]]="Pending","",Deals[[#This Row],[DecisionDate]]-Deals[[#This Row],[ApplicationDate]])</f>
        <v>2</v>
      </c>
      <c r="R1070" s="21">
        <f>IF(Deals[[#This Row],[Status]]="Approved",1,0)</f>
        <v>1</v>
      </c>
      <c r="S1070" s="21">
        <f>IF(Deals[[#This Row],[IsApproved]]=1,Deals[[#This Row],[Amount]],0)</f>
        <v>13000</v>
      </c>
      <c r="T1070" s="21">
        <f>Deals[[#This Row],[ApprovedAmount]]*Deals[[#This Row],[ProfitRate]]</f>
        <v>629.19999999999993</v>
      </c>
    </row>
    <row r="1071" spans="1:20">
      <c r="A1071" s="2" t="s">
        <v>1816</v>
      </c>
      <c r="B1071" s="3">
        <v>46251</v>
      </c>
      <c r="C1071" s="2" t="s">
        <v>270</v>
      </c>
      <c r="D1071" s="2" t="s">
        <v>14</v>
      </c>
      <c r="E1071" s="2" t="s">
        <v>15</v>
      </c>
      <c r="F1071" s="2" t="s">
        <v>3</v>
      </c>
      <c r="G1071" s="4">
        <v>19700</v>
      </c>
      <c r="H1071" s="5">
        <v>6.8500000000000005E-2</v>
      </c>
      <c r="I1071" s="2">
        <v>60</v>
      </c>
      <c r="J1071" s="2" t="s">
        <v>40</v>
      </c>
      <c r="K1071" s="2" t="s">
        <v>17</v>
      </c>
      <c r="L1071" s="3">
        <v>46254</v>
      </c>
      <c r="M1071" s="2" t="str">
        <f>_xlfn.XLOOKUP(Deals[[#This Row],[CustomerID]],Customers!A:A,Customers!F:F)</f>
        <v>Affluent</v>
      </c>
      <c r="N1071" s="2" t="str">
        <f>_xlfn.XLOOKUP(Deals[[#This Row],[CustomerID]],Customers!A:A,Customers!E:E)</f>
        <v>Kuwaiti</v>
      </c>
      <c r="O1071" s="2">
        <f>2026-_xlfn.XLOOKUP(Deals[[#This Row],[CustomerID]],Customers!A:A,Customers!D:D)</f>
        <v>31</v>
      </c>
      <c r="P1071" s="2" t="str" cm="1">
        <f t="array" ref="P1071">_xlfn.IFS(Deals[[#This Row],[Age]]&lt;30,"Under 30",Deals[[#This Row],[Age]]&lt;45,"30-44",TRUE,"45+")</f>
        <v>30-44</v>
      </c>
      <c r="Q1071" s="21">
        <f>IF(Deals[[#This Row],[Status]]="Pending","",Deals[[#This Row],[DecisionDate]]-Deals[[#This Row],[ApplicationDate]])</f>
        <v>3</v>
      </c>
      <c r="R1071" s="21">
        <f>IF(Deals[[#This Row],[Status]]="Approved",1,0)</f>
        <v>1</v>
      </c>
      <c r="S1071" s="21">
        <f>IF(Deals[[#This Row],[IsApproved]]=1,Deals[[#This Row],[Amount]],0)</f>
        <v>19700</v>
      </c>
      <c r="T1071" s="21">
        <f>Deals[[#This Row],[ApprovedAmount]]*Deals[[#This Row],[ProfitRate]]</f>
        <v>1349.45</v>
      </c>
    </row>
    <row r="1072" spans="1:20">
      <c r="A1072" s="2" t="s">
        <v>1817</v>
      </c>
      <c r="B1072" s="3">
        <v>46252</v>
      </c>
      <c r="C1072" s="2" t="s">
        <v>423</v>
      </c>
      <c r="D1072" s="2" t="s">
        <v>71</v>
      </c>
      <c r="E1072" s="2" t="s">
        <v>43</v>
      </c>
      <c r="F1072" s="2" t="s">
        <v>31</v>
      </c>
      <c r="G1072" s="4">
        <v>55400</v>
      </c>
      <c r="H1072" s="5">
        <v>7.7499999999999999E-2</v>
      </c>
      <c r="I1072" s="2">
        <v>36</v>
      </c>
      <c r="J1072" s="2" t="s">
        <v>72</v>
      </c>
      <c r="K1072" s="2" t="s">
        <v>45</v>
      </c>
      <c r="L1072" s="3">
        <v>46264</v>
      </c>
      <c r="M1072" s="2" t="str">
        <f>_xlfn.XLOOKUP(Deals[[#This Row],[CustomerID]],Customers!A:A,Customers!F:F)</f>
        <v>Mass</v>
      </c>
      <c r="N1072" s="2" t="str">
        <f>_xlfn.XLOOKUP(Deals[[#This Row],[CustomerID]],Customers!A:A,Customers!E:E)</f>
        <v>Kuwaiti</v>
      </c>
      <c r="O1072" s="2">
        <f>2026-_xlfn.XLOOKUP(Deals[[#This Row],[CustomerID]],Customers!A:A,Customers!D:D)</f>
        <v>41</v>
      </c>
      <c r="P1072" s="2" t="str" cm="1">
        <f t="array" ref="P1072">_xlfn.IFS(Deals[[#This Row],[Age]]&lt;30,"Under 30",Deals[[#This Row],[Age]]&lt;45,"30-44",TRUE,"45+")</f>
        <v>30-44</v>
      </c>
      <c r="Q1072" s="21">
        <f>IF(Deals[[#This Row],[Status]]="Pending","",Deals[[#This Row],[DecisionDate]]-Deals[[#This Row],[ApplicationDate]])</f>
        <v>12</v>
      </c>
      <c r="R1072" s="21">
        <f>IF(Deals[[#This Row],[Status]]="Approved",1,0)</f>
        <v>0</v>
      </c>
      <c r="S1072" s="21">
        <f>IF(Deals[[#This Row],[IsApproved]]=1,Deals[[#This Row],[Amount]],0)</f>
        <v>0</v>
      </c>
      <c r="T1072" s="21">
        <f>Deals[[#This Row],[ApprovedAmount]]*Deals[[#This Row],[ProfitRate]]</f>
        <v>0</v>
      </c>
    </row>
    <row r="1073" spans="1:20">
      <c r="A1073" s="2" t="s">
        <v>1818</v>
      </c>
      <c r="B1073" s="3">
        <v>46252</v>
      </c>
      <c r="C1073" s="2" t="s">
        <v>1173</v>
      </c>
      <c r="D1073" s="2" t="s">
        <v>54</v>
      </c>
      <c r="E1073" s="2" t="s">
        <v>15</v>
      </c>
      <c r="F1073" s="2" t="s">
        <v>31</v>
      </c>
      <c r="G1073" s="4">
        <v>7700</v>
      </c>
      <c r="H1073" s="5">
        <v>5.3100000000000001E-2</v>
      </c>
      <c r="I1073" s="2">
        <v>48</v>
      </c>
      <c r="J1073" s="2" t="s">
        <v>56</v>
      </c>
      <c r="K1073" s="2" t="s">
        <v>45</v>
      </c>
      <c r="L1073" s="3">
        <v>46254</v>
      </c>
      <c r="M1073" s="2" t="str">
        <f>_xlfn.XLOOKUP(Deals[[#This Row],[CustomerID]],Customers!A:A,Customers!F:F)</f>
        <v>Mass</v>
      </c>
      <c r="N1073" s="2" t="str">
        <f>_xlfn.XLOOKUP(Deals[[#This Row],[CustomerID]],Customers!A:A,Customers!E:E)</f>
        <v>Kuwaiti</v>
      </c>
      <c r="O1073" s="2">
        <f>2026-_xlfn.XLOOKUP(Deals[[#This Row],[CustomerID]],Customers!A:A,Customers!D:D)</f>
        <v>38</v>
      </c>
      <c r="P1073" s="2" t="str" cm="1">
        <f t="array" ref="P1073">_xlfn.IFS(Deals[[#This Row],[Age]]&lt;30,"Under 30",Deals[[#This Row],[Age]]&lt;45,"30-44",TRUE,"45+")</f>
        <v>30-44</v>
      </c>
      <c r="Q1073" s="21">
        <f>IF(Deals[[#This Row],[Status]]="Pending","",Deals[[#This Row],[DecisionDate]]-Deals[[#This Row],[ApplicationDate]])</f>
        <v>2</v>
      </c>
      <c r="R1073" s="21">
        <f>IF(Deals[[#This Row],[Status]]="Approved",1,0)</f>
        <v>0</v>
      </c>
      <c r="S1073" s="21">
        <f>IF(Deals[[#This Row],[IsApproved]]=1,Deals[[#This Row],[Amount]],0)</f>
        <v>0</v>
      </c>
      <c r="T1073" s="21">
        <f>Deals[[#This Row],[ApprovedAmount]]*Deals[[#This Row],[ProfitRate]]</f>
        <v>0</v>
      </c>
    </row>
    <row r="1074" spans="1:20">
      <c r="A1074" s="2" t="s">
        <v>1820</v>
      </c>
      <c r="B1074" s="3">
        <v>46252</v>
      </c>
      <c r="C1074" s="2" t="s">
        <v>370</v>
      </c>
      <c r="D1074" s="2" t="s">
        <v>25</v>
      </c>
      <c r="E1074" s="2" t="s">
        <v>21</v>
      </c>
      <c r="F1074" s="2" t="s">
        <v>55</v>
      </c>
      <c r="G1074" s="4">
        <v>64800</v>
      </c>
      <c r="H1074" s="5">
        <v>3.4299999999999997E-2</v>
      </c>
      <c r="I1074" s="2">
        <v>300</v>
      </c>
      <c r="J1074" s="2" t="s">
        <v>181</v>
      </c>
      <c r="K1074" s="2" t="s">
        <v>17</v>
      </c>
      <c r="L1074" s="3">
        <v>46267</v>
      </c>
      <c r="M1074" s="2" t="str">
        <f>_xlfn.XLOOKUP(Deals[[#This Row],[CustomerID]],Customers!A:A,Customers!F:F)</f>
        <v>Mass</v>
      </c>
      <c r="N1074" s="2" t="str">
        <f>_xlfn.XLOOKUP(Deals[[#This Row],[CustomerID]],Customers!A:A,Customers!E:E)</f>
        <v>Kuwaiti</v>
      </c>
      <c r="O1074" s="2">
        <f>2026-_xlfn.XLOOKUP(Deals[[#This Row],[CustomerID]],Customers!A:A,Customers!D:D)</f>
        <v>68</v>
      </c>
      <c r="P1074" s="2" t="str" cm="1">
        <f t="array" ref="P1074">_xlfn.IFS(Deals[[#This Row],[Age]]&lt;30,"Under 30",Deals[[#This Row],[Age]]&lt;45,"30-44",TRUE,"45+")</f>
        <v>45+</v>
      </c>
      <c r="Q1074" s="21">
        <f>IF(Deals[[#This Row],[Status]]="Pending","",Deals[[#This Row],[DecisionDate]]-Deals[[#This Row],[ApplicationDate]])</f>
        <v>15</v>
      </c>
      <c r="R1074" s="21">
        <f>IF(Deals[[#This Row],[Status]]="Approved",1,0)</f>
        <v>1</v>
      </c>
      <c r="S1074" s="21">
        <f>IF(Deals[[#This Row],[IsApproved]]=1,Deals[[#This Row],[Amount]],0)</f>
        <v>64800</v>
      </c>
      <c r="T1074" s="21">
        <f>Deals[[#This Row],[ApprovedAmount]]*Deals[[#This Row],[ProfitRate]]</f>
        <v>2222.64</v>
      </c>
    </row>
    <row r="1075" spans="1:20">
      <c r="A1075" s="2" t="s">
        <v>1821</v>
      </c>
      <c r="B1075" s="3">
        <v>46252</v>
      </c>
      <c r="C1075" s="2" t="s">
        <v>746</v>
      </c>
      <c r="D1075" s="2" t="s">
        <v>20</v>
      </c>
      <c r="E1075" s="2" t="s">
        <v>30</v>
      </c>
      <c r="F1075" s="2" t="s">
        <v>31</v>
      </c>
      <c r="G1075" s="4">
        <v>8800</v>
      </c>
      <c r="H1075" s="5">
        <v>3.8199999999999998E-2</v>
      </c>
      <c r="I1075" s="2">
        <v>60</v>
      </c>
      <c r="J1075" s="2" t="s">
        <v>44</v>
      </c>
      <c r="K1075" s="2" t="s">
        <v>45</v>
      </c>
      <c r="L1075" s="3">
        <v>46256</v>
      </c>
      <c r="M1075" s="2" t="str">
        <f>_xlfn.XLOOKUP(Deals[[#This Row],[CustomerID]],Customers!A:A,Customers!F:F)</f>
        <v>Mass</v>
      </c>
      <c r="N1075" s="2" t="str">
        <f>_xlfn.XLOOKUP(Deals[[#This Row],[CustomerID]],Customers!A:A,Customers!E:E)</f>
        <v>Kuwaiti</v>
      </c>
      <c r="O1075" s="2">
        <f>2026-_xlfn.XLOOKUP(Deals[[#This Row],[CustomerID]],Customers!A:A,Customers!D:D)</f>
        <v>40</v>
      </c>
      <c r="P1075" s="2" t="str" cm="1">
        <f t="array" ref="P1075">_xlfn.IFS(Deals[[#This Row],[Age]]&lt;30,"Under 30",Deals[[#This Row],[Age]]&lt;45,"30-44",TRUE,"45+")</f>
        <v>30-44</v>
      </c>
      <c r="Q1075" s="21">
        <f>IF(Deals[[#This Row],[Status]]="Pending","",Deals[[#This Row],[DecisionDate]]-Deals[[#This Row],[ApplicationDate]])</f>
        <v>4</v>
      </c>
      <c r="R1075" s="21">
        <f>IF(Deals[[#This Row],[Status]]="Approved",1,0)</f>
        <v>0</v>
      </c>
      <c r="S1075" s="21">
        <f>IF(Deals[[#This Row],[IsApproved]]=1,Deals[[#This Row],[Amount]],0)</f>
        <v>0</v>
      </c>
      <c r="T1075" s="21">
        <f>Deals[[#This Row],[ApprovedAmount]]*Deals[[#This Row],[ProfitRate]]</f>
        <v>0</v>
      </c>
    </row>
    <row r="1076" spans="1:20">
      <c r="A1076" s="2" t="s">
        <v>1822</v>
      </c>
      <c r="B1076" s="3">
        <v>46252</v>
      </c>
      <c r="C1076" s="2" t="s">
        <v>443</v>
      </c>
      <c r="D1076" s="2" t="s">
        <v>54</v>
      </c>
      <c r="E1076" s="2" t="s">
        <v>15</v>
      </c>
      <c r="F1076" s="2" t="s">
        <v>3</v>
      </c>
      <c r="G1076" s="4">
        <v>23600</v>
      </c>
      <c r="H1076" s="5">
        <v>6.3500000000000001E-2</v>
      </c>
      <c r="I1076" s="2">
        <v>36</v>
      </c>
      <c r="J1076" s="2" t="s">
        <v>56</v>
      </c>
      <c r="K1076" s="2" t="s">
        <v>17</v>
      </c>
      <c r="L1076" s="3">
        <v>46258</v>
      </c>
      <c r="M1076" s="2" t="str">
        <f>_xlfn.XLOOKUP(Deals[[#This Row],[CustomerID]],Customers!A:A,Customers!F:F)</f>
        <v>Affluent</v>
      </c>
      <c r="N1076" s="2" t="str">
        <f>_xlfn.XLOOKUP(Deals[[#This Row],[CustomerID]],Customers!A:A,Customers!E:E)</f>
        <v>Kuwaiti</v>
      </c>
      <c r="O1076" s="2">
        <f>2026-_xlfn.XLOOKUP(Deals[[#This Row],[CustomerID]],Customers!A:A,Customers!D:D)</f>
        <v>52</v>
      </c>
      <c r="P1076" s="2" t="str" cm="1">
        <f t="array" ref="P1076">_xlfn.IFS(Deals[[#This Row],[Age]]&lt;30,"Under 30",Deals[[#This Row],[Age]]&lt;45,"30-44",TRUE,"45+")</f>
        <v>45+</v>
      </c>
      <c r="Q1076" s="21">
        <f>IF(Deals[[#This Row],[Status]]="Pending","",Deals[[#This Row],[DecisionDate]]-Deals[[#This Row],[ApplicationDate]])</f>
        <v>6</v>
      </c>
      <c r="R1076" s="21">
        <f>IF(Deals[[#This Row],[Status]]="Approved",1,0)</f>
        <v>1</v>
      </c>
      <c r="S1076" s="21">
        <f>IF(Deals[[#This Row],[IsApproved]]=1,Deals[[#This Row],[Amount]],0)</f>
        <v>23600</v>
      </c>
      <c r="T1076" s="21">
        <f>Deals[[#This Row],[ApprovedAmount]]*Deals[[#This Row],[ProfitRate]]</f>
        <v>1498.6</v>
      </c>
    </row>
    <row r="1077" spans="1:20">
      <c r="A1077" s="2" t="s">
        <v>1823</v>
      </c>
      <c r="B1077" s="3">
        <v>46253</v>
      </c>
      <c r="C1077" s="2" t="s">
        <v>451</v>
      </c>
      <c r="D1077" s="2" t="s">
        <v>14</v>
      </c>
      <c r="E1077" s="2" t="s">
        <v>15</v>
      </c>
      <c r="F1077" s="2" t="s">
        <v>3</v>
      </c>
      <c r="G1077" s="4">
        <v>20700</v>
      </c>
      <c r="H1077" s="5">
        <v>5.62E-2</v>
      </c>
      <c r="I1077" s="2">
        <v>36</v>
      </c>
      <c r="J1077" s="2" t="s">
        <v>16</v>
      </c>
      <c r="K1077" s="2" t="s">
        <v>45</v>
      </c>
      <c r="L1077" s="3">
        <v>46255</v>
      </c>
      <c r="M1077" s="2" t="str">
        <f>_xlfn.XLOOKUP(Deals[[#This Row],[CustomerID]],Customers!A:A,Customers!F:F)</f>
        <v>Mass</v>
      </c>
      <c r="N1077" s="2" t="str">
        <f>_xlfn.XLOOKUP(Deals[[#This Row],[CustomerID]],Customers!A:A,Customers!E:E)</f>
        <v>Non-Kuwaiti</v>
      </c>
      <c r="O1077" s="2">
        <f>2026-_xlfn.XLOOKUP(Deals[[#This Row],[CustomerID]],Customers!A:A,Customers!D:D)</f>
        <v>33</v>
      </c>
      <c r="P1077" s="2" t="str" cm="1">
        <f t="array" ref="P1077">_xlfn.IFS(Deals[[#This Row],[Age]]&lt;30,"Under 30",Deals[[#This Row],[Age]]&lt;45,"30-44",TRUE,"45+")</f>
        <v>30-44</v>
      </c>
      <c r="Q1077" s="21">
        <f>IF(Deals[[#This Row],[Status]]="Pending","",Deals[[#This Row],[DecisionDate]]-Deals[[#This Row],[ApplicationDate]])</f>
        <v>2</v>
      </c>
      <c r="R1077" s="21">
        <f>IF(Deals[[#This Row],[Status]]="Approved",1,0)</f>
        <v>0</v>
      </c>
      <c r="S1077" s="21">
        <f>IF(Deals[[#This Row],[IsApproved]]=1,Deals[[#This Row],[Amount]],0)</f>
        <v>0</v>
      </c>
      <c r="T1077" s="21">
        <f>Deals[[#This Row],[ApprovedAmount]]*Deals[[#This Row],[ProfitRate]]</f>
        <v>0</v>
      </c>
    </row>
    <row r="1078" spans="1:20">
      <c r="A1078" s="2" t="s">
        <v>1824</v>
      </c>
      <c r="B1078" s="3">
        <v>46253</v>
      </c>
      <c r="C1078" s="2" t="s">
        <v>803</v>
      </c>
      <c r="D1078" s="2" t="s">
        <v>71</v>
      </c>
      <c r="E1078" s="2" t="s">
        <v>30</v>
      </c>
      <c r="F1078" s="2" t="s">
        <v>55</v>
      </c>
      <c r="G1078" s="4">
        <v>16000</v>
      </c>
      <c r="H1078" s="5">
        <v>4.8300000000000003E-2</v>
      </c>
      <c r="I1078" s="2">
        <v>60</v>
      </c>
      <c r="J1078" s="2" t="s">
        <v>94</v>
      </c>
      <c r="K1078" s="2" t="s">
        <v>17</v>
      </c>
      <c r="L1078" s="3">
        <v>46261</v>
      </c>
      <c r="M1078" s="2" t="str">
        <f>_xlfn.XLOOKUP(Deals[[#This Row],[CustomerID]],Customers!A:A,Customers!F:F)</f>
        <v>Affluent</v>
      </c>
      <c r="N1078" s="2" t="str">
        <f>_xlfn.XLOOKUP(Deals[[#This Row],[CustomerID]],Customers!A:A,Customers!E:E)</f>
        <v>Kuwaiti</v>
      </c>
      <c r="O1078" s="2">
        <f>2026-_xlfn.XLOOKUP(Deals[[#This Row],[CustomerID]],Customers!A:A,Customers!D:D)</f>
        <v>23</v>
      </c>
      <c r="P1078" s="2" t="str" cm="1">
        <f t="array" ref="P1078">_xlfn.IFS(Deals[[#This Row],[Age]]&lt;30,"Under 30",Deals[[#This Row],[Age]]&lt;45,"30-44",TRUE,"45+")</f>
        <v>Under 30</v>
      </c>
      <c r="Q1078" s="21">
        <f>IF(Deals[[#This Row],[Status]]="Pending","",Deals[[#This Row],[DecisionDate]]-Deals[[#This Row],[ApplicationDate]])</f>
        <v>8</v>
      </c>
      <c r="R1078" s="21">
        <f>IF(Deals[[#This Row],[Status]]="Approved",1,0)</f>
        <v>1</v>
      </c>
      <c r="S1078" s="21">
        <f>IF(Deals[[#This Row],[IsApproved]]=1,Deals[[#This Row],[Amount]],0)</f>
        <v>16000</v>
      </c>
      <c r="T1078" s="21">
        <f>Deals[[#This Row],[ApprovedAmount]]*Deals[[#This Row],[ProfitRate]]</f>
        <v>772.80000000000007</v>
      </c>
    </row>
    <row r="1079" spans="1:20">
      <c r="A1079" s="2" t="s">
        <v>1825</v>
      </c>
      <c r="B1079" s="3">
        <v>46253</v>
      </c>
      <c r="C1079" s="2" t="s">
        <v>571</v>
      </c>
      <c r="D1079" s="2" t="s">
        <v>14</v>
      </c>
      <c r="E1079" s="2" t="s">
        <v>30</v>
      </c>
      <c r="F1079" s="2" t="s">
        <v>31</v>
      </c>
      <c r="G1079" s="4">
        <v>5200</v>
      </c>
      <c r="H1079" s="5">
        <v>4.8500000000000001E-2</v>
      </c>
      <c r="I1079" s="2">
        <v>48</v>
      </c>
      <c r="J1079" s="2" t="s">
        <v>40</v>
      </c>
      <c r="K1079" s="2" t="s">
        <v>17</v>
      </c>
      <c r="L1079" s="3">
        <v>46258</v>
      </c>
      <c r="M1079" s="2" t="str">
        <f>_xlfn.XLOOKUP(Deals[[#This Row],[CustomerID]],Customers!A:A,Customers!F:F)</f>
        <v>Mass</v>
      </c>
      <c r="N1079" s="2" t="str">
        <f>_xlfn.XLOOKUP(Deals[[#This Row],[CustomerID]],Customers!A:A,Customers!E:E)</f>
        <v>Non-Kuwaiti</v>
      </c>
      <c r="O1079" s="2">
        <f>2026-_xlfn.XLOOKUP(Deals[[#This Row],[CustomerID]],Customers!A:A,Customers!D:D)</f>
        <v>69</v>
      </c>
      <c r="P1079" s="2" t="str" cm="1">
        <f t="array" ref="P1079">_xlfn.IFS(Deals[[#This Row],[Age]]&lt;30,"Under 30",Deals[[#This Row],[Age]]&lt;45,"30-44",TRUE,"45+")</f>
        <v>45+</v>
      </c>
      <c r="Q1079" s="21">
        <f>IF(Deals[[#This Row],[Status]]="Pending","",Deals[[#This Row],[DecisionDate]]-Deals[[#This Row],[ApplicationDate]])</f>
        <v>5</v>
      </c>
      <c r="R1079" s="21">
        <f>IF(Deals[[#This Row],[Status]]="Approved",1,0)</f>
        <v>1</v>
      </c>
      <c r="S1079" s="21">
        <f>IF(Deals[[#This Row],[IsApproved]]=1,Deals[[#This Row],[Amount]],0)</f>
        <v>5200</v>
      </c>
      <c r="T1079" s="21">
        <f>Deals[[#This Row],[ApprovedAmount]]*Deals[[#This Row],[ProfitRate]]</f>
        <v>252.20000000000002</v>
      </c>
    </row>
    <row r="1080" spans="1:20">
      <c r="A1080" s="2" t="s">
        <v>1826</v>
      </c>
      <c r="B1080" s="3">
        <v>46253</v>
      </c>
      <c r="C1080" s="2" t="s">
        <v>1004</v>
      </c>
      <c r="D1080" s="2" t="s">
        <v>71</v>
      </c>
      <c r="E1080" s="2" t="s">
        <v>21</v>
      </c>
      <c r="F1080" s="2" t="s">
        <v>55</v>
      </c>
      <c r="G1080" s="4">
        <v>141200</v>
      </c>
      <c r="H1080" s="5">
        <v>4.4299999999999999E-2</v>
      </c>
      <c r="I1080" s="2">
        <v>240</v>
      </c>
      <c r="J1080" s="2" t="s">
        <v>72</v>
      </c>
      <c r="K1080" s="2" t="s">
        <v>17</v>
      </c>
      <c r="L1080" s="3">
        <v>46285</v>
      </c>
      <c r="M1080" s="2" t="str">
        <f>_xlfn.XLOOKUP(Deals[[#This Row],[CustomerID]],Customers!A:A,Customers!F:F)</f>
        <v>Mass</v>
      </c>
      <c r="N1080" s="2" t="str">
        <f>_xlfn.XLOOKUP(Deals[[#This Row],[CustomerID]],Customers!A:A,Customers!E:E)</f>
        <v>Non-Kuwaiti</v>
      </c>
      <c r="O1080" s="2">
        <f>2026-_xlfn.XLOOKUP(Deals[[#This Row],[CustomerID]],Customers!A:A,Customers!D:D)</f>
        <v>27</v>
      </c>
      <c r="P1080" s="2" t="str" cm="1">
        <f t="array" ref="P1080">_xlfn.IFS(Deals[[#This Row],[Age]]&lt;30,"Under 30",Deals[[#This Row],[Age]]&lt;45,"30-44",TRUE,"45+")</f>
        <v>Under 30</v>
      </c>
      <c r="Q1080" s="21">
        <f>IF(Deals[[#This Row],[Status]]="Pending","",Deals[[#This Row],[DecisionDate]]-Deals[[#This Row],[ApplicationDate]])</f>
        <v>32</v>
      </c>
      <c r="R1080" s="21">
        <f>IF(Deals[[#This Row],[Status]]="Approved",1,0)</f>
        <v>1</v>
      </c>
      <c r="S1080" s="21">
        <f>IF(Deals[[#This Row],[IsApproved]]=1,Deals[[#This Row],[Amount]],0)</f>
        <v>141200</v>
      </c>
      <c r="T1080" s="21">
        <f>Deals[[#This Row],[ApprovedAmount]]*Deals[[#This Row],[ProfitRate]]</f>
        <v>6255.16</v>
      </c>
    </row>
    <row r="1081" spans="1:20">
      <c r="A1081" s="2" t="s">
        <v>1827</v>
      </c>
      <c r="B1081" s="3">
        <v>46253</v>
      </c>
      <c r="C1081" s="2" t="s">
        <v>1828</v>
      </c>
      <c r="D1081" s="2" t="s">
        <v>14</v>
      </c>
      <c r="E1081" s="2" t="s">
        <v>30</v>
      </c>
      <c r="F1081" s="2" t="s">
        <v>55</v>
      </c>
      <c r="G1081" s="4">
        <v>17000</v>
      </c>
      <c r="H1081" s="5">
        <v>4.8300000000000003E-2</v>
      </c>
      <c r="I1081" s="2">
        <v>60</v>
      </c>
      <c r="J1081" s="2" t="s">
        <v>40</v>
      </c>
      <c r="K1081" s="2" t="s">
        <v>17</v>
      </c>
      <c r="L1081" s="3">
        <v>46254</v>
      </c>
      <c r="M1081" s="2" t="str">
        <f>_xlfn.XLOOKUP(Deals[[#This Row],[CustomerID]],Customers!A:A,Customers!F:F)</f>
        <v>Affluent</v>
      </c>
      <c r="N1081" s="2" t="str">
        <f>_xlfn.XLOOKUP(Deals[[#This Row],[CustomerID]],Customers!A:A,Customers!E:E)</f>
        <v>Kuwaiti</v>
      </c>
      <c r="O1081" s="2">
        <f>2026-_xlfn.XLOOKUP(Deals[[#This Row],[CustomerID]],Customers!A:A,Customers!D:D)</f>
        <v>32</v>
      </c>
      <c r="P1081" s="2" t="str" cm="1">
        <f t="array" ref="P1081">_xlfn.IFS(Deals[[#This Row],[Age]]&lt;30,"Under 30",Deals[[#This Row],[Age]]&lt;45,"30-44",TRUE,"45+")</f>
        <v>30-44</v>
      </c>
      <c r="Q1081" s="21">
        <f>IF(Deals[[#This Row],[Status]]="Pending","",Deals[[#This Row],[DecisionDate]]-Deals[[#This Row],[ApplicationDate]])</f>
        <v>1</v>
      </c>
      <c r="R1081" s="21">
        <f>IF(Deals[[#This Row],[Status]]="Approved",1,0)</f>
        <v>1</v>
      </c>
      <c r="S1081" s="21">
        <f>IF(Deals[[#This Row],[IsApproved]]=1,Deals[[#This Row],[Amount]],0)</f>
        <v>17000</v>
      </c>
      <c r="T1081" s="21">
        <f>Deals[[#This Row],[ApprovedAmount]]*Deals[[#This Row],[ProfitRate]]</f>
        <v>821.1</v>
      </c>
    </row>
    <row r="1082" spans="1:20">
      <c r="A1082" s="2" t="s">
        <v>1829</v>
      </c>
      <c r="B1082" s="3">
        <v>46254</v>
      </c>
      <c r="C1082" s="2" t="s">
        <v>1830</v>
      </c>
      <c r="D1082" s="2" t="s">
        <v>25</v>
      </c>
      <c r="E1082" s="2" t="s">
        <v>43</v>
      </c>
      <c r="F1082" s="2" t="s">
        <v>3</v>
      </c>
      <c r="G1082" s="4">
        <v>50700</v>
      </c>
      <c r="H1082" s="5">
        <v>7.9500000000000001E-2</v>
      </c>
      <c r="I1082" s="2">
        <v>84</v>
      </c>
      <c r="J1082" s="2" t="s">
        <v>181</v>
      </c>
      <c r="K1082" s="2" t="s">
        <v>17</v>
      </c>
      <c r="L1082" s="3">
        <v>46273</v>
      </c>
      <c r="M1082" s="2" t="str">
        <f>_xlfn.XLOOKUP(Deals[[#This Row],[CustomerID]],Customers!A:A,Customers!F:F)</f>
        <v>Mass</v>
      </c>
      <c r="N1082" s="2" t="str">
        <f>_xlfn.XLOOKUP(Deals[[#This Row],[CustomerID]],Customers!A:A,Customers!E:E)</f>
        <v>Kuwaiti</v>
      </c>
      <c r="O1082" s="2">
        <f>2026-_xlfn.XLOOKUP(Deals[[#This Row],[CustomerID]],Customers!A:A,Customers!D:D)</f>
        <v>50</v>
      </c>
      <c r="P1082" s="2" t="str" cm="1">
        <f t="array" ref="P1082">_xlfn.IFS(Deals[[#This Row],[Age]]&lt;30,"Under 30",Deals[[#This Row],[Age]]&lt;45,"30-44",TRUE,"45+")</f>
        <v>45+</v>
      </c>
      <c r="Q1082" s="21">
        <f>IF(Deals[[#This Row],[Status]]="Pending","",Deals[[#This Row],[DecisionDate]]-Deals[[#This Row],[ApplicationDate]])</f>
        <v>19</v>
      </c>
      <c r="R1082" s="21">
        <f>IF(Deals[[#This Row],[Status]]="Approved",1,0)</f>
        <v>1</v>
      </c>
      <c r="S1082" s="21">
        <f>IF(Deals[[#This Row],[IsApproved]]=1,Deals[[#This Row],[Amount]],0)</f>
        <v>50700</v>
      </c>
      <c r="T1082" s="21">
        <f>Deals[[#This Row],[ApprovedAmount]]*Deals[[#This Row],[ProfitRate]]</f>
        <v>4030.65</v>
      </c>
    </row>
    <row r="1083" spans="1:20">
      <c r="A1083" s="2" t="s">
        <v>1831</v>
      </c>
      <c r="B1083" s="3">
        <v>46254</v>
      </c>
      <c r="C1083" s="2" t="s">
        <v>751</v>
      </c>
      <c r="D1083" s="2" t="s">
        <v>20</v>
      </c>
      <c r="E1083" s="2" t="s">
        <v>43</v>
      </c>
      <c r="F1083" s="2" t="s">
        <v>3</v>
      </c>
      <c r="G1083" s="4">
        <v>132200</v>
      </c>
      <c r="H1083" s="5">
        <v>6.3100000000000003E-2</v>
      </c>
      <c r="I1083" s="2">
        <v>36</v>
      </c>
      <c r="J1083" s="2" t="s">
        <v>37</v>
      </c>
      <c r="K1083" s="2" t="s">
        <v>45</v>
      </c>
      <c r="L1083" s="3">
        <v>46269</v>
      </c>
      <c r="M1083" s="2" t="str">
        <f>_xlfn.XLOOKUP(Deals[[#This Row],[CustomerID]],Customers!A:A,Customers!F:F)</f>
        <v>Premium</v>
      </c>
      <c r="N1083" s="2" t="str">
        <f>_xlfn.XLOOKUP(Deals[[#This Row],[CustomerID]],Customers!A:A,Customers!E:E)</f>
        <v>Non-Kuwaiti</v>
      </c>
      <c r="O1083" s="2">
        <f>2026-_xlfn.XLOOKUP(Deals[[#This Row],[CustomerID]],Customers!A:A,Customers!D:D)</f>
        <v>56</v>
      </c>
      <c r="P1083" s="2" t="str" cm="1">
        <f t="array" ref="P1083">_xlfn.IFS(Deals[[#This Row],[Age]]&lt;30,"Under 30",Deals[[#This Row],[Age]]&lt;45,"30-44",TRUE,"45+")</f>
        <v>45+</v>
      </c>
      <c r="Q1083" s="21">
        <f>IF(Deals[[#This Row],[Status]]="Pending","",Deals[[#This Row],[DecisionDate]]-Deals[[#This Row],[ApplicationDate]])</f>
        <v>15</v>
      </c>
      <c r="R1083" s="21">
        <f>IF(Deals[[#This Row],[Status]]="Approved",1,0)</f>
        <v>0</v>
      </c>
      <c r="S1083" s="21">
        <f>IF(Deals[[#This Row],[IsApproved]]=1,Deals[[#This Row],[Amount]],0)</f>
        <v>0</v>
      </c>
      <c r="T1083" s="21">
        <f>Deals[[#This Row],[ApprovedAmount]]*Deals[[#This Row],[ProfitRate]]</f>
        <v>0</v>
      </c>
    </row>
    <row r="1084" spans="1:20">
      <c r="A1084" s="2" t="s">
        <v>1832</v>
      </c>
      <c r="B1084" s="3">
        <v>46254</v>
      </c>
      <c r="C1084" s="2" t="s">
        <v>1833</v>
      </c>
      <c r="D1084" s="2" t="s">
        <v>54</v>
      </c>
      <c r="E1084" s="2" t="s">
        <v>15</v>
      </c>
      <c r="F1084" s="2" t="s">
        <v>31</v>
      </c>
      <c r="G1084" s="4">
        <v>20400</v>
      </c>
      <c r="H1084" s="5">
        <v>5.7000000000000002E-2</v>
      </c>
      <c r="I1084" s="2">
        <v>48</v>
      </c>
      <c r="J1084" s="2" t="s">
        <v>56</v>
      </c>
      <c r="K1084" s="2" t="s">
        <v>17</v>
      </c>
      <c r="L1084" s="3">
        <v>46259</v>
      </c>
      <c r="M1084" s="2" t="str">
        <f>_xlfn.XLOOKUP(Deals[[#This Row],[CustomerID]],Customers!A:A,Customers!F:F)</f>
        <v>Affluent</v>
      </c>
      <c r="N1084" s="2" t="str">
        <f>_xlfn.XLOOKUP(Deals[[#This Row],[CustomerID]],Customers!A:A,Customers!E:E)</f>
        <v>Kuwaiti</v>
      </c>
      <c r="O1084" s="2">
        <f>2026-_xlfn.XLOOKUP(Deals[[#This Row],[CustomerID]],Customers!A:A,Customers!D:D)</f>
        <v>26</v>
      </c>
      <c r="P1084" s="2" t="str" cm="1">
        <f t="array" ref="P1084">_xlfn.IFS(Deals[[#This Row],[Age]]&lt;30,"Under 30",Deals[[#This Row],[Age]]&lt;45,"30-44",TRUE,"45+")</f>
        <v>Under 30</v>
      </c>
      <c r="Q1084" s="21">
        <f>IF(Deals[[#This Row],[Status]]="Pending","",Deals[[#This Row],[DecisionDate]]-Deals[[#This Row],[ApplicationDate]])</f>
        <v>5</v>
      </c>
      <c r="R1084" s="21">
        <f>IF(Deals[[#This Row],[Status]]="Approved",1,0)</f>
        <v>1</v>
      </c>
      <c r="S1084" s="21">
        <f>IF(Deals[[#This Row],[IsApproved]]=1,Deals[[#This Row],[Amount]],0)</f>
        <v>20400</v>
      </c>
      <c r="T1084" s="21">
        <f>Deals[[#This Row],[ApprovedAmount]]*Deals[[#This Row],[ProfitRate]]</f>
        <v>1162.8</v>
      </c>
    </row>
    <row r="1085" spans="1:20">
      <c r="A1085" s="2" t="s">
        <v>1834</v>
      </c>
      <c r="B1085" s="3">
        <v>46254</v>
      </c>
      <c r="C1085" s="2" t="s">
        <v>1835</v>
      </c>
      <c r="D1085" s="2" t="s">
        <v>20</v>
      </c>
      <c r="E1085" s="2" t="s">
        <v>30</v>
      </c>
      <c r="F1085" s="2" t="s">
        <v>31</v>
      </c>
      <c r="G1085" s="4">
        <v>7900</v>
      </c>
      <c r="H1085" s="5">
        <v>3.6900000000000002E-2</v>
      </c>
      <c r="I1085" s="2">
        <v>48</v>
      </c>
      <c r="J1085" s="2" t="s">
        <v>44</v>
      </c>
      <c r="K1085" s="2" t="s">
        <v>17</v>
      </c>
      <c r="L1085" s="3">
        <v>46257</v>
      </c>
      <c r="M1085" s="2" t="str">
        <f>_xlfn.XLOOKUP(Deals[[#This Row],[CustomerID]],Customers!A:A,Customers!F:F)</f>
        <v>Affluent</v>
      </c>
      <c r="N1085" s="2" t="str">
        <f>_xlfn.XLOOKUP(Deals[[#This Row],[CustomerID]],Customers!A:A,Customers!E:E)</f>
        <v>Non-Kuwaiti</v>
      </c>
      <c r="O1085" s="2">
        <f>2026-_xlfn.XLOOKUP(Deals[[#This Row],[CustomerID]],Customers!A:A,Customers!D:D)</f>
        <v>29</v>
      </c>
      <c r="P1085" s="2" t="str" cm="1">
        <f t="array" ref="P1085">_xlfn.IFS(Deals[[#This Row],[Age]]&lt;30,"Under 30",Deals[[#This Row],[Age]]&lt;45,"30-44",TRUE,"45+")</f>
        <v>Under 30</v>
      </c>
      <c r="Q1085" s="21">
        <f>IF(Deals[[#This Row],[Status]]="Pending","",Deals[[#This Row],[DecisionDate]]-Deals[[#This Row],[ApplicationDate]])</f>
        <v>3</v>
      </c>
      <c r="R1085" s="21">
        <f>IF(Deals[[#This Row],[Status]]="Approved",1,0)</f>
        <v>1</v>
      </c>
      <c r="S1085" s="21">
        <f>IF(Deals[[#This Row],[IsApproved]]=1,Deals[[#This Row],[Amount]],0)</f>
        <v>7900</v>
      </c>
      <c r="T1085" s="21">
        <f>Deals[[#This Row],[ApprovedAmount]]*Deals[[#This Row],[ProfitRate]]</f>
        <v>291.51</v>
      </c>
    </row>
    <row r="1086" spans="1:20">
      <c r="A1086" s="2" t="s">
        <v>1836</v>
      </c>
      <c r="B1086" s="3">
        <v>46254</v>
      </c>
      <c r="C1086" s="2" t="s">
        <v>1601</v>
      </c>
      <c r="D1086" s="2" t="s">
        <v>25</v>
      </c>
      <c r="E1086" s="2" t="s">
        <v>15</v>
      </c>
      <c r="F1086" s="2" t="s">
        <v>3</v>
      </c>
      <c r="G1086" s="4">
        <v>15100</v>
      </c>
      <c r="H1086" s="5">
        <v>5.4800000000000001E-2</v>
      </c>
      <c r="I1086" s="2">
        <v>36</v>
      </c>
      <c r="J1086" s="2" t="s">
        <v>26</v>
      </c>
      <c r="K1086" s="2" t="s">
        <v>45</v>
      </c>
      <c r="L1086" s="3">
        <v>46261</v>
      </c>
      <c r="M1086" s="2" t="str">
        <f>_xlfn.XLOOKUP(Deals[[#This Row],[CustomerID]],Customers!A:A,Customers!F:F)</f>
        <v>Mass</v>
      </c>
      <c r="N1086" s="2" t="str">
        <f>_xlfn.XLOOKUP(Deals[[#This Row],[CustomerID]],Customers!A:A,Customers!E:E)</f>
        <v>Kuwaiti</v>
      </c>
      <c r="O1086" s="2">
        <f>2026-_xlfn.XLOOKUP(Deals[[#This Row],[CustomerID]],Customers!A:A,Customers!D:D)</f>
        <v>47</v>
      </c>
      <c r="P1086" s="2" t="str" cm="1">
        <f t="array" ref="P1086">_xlfn.IFS(Deals[[#This Row],[Age]]&lt;30,"Under 30",Deals[[#This Row],[Age]]&lt;45,"30-44",TRUE,"45+")</f>
        <v>45+</v>
      </c>
      <c r="Q1086" s="21">
        <f>IF(Deals[[#This Row],[Status]]="Pending","",Deals[[#This Row],[DecisionDate]]-Deals[[#This Row],[ApplicationDate]])</f>
        <v>7</v>
      </c>
      <c r="R1086" s="21">
        <f>IF(Deals[[#This Row],[Status]]="Approved",1,0)</f>
        <v>0</v>
      </c>
      <c r="S1086" s="21">
        <f>IF(Deals[[#This Row],[IsApproved]]=1,Deals[[#This Row],[Amount]],0)</f>
        <v>0</v>
      </c>
      <c r="T1086" s="21">
        <f>Deals[[#This Row],[ApprovedAmount]]*Deals[[#This Row],[ProfitRate]]</f>
        <v>0</v>
      </c>
    </row>
    <row r="1087" spans="1:20">
      <c r="A1087" s="2" t="s">
        <v>1837</v>
      </c>
      <c r="B1087" s="3">
        <v>46254</v>
      </c>
      <c r="C1087" s="2" t="s">
        <v>468</v>
      </c>
      <c r="D1087" s="2" t="s">
        <v>14</v>
      </c>
      <c r="E1087" s="2" t="s">
        <v>15</v>
      </c>
      <c r="F1087" s="2" t="s">
        <v>3</v>
      </c>
      <c r="G1087" s="4">
        <v>17800</v>
      </c>
      <c r="H1087" s="5">
        <v>5.0900000000000001E-2</v>
      </c>
      <c r="I1087" s="2">
        <v>48</v>
      </c>
      <c r="J1087" s="2" t="s">
        <v>16</v>
      </c>
      <c r="K1087" s="2" t="s">
        <v>17</v>
      </c>
      <c r="L1087" s="3">
        <v>46261</v>
      </c>
      <c r="M1087" s="2" t="str">
        <f>_xlfn.XLOOKUP(Deals[[#This Row],[CustomerID]],Customers!A:A,Customers!F:F)</f>
        <v>Premium</v>
      </c>
      <c r="N1087" s="2" t="str">
        <f>_xlfn.XLOOKUP(Deals[[#This Row],[CustomerID]],Customers!A:A,Customers!E:E)</f>
        <v>Kuwaiti</v>
      </c>
      <c r="O1087" s="2">
        <f>2026-_xlfn.XLOOKUP(Deals[[#This Row],[CustomerID]],Customers!A:A,Customers!D:D)</f>
        <v>51</v>
      </c>
      <c r="P1087" s="2" t="str" cm="1">
        <f t="array" ref="P1087">_xlfn.IFS(Deals[[#This Row],[Age]]&lt;30,"Under 30",Deals[[#This Row],[Age]]&lt;45,"30-44",TRUE,"45+")</f>
        <v>45+</v>
      </c>
      <c r="Q1087" s="21">
        <f>IF(Deals[[#This Row],[Status]]="Pending","",Deals[[#This Row],[DecisionDate]]-Deals[[#This Row],[ApplicationDate]])</f>
        <v>7</v>
      </c>
      <c r="R1087" s="21">
        <f>IF(Deals[[#This Row],[Status]]="Approved",1,0)</f>
        <v>1</v>
      </c>
      <c r="S1087" s="21">
        <f>IF(Deals[[#This Row],[IsApproved]]=1,Deals[[#This Row],[Amount]],0)</f>
        <v>17800</v>
      </c>
      <c r="T1087" s="21">
        <f>Deals[[#This Row],[ApprovedAmount]]*Deals[[#This Row],[ProfitRate]]</f>
        <v>906.02</v>
      </c>
    </row>
    <row r="1088" spans="1:20">
      <c r="A1088" s="2" t="s">
        <v>1838</v>
      </c>
      <c r="B1088" s="3">
        <v>46254</v>
      </c>
      <c r="C1088" s="2" t="s">
        <v>244</v>
      </c>
      <c r="D1088" s="2" t="s">
        <v>14</v>
      </c>
      <c r="E1088" s="2" t="s">
        <v>43</v>
      </c>
      <c r="F1088" s="2" t="s">
        <v>3</v>
      </c>
      <c r="G1088" s="4">
        <v>125200</v>
      </c>
      <c r="H1088" s="5">
        <v>7.5800000000000006E-2</v>
      </c>
      <c r="I1088" s="2">
        <v>84</v>
      </c>
      <c r="J1088" s="2" t="s">
        <v>40</v>
      </c>
      <c r="K1088" s="2" t="s">
        <v>45</v>
      </c>
      <c r="L1088" s="3">
        <v>46262</v>
      </c>
      <c r="M1088" s="2" t="str">
        <f>_xlfn.XLOOKUP(Deals[[#This Row],[CustomerID]],Customers!A:A,Customers!F:F)</f>
        <v>Premium</v>
      </c>
      <c r="N1088" s="2" t="str">
        <f>_xlfn.XLOOKUP(Deals[[#This Row],[CustomerID]],Customers!A:A,Customers!E:E)</f>
        <v>Kuwaiti</v>
      </c>
      <c r="O1088" s="2">
        <f>2026-_xlfn.XLOOKUP(Deals[[#This Row],[CustomerID]],Customers!A:A,Customers!D:D)</f>
        <v>65</v>
      </c>
      <c r="P1088" s="2" t="str" cm="1">
        <f t="array" ref="P1088">_xlfn.IFS(Deals[[#This Row],[Age]]&lt;30,"Under 30",Deals[[#This Row],[Age]]&lt;45,"30-44",TRUE,"45+")</f>
        <v>45+</v>
      </c>
      <c r="Q1088" s="21">
        <f>IF(Deals[[#This Row],[Status]]="Pending","",Deals[[#This Row],[DecisionDate]]-Deals[[#This Row],[ApplicationDate]])</f>
        <v>8</v>
      </c>
      <c r="R1088" s="21">
        <f>IF(Deals[[#This Row],[Status]]="Approved",1,0)</f>
        <v>0</v>
      </c>
      <c r="S1088" s="21">
        <f>IF(Deals[[#This Row],[IsApproved]]=1,Deals[[#This Row],[Amount]],0)</f>
        <v>0</v>
      </c>
      <c r="T1088" s="21">
        <f>Deals[[#This Row],[ApprovedAmount]]*Deals[[#This Row],[ProfitRate]]</f>
        <v>0</v>
      </c>
    </row>
    <row r="1089" spans="1:20">
      <c r="A1089" s="2" t="s">
        <v>1839</v>
      </c>
      <c r="B1089" s="3">
        <v>46254</v>
      </c>
      <c r="C1089" s="2" t="s">
        <v>1840</v>
      </c>
      <c r="D1089" s="2" t="s">
        <v>54</v>
      </c>
      <c r="E1089" s="2" t="s">
        <v>30</v>
      </c>
      <c r="F1089" s="2" t="s">
        <v>55</v>
      </c>
      <c r="G1089" s="4">
        <v>7500</v>
      </c>
      <c r="H1089" s="5">
        <v>4.9700000000000001E-2</v>
      </c>
      <c r="I1089" s="2">
        <v>60</v>
      </c>
      <c r="J1089" s="2" t="s">
        <v>186</v>
      </c>
      <c r="K1089" s="2" t="s">
        <v>45</v>
      </c>
      <c r="L1089" s="3">
        <v>46257</v>
      </c>
      <c r="M1089" s="2" t="str">
        <f>_xlfn.XLOOKUP(Deals[[#This Row],[CustomerID]],Customers!A:A,Customers!F:F)</f>
        <v>Mass</v>
      </c>
      <c r="N1089" s="2" t="str">
        <f>_xlfn.XLOOKUP(Deals[[#This Row],[CustomerID]],Customers!A:A,Customers!E:E)</f>
        <v>Non-Kuwaiti</v>
      </c>
      <c r="O1089" s="2">
        <f>2026-_xlfn.XLOOKUP(Deals[[#This Row],[CustomerID]],Customers!A:A,Customers!D:D)</f>
        <v>54</v>
      </c>
      <c r="P1089" s="2" t="str" cm="1">
        <f t="array" ref="P1089">_xlfn.IFS(Deals[[#This Row],[Age]]&lt;30,"Under 30",Deals[[#This Row],[Age]]&lt;45,"30-44",TRUE,"45+")</f>
        <v>45+</v>
      </c>
      <c r="Q1089" s="21">
        <f>IF(Deals[[#This Row],[Status]]="Pending","",Deals[[#This Row],[DecisionDate]]-Deals[[#This Row],[ApplicationDate]])</f>
        <v>3</v>
      </c>
      <c r="R1089" s="21">
        <f>IF(Deals[[#This Row],[Status]]="Approved",1,0)</f>
        <v>0</v>
      </c>
      <c r="S1089" s="21">
        <f>IF(Deals[[#This Row],[IsApproved]]=1,Deals[[#This Row],[Amount]],0)</f>
        <v>0</v>
      </c>
      <c r="T1089" s="21">
        <f>Deals[[#This Row],[ApprovedAmount]]*Deals[[#This Row],[ProfitRate]]</f>
        <v>0</v>
      </c>
    </row>
    <row r="1090" spans="1:20">
      <c r="A1090" s="2" t="s">
        <v>1841</v>
      </c>
      <c r="B1090" s="3">
        <v>46255</v>
      </c>
      <c r="C1090" s="2" t="s">
        <v>1842</v>
      </c>
      <c r="D1090" s="2" t="s">
        <v>29</v>
      </c>
      <c r="E1090" s="2" t="s">
        <v>15</v>
      </c>
      <c r="F1090" s="2" t="s">
        <v>3</v>
      </c>
      <c r="G1090" s="4">
        <v>7400</v>
      </c>
      <c r="H1090" s="5">
        <v>6.2300000000000001E-2</v>
      </c>
      <c r="I1090" s="2">
        <v>36</v>
      </c>
      <c r="J1090" s="2" t="s">
        <v>123</v>
      </c>
      <c r="K1090" s="2" t="s">
        <v>17</v>
      </c>
      <c r="L1090" s="3">
        <v>46259</v>
      </c>
      <c r="M1090" s="2" t="str">
        <f>_xlfn.XLOOKUP(Deals[[#This Row],[CustomerID]],Customers!A:A,Customers!F:F)</f>
        <v>Mass</v>
      </c>
      <c r="N1090" s="2" t="str">
        <f>_xlfn.XLOOKUP(Deals[[#This Row],[CustomerID]],Customers!A:A,Customers!E:E)</f>
        <v>Non-Kuwaiti</v>
      </c>
      <c r="O1090" s="2">
        <f>2026-_xlfn.XLOOKUP(Deals[[#This Row],[CustomerID]],Customers!A:A,Customers!D:D)</f>
        <v>25</v>
      </c>
      <c r="P1090" s="2" t="str" cm="1">
        <f t="array" ref="P1090">_xlfn.IFS(Deals[[#This Row],[Age]]&lt;30,"Under 30",Deals[[#This Row],[Age]]&lt;45,"30-44",TRUE,"45+")</f>
        <v>Under 30</v>
      </c>
      <c r="Q1090" s="21">
        <f>IF(Deals[[#This Row],[Status]]="Pending","",Deals[[#This Row],[DecisionDate]]-Deals[[#This Row],[ApplicationDate]])</f>
        <v>4</v>
      </c>
      <c r="R1090" s="21">
        <f>IF(Deals[[#This Row],[Status]]="Approved",1,0)</f>
        <v>1</v>
      </c>
      <c r="S1090" s="21">
        <f>IF(Deals[[#This Row],[IsApproved]]=1,Deals[[#This Row],[Amount]],0)</f>
        <v>7400</v>
      </c>
      <c r="T1090" s="21">
        <f>Deals[[#This Row],[ApprovedAmount]]*Deals[[#This Row],[ProfitRate]]</f>
        <v>461.02</v>
      </c>
    </row>
    <row r="1091" spans="1:20">
      <c r="A1091" s="2" t="s">
        <v>1843</v>
      </c>
      <c r="B1091" s="3">
        <v>46255</v>
      </c>
      <c r="C1091" s="2" t="s">
        <v>1194</v>
      </c>
      <c r="D1091" s="2" t="s">
        <v>14</v>
      </c>
      <c r="E1091" s="2" t="s">
        <v>15</v>
      </c>
      <c r="F1091" s="2" t="s">
        <v>3</v>
      </c>
      <c r="G1091" s="4">
        <v>19400</v>
      </c>
      <c r="H1091" s="5">
        <v>5.2699999999999997E-2</v>
      </c>
      <c r="I1091" s="2">
        <v>12</v>
      </c>
      <c r="J1091" s="2" t="s">
        <v>16</v>
      </c>
      <c r="K1091" s="2" t="s">
        <v>17</v>
      </c>
      <c r="L1091" s="3">
        <v>46262</v>
      </c>
      <c r="M1091" s="2" t="str">
        <f>_xlfn.XLOOKUP(Deals[[#This Row],[CustomerID]],Customers!A:A,Customers!F:F)</f>
        <v>Affluent</v>
      </c>
      <c r="N1091" s="2" t="str">
        <f>_xlfn.XLOOKUP(Deals[[#This Row],[CustomerID]],Customers!A:A,Customers!E:E)</f>
        <v>Kuwaiti</v>
      </c>
      <c r="O1091" s="2">
        <f>2026-_xlfn.XLOOKUP(Deals[[#This Row],[CustomerID]],Customers!A:A,Customers!D:D)</f>
        <v>30</v>
      </c>
      <c r="P1091" s="2" t="str" cm="1">
        <f t="array" ref="P1091">_xlfn.IFS(Deals[[#This Row],[Age]]&lt;30,"Under 30",Deals[[#This Row],[Age]]&lt;45,"30-44",TRUE,"45+")</f>
        <v>30-44</v>
      </c>
      <c r="Q1091" s="21">
        <f>IF(Deals[[#This Row],[Status]]="Pending","",Deals[[#This Row],[DecisionDate]]-Deals[[#This Row],[ApplicationDate]])</f>
        <v>7</v>
      </c>
      <c r="R1091" s="21">
        <f>IF(Deals[[#This Row],[Status]]="Approved",1,0)</f>
        <v>1</v>
      </c>
      <c r="S1091" s="21">
        <f>IF(Deals[[#This Row],[IsApproved]]=1,Deals[[#This Row],[Amount]],0)</f>
        <v>19400</v>
      </c>
      <c r="T1091" s="21">
        <f>Deals[[#This Row],[ApprovedAmount]]*Deals[[#This Row],[ProfitRate]]</f>
        <v>1022.38</v>
      </c>
    </row>
    <row r="1092" spans="1:20">
      <c r="A1092" s="2" t="s">
        <v>1844</v>
      </c>
      <c r="B1092" s="3">
        <v>46255</v>
      </c>
      <c r="C1092" s="2" t="s">
        <v>1845</v>
      </c>
      <c r="D1092" s="2" t="s">
        <v>14</v>
      </c>
      <c r="E1092" s="2" t="s">
        <v>30</v>
      </c>
      <c r="F1092" s="2" t="s">
        <v>3</v>
      </c>
      <c r="G1092" s="4">
        <v>8200</v>
      </c>
      <c r="H1092" s="5">
        <v>4.1500000000000002E-2</v>
      </c>
      <c r="I1092" s="2">
        <v>36</v>
      </c>
      <c r="J1092" s="2" t="s">
        <v>16</v>
      </c>
      <c r="K1092" s="2" t="s">
        <v>17</v>
      </c>
      <c r="L1092" s="3">
        <v>46258</v>
      </c>
      <c r="M1092" s="2" t="str">
        <f>_xlfn.XLOOKUP(Deals[[#This Row],[CustomerID]],Customers!A:A,Customers!F:F)</f>
        <v>Mass</v>
      </c>
      <c r="N1092" s="2" t="str">
        <f>_xlfn.XLOOKUP(Deals[[#This Row],[CustomerID]],Customers!A:A,Customers!E:E)</f>
        <v>Non-Kuwaiti</v>
      </c>
      <c r="O1092" s="2">
        <f>2026-_xlfn.XLOOKUP(Deals[[#This Row],[CustomerID]],Customers!A:A,Customers!D:D)</f>
        <v>41</v>
      </c>
      <c r="P1092" s="2" t="str" cm="1">
        <f t="array" ref="P1092">_xlfn.IFS(Deals[[#This Row],[Age]]&lt;30,"Under 30",Deals[[#This Row],[Age]]&lt;45,"30-44",TRUE,"45+")</f>
        <v>30-44</v>
      </c>
      <c r="Q1092" s="21">
        <f>IF(Deals[[#This Row],[Status]]="Pending","",Deals[[#This Row],[DecisionDate]]-Deals[[#This Row],[ApplicationDate]])</f>
        <v>3</v>
      </c>
      <c r="R1092" s="21">
        <f>IF(Deals[[#This Row],[Status]]="Approved",1,0)</f>
        <v>1</v>
      </c>
      <c r="S1092" s="21">
        <f>IF(Deals[[#This Row],[IsApproved]]=1,Deals[[#This Row],[Amount]],0)</f>
        <v>8200</v>
      </c>
      <c r="T1092" s="21">
        <f>Deals[[#This Row],[ApprovedAmount]]*Deals[[#This Row],[ProfitRate]]</f>
        <v>340.3</v>
      </c>
    </row>
    <row r="1093" spans="1:20">
      <c r="A1093" s="2" t="s">
        <v>1846</v>
      </c>
      <c r="B1093" s="3">
        <v>46255</v>
      </c>
      <c r="C1093" s="2" t="s">
        <v>1847</v>
      </c>
      <c r="D1093" s="2" t="s">
        <v>25</v>
      </c>
      <c r="E1093" s="2" t="s">
        <v>30</v>
      </c>
      <c r="F1093" s="2" t="s">
        <v>3</v>
      </c>
      <c r="G1093" s="4">
        <v>9800</v>
      </c>
      <c r="H1093" s="5">
        <v>4.36E-2</v>
      </c>
      <c r="I1093" s="2">
        <v>60</v>
      </c>
      <c r="J1093" s="2" t="s">
        <v>181</v>
      </c>
      <c r="K1093" s="2" t="s">
        <v>17</v>
      </c>
      <c r="L1093" s="3">
        <v>46258</v>
      </c>
      <c r="M1093" s="2" t="str">
        <f>_xlfn.XLOOKUP(Deals[[#This Row],[CustomerID]],Customers!A:A,Customers!F:F)</f>
        <v>Affluent</v>
      </c>
      <c r="N1093" s="2" t="str">
        <f>_xlfn.XLOOKUP(Deals[[#This Row],[CustomerID]],Customers!A:A,Customers!E:E)</f>
        <v>Kuwaiti</v>
      </c>
      <c r="O1093" s="2">
        <f>2026-_xlfn.XLOOKUP(Deals[[#This Row],[CustomerID]],Customers!A:A,Customers!D:D)</f>
        <v>39</v>
      </c>
      <c r="P1093" s="2" t="str" cm="1">
        <f t="array" ref="P1093">_xlfn.IFS(Deals[[#This Row],[Age]]&lt;30,"Under 30",Deals[[#This Row],[Age]]&lt;45,"30-44",TRUE,"45+")</f>
        <v>30-44</v>
      </c>
      <c r="Q1093" s="21">
        <f>IF(Deals[[#This Row],[Status]]="Pending","",Deals[[#This Row],[DecisionDate]]-Deals[[#This Row],[ApplicationDate]])</f>
        <v>3</v>
      </c>
      <c r="R1093" s="21">
        <f>IF(Deals[[#This Row],[Status]]="Approved",1,0)</f>
        <v>1</v>
      </c>
      <c r="S1093" s="21">
        <f>IF(Deals[[#This Row],[IsApproved]]=1,Deals[[#This Row],[Amount]],0)</f>
        <v>9800</v>
      </c>
      <c r="T1093" s="21">
        <f>Deals[[#This Row],[ApprovedAmount]]*Deals[[#This Row],[ProfitRate]]</f>
        <v>427.28</v>
      </c>
    </row>
    <row r="1094" spans="1:20">
      <c r="A1094" s="2" t="s">
        <v>1848</v>
      </c>
      <c r="B1094" s="3">
        <v>46255</v>
      </c>
      <c r="C1094" s="2" t="s">
        <v>552</v>
      </c>
      <c r="D1094" s="2" t="s">
        <v>20</v>
      </c>
      <c r="E1094" s="2" t="s">
        <v>15</v>
      </c>
      <c r="F1094" s="2" t="s">
        <v>3</v>
      </c>
      <c r="G1094" s="4">
        <v>11400</v>
      </c>
      <c r="H1094" s="5">
        <v>6.6600000000000006E-2</v>
      </c>
      <c r="I1094" s="2">
        <v>36</v>
      </c>
      <c r="J1094" s="2" t="s">
        <v>37</v>
      </c>
      <c r="K1094" s="2" t="s">
        <v>17</v>
      </c>
      <c r="L1094" s="3">
        <v>46259</v>
      </c>
      <c r="M1094" s="2" t="str">
        <f>_xlfn.XLOOKUP(Deals[[#This Row],[CustomerID]],Customers!A:A,Customers!F:F)</f>
        <v>Mass</v>
      </c>
      <c r="N1094" s="2" t="str">
        <f>_xlfn.XLOOKUP(Deals[[#This Row],[CustomerID]],Customers!A:A,Customers!E:E)</f>
        <v>Kuwaiti</v>
      </c>
      <c r="O1094" s="2">
        <f>2026-_xlfn.XLOOKUP(Deals[[#This Row],[CustomerID]],Customers!A:A,Customers!D:D)</f>
        <v>50</v>
      </c>
      <c r="P1094" s="2" t="str" cm="1">
        <f t="array" ref="P1094">_xlfn.IFS(Deals[[#This Row],[Age]]&lt;30,"Under 30",Deals[[#This Row],[Age]]&lt;45,"30-44",TRUE,"45+")</f>
        <v>45+</v>
      </c>
      <c r="Q1094" s="21">
        <f>IF(Deals[[#This Row],[Status]]="Pending","",Deals[[#This Row],[DecisionDate]]-Deals[[#This Row],[ApplicationDate]])</f>
        <v>4</v>
      </c>
      <c r="R1094" s="21">
        <f>IF(Deals[[#This Row],[Status]]="Approved",1,0)</f>
        <v>1</v>
      </c>
      <c r="S1094" s="21">
        <f>IF(Deals[[#This Row],[IsApproved]]=1,Deals[[#This Row],[Amount]],0)</f>
        <v>11400</v>
      </c>
      <c r="T1094" s="21">
        <f>Deals[[#This Row],[ApprovedAmount]]*Deals[[#This Row],[ProfitRate]]</f>
        <v>759.24000000000012</v>
      </c>
    </row>
    <row r="1095" spans="1:20">
      <c r="A1095" s="2" t="s">
        <v>1849</v>
      </c>
      <c r="B1095" s="3">
        <v>46255</v>
      </c>
      <c r="C1095" s="2" t="s">
        <v>433</v>
      </c>
      <c r="D1095" s="2" t="s">
        <v>71</v>
      </c>
      <c r="E1095" s="2" t="s">
        <v>43</v>
      </c>
      <c r="F1095" s="2" t="s">
        <v>31</v>
      </c>
      <c r="G1095" s="4">
        <v>154600</v>
      </c>
      <c r="H1095" s="5">
        <v>5.57E-2</v>
      </c>
      <c r="I1095" s="2">
        <v>36</v>
      </c>
      <c r="J1095" s="2" t="s">
        <v>72</v>
      </c>
      <c r="K1095" s="2" t="s">
        <v>45</v>
      </c>
      <c r="L1095" s="3">
        <v>46271</v>
      </c>
      <c r="M1095" s="2" t="str">
        <f>_xlfn.XLOOKUP(Deals[[#This Row],[CustomerID]],Customers!A:A,Customers!F:F)</f>
        <v>Affluent</v>
      </c>
      <c r="N1095" s="2" t="str">
        <f>_xlfn.XLOOKUP(Deals[[#This Row],[CustomerID]],Customers!A:A,Customers!E:E)</f>
        <v>Kuwaiti</v>
      </c>
      <c r="O1095" s="2">
        <f>2026-_xlfn.XLOOKUP(Deals[[#This Row],[CustomerID]],Customers!A:A,Customers!D:D)</f>
        <v>40</v>
      </c>
      <c r="P1095" s="2" t="str" cm="1">
        <f t="array" ref="P1095">_xlfn.IFS(Deals[[#This Row],[Age]]&lt;30,"Under 30",Deals[[#This Row],[Age]]&lt;45,"30-44",TRUE,"45+")</f>
        <v>30-44</v>
      </c>
      <c r="Q1095" s="21">
        <f>IF(Deals[[#This Row],[Status]]="Pending","",Deals[[#This Row],[DecisionDate]]-Deals[[#This Row],[ApplicationDate]])</f>
        <v>16</v>
      </c>
      <c r="R1095" s="21">
        <f>IF(Deals[[#This Row],[Status]]="Approved",1,0)</f>
        <v>0</v>
      </c>
      <c r="S1095" s="21">
        <f>IF(Deals[[#This Row],[IsApproved]]=1,Deals[[#This Row],[Amount]],0)</f>
        <v>0</v>
      </c>
      <c r="T1095" s="21">
        <f>Deals[[#This Row],[ApprovedAmount]]*Deals[[#This Row],[ProfitRate]]</f>
        <v>0</v>
      </c>
    </row>
    <row r="1096" spans="1:20">
      <c r="A1096" s="2" t="s">
        <v>1850</v>
      </c>
      <c r="B1096" s="3">
        <v>46255</v>
      </c>
      <c r="C1096" s="2" t="s">
        <v>1851</v>
      </c>
      <c r="D1096" s="2" t="s">
        <v>20</v>
      </c>
      <c r="E1096" s="2" t="s">
        <v>15</v>
      </c>
      <c r="F1096" s="2" t="s">
        <v>3</v>
      </c>
      <c r="G1096" s="4">
        <v>14600</v>
      </c>
      <c r="H1096" s="5">
        <v>5.4600000000000003E-2</v>
      </c>
      <c r="I1096" s="2">
        <v>36</v>
      </c>
      <c r="J1096" s="2" t="s">
        <v>22</v>
      </c>
      <c r="K1096" s="2" t="s">
        <v>17</v>
      </c>
      <c r="L1096" s="3">
        <v>46256</v>
      </c>
      <c r="M1096" s="2" t="str">
        <f>_xlfn.XLOOKUP(Deals[[#This Row],[CustomerID]],Customers!A:A,Customers!F:F)</f>
        <v>Mass</v>
      </c>
      <c r="N1096" s="2" t="str">
        <f>_xlfn.XLOOKUP(Deals[[#This Row],[CustomerID]],Customers!A:A,Customers!E:E)</f>
        <v>Kuwaiti</v>
      </c>
      <c r="O1096" s="2">
        <f>2026-_xlfn.XLOOKUP(Deals[[#This Row],[CustomerID]],Customers!A:A,Customers!D:D)</f>
        <v>24</v>
      </c>
      <c r="P1096" s="2" t="str" cm="1">
        <f t="array" ref="P1096">_xlfn.IFS(Deals[[#This Row],[Age]]&lt;30,"Under 30",Deals[[#This Row],[Age]]&lt;45,"30-44",TRUE,"45+")</f>
        <v>Under 30</v>
      </c>
      <c r="Q1096" s="21">
        <f>IF(Deals[[#This Row],[Status]]="Pending","",Deals[[#This Row],[DecisionDate]]-Deals[[#This Row],[ApplicationDate]])</f>
        <v>1</v>
      </c>
      <c r="R1096" s="21">
        <f>IF(Deals[[#This Row],[Status]]="Approved",1,0)</f>
        <v>1</v>
      </c>
      <c r="S1096" s="21">
        <f>IF(Deals[[#This Row],[IsApproved]]=1,Deals[[#This Row],[Amount]],0)</f>
        <v>14600</v>
      </c>
      <c r="T1096" s="21">
        <f>Deals[[#This Row],[ApprovedAmount]]*Deals[[#This Row],[ProfitRate]]</f>
        <v>797.16000000000008</v>
      </c>
    </row>
    <row r="1097" spans="1:20">
      <c r="A1097" s="2" t="s">
        <v>1852</v>
      </c>
      <c r="B1097" s="3">
        <v>46256</v>
      </c>
      <c r="C1097" s="2" t="s">
        <v>1154</v>
      </c>
      <c r="D1097" s="2" t="s">
        <v>71</v>
      </c>
      <c r="E1097" s="2" t="s">
        <v>30</v>
      </c>
      <c r="F1097" s="2" t="s">
        <v>31</v>
      </c>
      <c r="G1097" s="4">
        <v>14500</v>
      </c>
      <c r="H1097" s="5">
        <v>4.48E-2</v>
      </c>
      <c r="I1097" s="2">
        <v>48</v>
      </c>
      <c r="J1097" s="2" t="s">
        <v>94</v>
      </c>
      <c r="K1097" s="2" t="s">
        <v>45</v>
      </c>
      <c r="L1097" s="3">
        <v>46264</v>
      </c>
      <c r="M1097" s="2" t="str">
        <f>_xlfn.XLOOKUP(Deals[[#This Row],[CustomerID]],Customers!A:A,Customers!F:F)</f>
        <v>Premium</v>
      </c>
      <c r="N1097" s="2" t="str">
        <f>_xlfn.XLOOKUP(Deals[[#This Row],[CustomerID]],Customers!A:A,Customers!E:E)</f>
        <v>Kuwaiti</v>
      </c>
      <c r="O1097" s="2">
        <f>2026-_xlfn.XLOOKUP(Deals[[#This Row],[CustomerID]],Customers!A:A,Customers!D:D)</f>
        <v>59</v>
      </c>
      <c r="P1097" s="2" t="str" cm="1">
        <f t="array" ref="P1097">_xlfn.IFS(Deals[[#This Row],[Age]]&lt;30,"Under 30",Deals[[#This Row],[Age]]&lt;45,"30-44",TRUE,"45+")</f>
        <v>45+</v>
      </c>
      <c r="Q1097" s="21">
        <f>IF(Deals[[#This Row],[Status]]="Pending","",Deals[[#This Row],[DecisionDate]]-Deals[[#This Row],[ApplicationDate]])</f>
        <v>8</v>
      </c>
      <c r="R1097" s="21">
        <f>IF(Deals[[#This Row],[Status]]="Approved",1,0)</f>
        <v>0</v>
      </c>
      <c r="S1097" s="21">
        <f>IF(Deals[[#This Row],[IsApproved]]=1,Deals[[#This Row],[Amount]],0)</f>
        <v>0</v>
      </c>
      <c r="T1097" s="21">
        <f>Deals[[#This Row],[ApprovedAmount]]*Deals[[#This Row],[ProfitRate]]</f>
        <v>0</v>
      </c>
    </row>
    <row r="1098" spans="1:20">
      <c r="A1098" s="2" t="s">
        <v>1853</v>
      </c>
      <c r="B1098" s="3">
        <v>46256</v>
      </c>
      <c r="C1098" s="2" t="s">
        <v>1451</v>
      </c>
      <c r="D1098" s="2" t="s">
        <v>14</v>
      </c>
      <c r="E1098" s="2" t="s">
        <v>21</v>
      </c>
      <c r="F1098" s="2" t="s">
        <v>3</v>
      </c>
      <c r="G1098" s="4">
        <v>315100</v>
      </c>
      <c r="H1098" s="5">
        <v>3.2599999999999997E-2</v>
      </c>
      <c r="I1098" s="2">
        <v>240</v>
      </c>
      <c r="J1098" s="2" t="s">
        <v>40</v>
      </c>
      <c r="K1098" s="2" t="s">
        <v>17</v>
      </c>
      <c r="L1098" s="3">
        <v>46283</v>
      </c>
      <c r="M1098" s="2" t="str">
        <f>_xlfn.XLOOKUP(Deals[[#This Row],[CustomerID]],Customers!A:A,Customers!F:F)</f>
        <v>Premium</v>
      </c>
      <c r="N1098" s="2" t="str">
        <f>_xlfn.XLOOKUP(Deals[[#This Row],[CustomerID]],Customers!A:A,Customers!E:E)</f>
        <v>Kuwaiti</v>
      </c>
      <c r="O1098" s="2">
        <f>2026-_xlfn.XLOOKUP(Deals[[#This Row],[CustomerID]],Customers!A:A,Customers!D:D)</f>
        <v>33</v>
      </c>
      <c r="P1098" s="2" t="str" cm="1">
        <f t="array" ref="P1098">_xlfn.IFS(Deals[[#This Row],[Age]]&lt;30,"Under 30",Deals[[#This Row],[Age]]&lt;45,"30-44",TRUE,"45+")</f>
        <v>30-44</v>
      </c>
      <c r="Q1098" s="21">
        <f>IF(Deals[[#This Row],[Status]]="Pending","",Deals[[#This Row],[DecisionDate]]-Deals[[#This Row],[ApplicationDate]])</f>
        <v>27</v>
      </c>
      <c r="R1098" s="21">
        <f>IF(Deals[[#This Row],[Status]]="Approved",1,0)</f>
        <v>1</v>
      </c>
      <c r="S1098" s="21">
        <f>IF(Deals[[#This Row],[IsApproved]]=1,Deals[[#This Row],[Amount]],0)</f>
        <v>315100</v>
      </c>
      <c r="T1098" s="21">
        <f>Deals[[#This Row],[ApprovedAmount]]*Deals[[#This Row],[ProfitRate]]</f>
        <v>10272.259999999998</v>
      </c>
    </row>
    <row r="1099" spans="1:20">
      <c r="A1099" s="2" t="s">
        <v>1854</v>
      </c>
      <c r="B1099" s="3">
        <v>46257</v>
      </c>
      <c r="C1099" s="2" t="s">
        <v>751</v>
      </c>
      <c r="D1099" s="2" t="s">
        <v>25</v>
      </c>
      <c r="E1099" s="2" t="s">
        <v>15</v>
      </c>
      <c r="F1099" s="2" t="s">
        <v>31</v>
      </c>
      <c r="G1099" s="4">
        <v>15600</v>
      </c>
      <c r="H1099" s="5">
        <v>6.7799999999999999E-2</v>
      </c>
      <c r="I1099" s="2">
        <v>24</v>
      </c>
      <c r="J1099" s="2" t="s">
        <v>66</v>
      </c>
      <c r="K1099" s="2" t="s">
        <v>17</v>
      </c>
      <c r="L1099" s="3">
        <v>46262</v>
      </c>
      <c r="M1099" s="2" t="str">
        <f>_xlfn.XLOOKUP(Deals[[#This Row],[CustomerID]],Customers!A:A,Customers!F:F)</f>
        <v>Premium</v>
      </c>
      <c r="N1099" s="2" t="str">
        <f>_xlfn.XLOOKUP(Deals[[#This Row],[CustomerID]],Customers!A:A,Customers!E:E)</f>
        <v>Non-Kuwaiti</v>
      </c>
      <c r="O1099" s="2">
        <f>2026-_xlfn.XLOOKUP(Deals[[#This Row],[CustomerID]],Customers!A:A,Customers!D:D)</f>
        <v>56</v>
      </c>
      <c r="P1099" s="2" t="str" cm="1">
        <f t="array" ref="P1099">_xlfn.IFS(Deals[[#This Row],[Age]]&lt;30,"Under 30",Deals[[#This Row],[Age]]&lt;45,"30-44",TRUE,"45+")</f>
        <v>45+</v>
      </c>
      <c r="Q1099" s="21">
        <f>IF(Deals[[#This Row],[Status]]="Pending","",Deals[[#This Row],[DecisionDate]]-Deals[[#This Row],[ApplicationDate]])</f>
        <v>5</v>
      </c>
      <c r="R1099" s="21">
        <f>IF(Deals[[#This Row],[Status]]="Approved",1,0)</f>
        <v>1</v>
      </c>
      <c r="S1099" s="21">
        <f>IF(Deals[[#This Row],[IsApproved]]=1,Deals[[#This Row],[Amount]],0)</f>
        <v>15600</v>
      </c>
      <c r="T1099" s="21">
        <f>Deals[[#This Row],[ApprovedAmount]]*Deals[[#This Row],[ProfitRate]]</f>
        <v>1057.68</v>
      </c>
    </row>
    <row r="1100" spans="1:20">
      <c r="A1100" s="2" t="s">
        <v>1855</v>
      </c>
      <c r="B1100" s="3">
        <v>46257</v>
      </c>
      <c r="C1100" s="2" t="s">
        <v>1643</v>
      </c>
      <c r="D1100" s="2" t="s">
        <v>14</v>
      </c>
      <c r="E1100" s="2" t="s">
        <v>15</v>
      </c>
      <c r="F1100" s="2" t="s">
        <v>55</v>
      </c>
      <c r="G1100" s="4">
        <v>17000</v>
      </c>
      <c r="H1100" s="5">
        <v>5.5500000000000001E-2</v>
      </c>
      <c r="I1100" s="2">
        <v>36</v>
      </c>
      <c r="J1100" s="2" t="s">
        <v>16</v>
      </c>
      <c r="K1100" s="2" t="s">
        <v>17</v>
      </c>
      <c r="L1100" s="3">
        <v>46258</v>
      </c>
      <c r="M1100" s="2" t="str">
        <f>_xlfn.XLOOKUP(Deals[[#This Row],[CustomerID]],Customers!A:A,Customers!F:F)</f>
        <v>Affluent</v>
      </c>
      <c r="N1100" s="2" t="str">
        <f>_xlfn.XLOOKUP(Deals[[#This Row],[CustomerID]],Customers!A:A,Customers!E:E)</f>
        <v>Kuwaiti</v>
      </c>
      <c r="O1100" s="2">
        <f>2026-_xlfn.XLOOKUP(Deals[[#This Row],[CustomerID]],Customers!A:A,Customers!D:D)</f>
        <v>42</v>
      </c>
      <c r="P1100" s="2" t="str" cm="1">
        <f t="array" ref="P1100">_xlfn.IFS(Deals[[#This Row],[Age]]&lt;30,"Under 30",Deals[[#This Row],[Age]]&lt;45,"30-44",TRUE,"45+")</f>
        <v>30-44</v>
      </c>
      <c r="Q1100" s="21">
        <f>IF(Deals[[#This Row],[Status]]="Pending","",Deals[[#This Row],[DecisionDate]]-Deals[[#This Row],[ApplicationDate]])</f>
        <v>1</v>
      </c>
      <c r="R1100" s="21">
        <f>IF(Deals[[#This Row],[Status]]="Approved",1,0)</f>
        <v>1</v>
      </c>
      <c r="S1100" s="21">
        <f>IF(Deals[[#This Row],[IsApproved]]=1,Deals[[#This Row],[Amount]],0)</f>
        <v>17000</v>
      </c>
      <c r="T1100" s="21">
        <f>Deals[[#This Row],[ApprovedAmount]]*Deals[[#This Row],[ProfitRate]]</f>
        <v>943.5</v>
      </c>
    </row>
    <row r="1101" spans="1:20">
      <c r="A1101" s="2" t="s">
        <v>1856</v>
      </c>
      <c r="B1101" s="3">
        <v>46257</v>
      </c>
      <c r="C1101" s="2" t="s">
        <v>366</v>
      </c>
      <c r="D1101" s="2" t="s">
        <v>71</v>
      </c>
      <c r="E1101" s="2" t="s">
        <v>30</v>
      </c>
      <c r="F1101" s="2" t="s">
        <v>3</v>
      </c>
      <c r="G1101" s="4">
        <v>4100</v>
      </c>
      <c r="H1101" s="5">
        <v>4.7199999999999999E-2</v>
      </c>
      <c r="I1101" s="2">
        <v>36</v>
      </c>
      <c r="J1101" s="2" t="s">
        <v>72</v>
      </c>
      <c r="K1101" s="2" t="s">
        <v>45</v>
      </c>
      <c r="L1101" s="3">
        <v>46265</v>
      </c>
      <c r="M1101" s="2" t="str">
        <f>_xlfn.XLOOKUP(Deals[[#This Row],[CustomerID]],Customers!A:A,Customers!F:F)</f>
        <v>Mass</v>
      </c>
      <c r="N1101" s="2" t="str">
        <f>_xlfn.XLOOKUP(Deals[[#This Row],[CustomerID]],Customers!A:A,Customers!E:E)</f>
        <v>Kuwaiti</v>
      </c>
      <c r="O1101" s="2">
        <f>2026-_xlfn.XLOOKUP(Deals[[#This Row],[CustomerID]],Customers!A:A,Customers!D:D)</f>
        <v>26</v>
      </c>
      <c r="P1101" s="2" t="str" cm="1">
        <f t="array" ref="P1101">_xlfn.IFS(Deals[[#This Row],[Age]]&lt;30,"Under 30",Deals[[#This Row],[Age]]&lt;45,"30-44",TRUE,"45+")</f>
        <v>Under 30</v>
      </c>
      <c r="Q1101" s="21">
        <f>IF(Deals[[#This Row],[Status]]="Pending","",Deals[[#This Row],[DecisionDate]]-Deals[[#This Row],[ApplicationDate]])</f>
        <v>8</v>
      </c>
      <c r="R1101" s="21">
        <f>IF(Deals[[#This Row],[Status]]="Approved",1,0)</f>
        <v>0</v>
      </c>
      <c r="S1101" s="21">
        <f>IF(Deals[[#This Row],[IsApproved]]=1,Deals[[#This Row],[Amount]],0)</f>
        <v>0</v>
      </c>
      <c r="T1101" s="21">
        <f>Deals[[#This Row],[ApprovedAmount]]*Deals[[#This Row],[ProfitRate]]</f>
        <v>0</v>
      </c>
    </row>
    <row r="1102" spans="1:20">
      <c r="A1102" s="2" t="s">
        <v>1857</v>
      </c>
      <c r="B1102" s="3">
        <v>46257</v>
      </c>
      <c r="C1102" s="2" t="s">
        <v>1726</v>
      </c>
      <c r="D1102" s="2" t="s">
        <v>14</v>
      </c>
      <c r="E1102" s="2" t="s">
        <v>30</v>
      </c>
      <c r="F1102" s="2" t="s">
        <v>31</v>
      </c>
      <c r="G1102" s="4">
        <v>16800</v>
      </c>
      <c r="H1102" s="5">
        <v>4.7399999999999998E-2</v>
      </c>
      <c r="I1102" s="2">
        <v>36</v>
      </c>
      <c r="J1102" s="2" t="s">
        <v>16</v>
      </c>
      <c r="K1102" s="2" t="s">
        <v>17</v>
      </c>
      <c r="L1102" s="3">
        <v>46257</v>
      </c>
      <c r="M1102" s="2" t="str">
        <f>_xlfn.XLOOKUP(Deals[[#This Row],[CustomerID]],Customers!A:A,Customers!F:F)</f>
        <v>Affluent</v>
      </c>
      <c r="N1102" s="2" t="str">
        <f>_xlfn.XLOOKUP(Deals[[#This Row],[CustomerID]],Customers!A:A,Customers!E:E)</f>
        <v>Non-Kuwaiti</v>
      </c>
      <c r="O1102" s="2">
        <f>2026-_xlfn.XLOOKUP(Deals[[#This Row],[CustomerID]],Customers!A:A,Customers!D:D)</f>
        <v>22</v>
      </c>
      <c r="P1102" s="2" t="str" cm="1">
        <f t="array" ref="P1102">_xlfn.IFS(Deals[[#This Row],[Age]]&lt;30,"Under 30",Deals[[#This Row],[Age]]&lt;45,"30-44",TRUE,"45+")</f>
        <v>Under 30</v>
      </c>
      <c r="Q1102" s="21">
        <f>IF(Deals[[#This Row],[Status]]="Pending","",Deals[[#This Row],[DecisionDate]]-Deals[[#This Row],[ApplicationDate]])</f>
        <v>0</v>
      </c>
      <c r="R1102" s="21">
        <f>IF(Deals[[#This Row],[Status]]="Approved",1,0)</f>
        <v>1</v>
      </c>
      <c r="S1102" s="21">
        <f>IF(Deals[[#This Row],[IsApproved]]=1,Deals[[#This Row],[Amount]],0)</f>
        <v>16800</v>
      </c>
      <c r="T1102" s="21">
        <f>Deals[[#This Row],[ApprovedAmount]]*Deals[[#This Row],[ProfitRate]]</f>
        <v>796.31999999999994</v>
      </c>
    </row>
    <row r="1103" spans="1:20">
      <c r="A1103" s="2" t="s">
        <v>1858</v>
      </c>
      <c r="B1103" s="3">
        <v>46258</v>
      </c>
      <c r="C1103" s="2" t="s">
        <v>1666</v>
      </c>
      <c r="D1103" s="2" t="s">
        <v>71</v>
      </c>
      <c r="E1103" s="2" t="s">
        <v>15</v>
      </c>
      <c r="F1103" s="2" t="s">
        <v>3</v>
      </c>
      <c r="G1103" s="4">
        <v>24500</v>
      </c>
      <c r="H1103" s="5">
        <v>6.7699999999999996E-2</v>
      </c>
      <c r="I1103" s="2">
        <v>60</v>
      </c>
      <c r="J1103" s="2" t="s">
        <v>101</v>
      </c>
      <c r="K1103" s="2" t="s">
        <v>45</v>
      </c>
      <c r="L1103" s="3">
        <v>46266</v>
      </c>
      <c r="M1103" s="2" t="str">
        <f>_xlfn.XLOOKUP(Deals[[#This Row],[CustomerID]],Customers!A:A,Customers!F:F)</f>
        <v>Mass</v>
      </c>
      <c r="N1103" s="2" t="str">
        <f>_xlfn.XLOOKUP(Deals[[#This Row],[CustomerID]],Customers!A:A,Customers!E:E)</f>
        <v>Non-Kuwaiti</v>
      </c>
      <c r="O1103" s="2">
        <f>2026-_xlfn.XLOOKUP(Deals[[#This Row],[CustomerID]],Customers!A:A,Customers!D:D)</f>
        <v>35</v>
      </c>
      <c r="P1103" s="2" t="str" cm="1">
        <f t="array" ref="P1103">_xlfn.IFS(Deals[[#This Row],[Age]]&lt;30,"Under 30",Deals[[#This Row],[Age]]&lt;45,"30-44",TRUE,"45+")</f>
        <v>30-44</v>
      </c>
      <c r="Q1103" s="21">
        <f>IF(Deals[[#This Row],[Status]]="Pending","",Deals[[#This Row],[DecisionDate]]-Deals[[#This Row],[ApplicationDate]])</f>
        <v>8</v>
      </c>
      <c r="R1103" s="21">
        <f>IF(Deals[[#This Row],[Status]]="Approved",1,0)</f>
        <v>0</v>
      </c>
      <c r="S1103" s="21">
        <f>IF(Deals[[#This Row],[IsApproved]]=1,Deals[[#This Row],[Amount]],0)</f>
        <v>0</v>
      </c>
      <c r="T1103" s="21">
        <f>Deals[[#This Row],[ApprovedAmount]]*Deals[[#This Row],[ProfitRate]]</f>
        <v>0</v>
      </c>
    </row>
    <row r="1104" spans="1:20">
      <c r="A1104" s="2" t="s">
        <v>1859</v>
      </c>
      <c r="B1104" s="3">
        <v>46258</v>
      </c>
      <c r="C1104" s="2" t="s">
        <v>1722</v>
      </c>
      <c r="D1104" s="2" t="s">
        <v>20</v>
      </c>
      <c r="E1104" s="2" t="s">
        <v>30</v>
      </c>
      <c r="F1104" s="2" t="s">
        <v>3</v>
      </c>
      <c r="G1104" s="4">
        <v>4600</v>
      </c>
      <c r="H1104" s="5">
        <v>4.1300000000000003E-2</v>
      </c>
      <c r="I1104" s="2">
        <v>48</v>
      </c>
      <c r="J1104" s="2" t="s">
        <v>37</v>
      </c>
      <c r="K1104" s="2" t="s">
        <v>17</v>
      </c>
      <c r="L1104" s="3">
        <v>46260</v>
      </c>
      <c r="M1104" s="2" t="str">
        <f>_xlfn.XLOOKUP(Deals[[#This Row],[CustomerID]],Customers!A:A,Customers!F:F)</f>
        <v>Mass</v>
      </c>
      <c r="N1104" s="2" t="str">
        <f>_xlfn.XLOOKUP(Deals[[#This Row],[CustomerID]],Customers!A:A,Customers!E:E)</f>
        <v>Non-Kuwaiti</v>
      </c>
      <c r="O1104" s="2">
        <f>2026-_xlfn.XLOOKUP(Deals[[#This Row],[CustomerID]],Customers!A:A,Customers!D:D)</f>
        <v>53</v>
      </c>
      <c r="P1104" s="2" t="str" cm="1">
        <f t="array" ref="P1104">_xlfn.IFS(Deals[[#This Row],[Age]]&lt;30,"Under 30",Deals[[#This Row],[Age]]&lt;45,"30-44",TRUE,"45+")</f>
        <v>45+</v>
      </c>
      <c r="Q1104" s="21">
        <f>IF(Deals[[#This Row],[Status]]="Pending","",Deals[[#This Row],[DecisionDate]]-Deals[[#This Row],[ApplicationDate]])</f>
        <v>2</v>
      </c>
      <c r="R1104" s="21">
        <f>IF(Deals[[#This Row],[Status]]="Approved",1,0)</f>
        <v>1</v>
      </c>
      <c r="S1104" s="21">
        <f>IF(Deals[[#This Row],[IsApproved]]=1,Deals[[#This Row],[Amount]],0)</f>
        <v>4600</v>
      </c>
      <c r="T1104" s="21">
        <f>Deals[[#This Row],[ApprovedAmount]]*Deals[[#This Row],[ProfitRate]]</f>
        <v>189.98000000000002</v>
      </c>
    </row>
    <row r="1105" spans="1:20">
      <c r="A1105" s="2" t="s">
        <v>1860</v>
      </c>
      <c r="B1105" s="3">
        <v>46258</v>
      </c>
      <c r="C1105" s="2" t="s">
        <v>337</v>
      </c>
      <c r="D1105" s="2" t="s">
        <v>14</v>
      </c>
      <c r="E1105" s="2" t="s">
        <v>30</v>
      </c>
      <c r="F1105" s="2" t="s">
        <v>55</v>
      </c>
      <c r="G1105" s="4">
        <v>11100</v>
      </c>
      <c r="H1105" s="5">
        <v>4.2900000000000001E-2</v>
      </c>
      <c r="I1105" s="2">
        <v>48</v>
      </c>
      <c r="J1105" s="2" t="s">
        <v>40</v>
      </c>
      <c r="K1105" s="2" t="s">
        <v>17</v>
      </c>
      <c r="L1105" s="3">
        <v>46263</v>
      </c>
      <c r="M1105" s="2" t="str">
        <f>_xlfn.XLOOKUP(Deals[[#This Row],[CustomerID]],Customers!A:A,Customers!F:F)</f>
        <v>Mass</v>
      </c>
      <c r="N1105" s="2" t="str">
        <f>_xlfn.XLOOKUP(Deals[[#This Row],[CustomerID]],Customers!A:A,Customers!E:E)</f>
        <v>Kuwaiti</v>
      </c>
      <c r="O1105" s="2">
        <f>2026-_xlfn.XLOOKUP(Deals[[#This Row],[CustomerID]],Customers!A:A,Customers!D:D)</f>
        <v>27</v>
      </c>
      <c r="P1105" s="2" t="str" cm="1">
        <f t="array" ref="P1105">_xlfn.IFS(Deals[[#This Row],[Age]]&lt;30,"Under 30",Deals[[#This Row],[Age]]&lt;45,"30-44",TRUE,"45+")</f>
        <v>Under 30</v>
      </c>
      <c r="Q1105" s="21">
        <f>IF(Deals[[#This Row],[Status]]="Pending","",Deals[[#This Row],[DecisionDate]]-Deals[[#This Row],[ApplicationDate]])</f>
        <v>5</v>
      </c>
      <c r="R1105" s="21">
        <f>IF(Deals[[#This Row],[Status]]="Approved",1,0)</f>
        <v>1</v>
      </c>
      <c r="S1105" s="21">
        <f>IF(Deals[[#This Row],[IsApproved]]=1,Deals[[#This Row],[Amount]],0)</f>
        <v>11100</v>
      </c>
      <c r="T1105" s="21">
        <f>Deals[[#This Row],[ApprovedAmount]]*Deals[[#This Row],[ProfitRate]]</f>
        <v>476.19</v>
      </c>
    </row>
    <row r="1106" spans="1:20">
      <c r="A1106" s="2" t="s">
        <v>1861</v>
      </c>
      <c r="B1106" s="3">
        <v>46258</v>
      </c>
      <c r="C1106" s="2" t="s">
        <v>746</v>
      </c>
      <c r="D1106" s="2" t="s">
        <v>29</v>
      </c>
      <c r="E1106" s="2" t="s">
        <v>30</v>
      </c>
      <c r="F1106" s="2" t="s">
        <v>3</v>
      </c>
      <c r="G1106" s="4">
        <v>14800</v>
      </c>
      <c r="H1106" s="5">
        <v>3.8300000000000001E-2</v>
      </c>
      <c r="I1106" s="2">
        <v>60</v>
      </c>
      <c r="J1106" s="2" t="s">
        <v>61</v>
      </c>
      <c r="K1106" s="2" t="s">
        <v>17</v>
      </c>
      <c r="L1106" s="3">
        <v>46262</v>
      </c>
      <c r="M1106" s="2" t="str">
        <f>_xlfn.XLOOKUP(Deals[[#This Row],[CustomerID]],Customers!A:A,Customers!F:F)</f>
        <v>Mass</v>
      </c>
      <c r="N1106" s="2" t="str">
        <f>_xlfn.XLOOKUP(Deals[[#This Row],[CustomerID]],Customers!A:A,Customers!E:E)</f>
        <v>Kuwaiti</v>
      </c>
      <c r="O1106" s="2">
        <f>2026-_xlfn.XLOOKUP(Deals[[#This Row],[CustomerID]],Customers!A:A,Customers!D:D)</f>
        <v>40</v>
      </c>
      <c r="P1106" s="2" t="str" cm="1">
        <f t="array" ref="P1106">_xlfn.IFS(Deals[[#This Row],[Age]]&lt;30,"Under 30",Deals[[#This Row],[Age]]&lt;45,"30-44",TRUE,"45+")</f>
        <v>30-44</v>
      </c>
      <c r="Q1106" s="21">
        <f>IF(Deals[[#This Row],[Status]]="Pending","",Deals[[#This Row],[DecisionDate]]-Deals[[#This Row],[ApplicationDate]])</f>
        <v>4</v>
      </c>
      <c r="R1106" s="21">
        <f>IF(Deals[[#This Row],[Status]]="Approved",1,0)</f>
        <v>1</v>
      </c>
      <c r="S1106" s="21">
        <f>IF(Deals[[#This Row],[IsApproved]]=1,Deals[[#This Row],[Amount]],0)</f>
        <v>14800</v>
      </c>
      <c r="T1106" s="21">
        <f>Deals[[#This Row],[ApprovedAmount]]*Deals[[#This Row],[ProfitRate]]</f>
        <v>566.84</v>
      </c>
    </row>
    <row r="1107" spans="1:20">
      <c r="A1107" s="2" t="s">
        <v>1862</v>
      </c>
      <c r="B1107" s="3">
        <v>46259</v>
      </c>
      <c r="C1107" s="2" t="s">
        <v>864</v>
      </c>
      <c r="D1107" s="2" t="s">
        <v>20</v>
      </c>
      <c r="E1107" s="2" t="s">
        <v>15</v>
      </c>
      <c r="F1107" s="2" t="s">
        <v>31</v>
      </c>
      <c r="G1107" s="4">
        <v>17900</v>
      </c>
      <c r="H1107" s="5">
        <v>6.8000000000000005E-2</v>
      </c>
      <c r="I1107" s="2">
        <v>60</v>
      </c>
      <c r="J1107" s="2" t="s">
        <v>22</v>
      </c>
      <c r="K1107" s="2" t="s">
        <v>45</v>
      </c>
      <c r="L1107" s="3">
        <v>46262</v>
      </c>
      <c r="M1107" s="2" t="str">
        <f>_xlfn.XLOOKUP(Deals[[#This Row],[CustomerID]],Customers!A:A,Customers!F:F)</f>
        <v>Mass</v>
      </c>
      <c r="N1107" s="2" t="str">
        <f>_xlfn.XLOOKUP(Deals[[#This Row],[CustomerID]],Customers!A:A,Customers!E:E)</f>
        <v>Non-Kuwaiti</v>
      </c>
      <c r="O1107" s="2">
        <f>2026-_xlfn.XLOOKUP(Deals[[#This Row],[CustomerID]],Customers!A:A,Customers!D:D)</f>
        <v>39</v>
      </c>
      <c r="P1107" s="2" t="str" cm="1">
        <f t="array" ref="P1107">_xlfn.IFS(Deals[[#This Row],[Age]]&lt;30,"Under 30",Deals[[#This Row],[Age]]&lt;45,"30-44",TRUE,"45+")</f>
        <v>30-44</v>
      </c>
      <c r="Q1107" s="21">
        <f>IF(Deals[[#This Row],[Status]]="Pending","",Deals[[#This Row],[DecisionDate]]-Deals[[#This Row],[ApplicationDate]])</f>
        <v>3</v>
      </c>
      <c r="R1107" s="21">
        <f>IF(Deals[[#This Row],[Status]]="Approved",1,0)</f>
        <v>0</v>
      </c>
      <c r="S1107" s="21">
        <f>IF(Deals[[#This Row],[IsApproved]]=1,Deals[[#This Row],[Amount]],0)</f>
        <v>0</v>
      </c>
      <c r="T1107" s="21">
        <f>Deals[[#This Row],[ApprovedAmount]]*Deals[[#This Row],[ProfitRate]]</f>
        <v>0</v>
      </c>
    </row>
    <row r="1108" spans="1:20">
      <c r="A1108" s="2" t="s">
        <v>1863</v>
      </c>
      <c r="B1108" s="3">
        <v>46259</v>
      </c>
      <c r="C1108" s="2" t="s">
        <v>888</v>
      </c>
      <c r="D1108" s="2" t="s">
        <v>29</v>
      </c>
      <c r="E1108" s="2" t="s">
        <v>30</v>
      </c>
      <c r="F1108" s="2" t="s">
        <v>3</v>
      </c>
      <c r="G1108" s="4">
        <v>13800</v>
      </c>
      <c r="H1108" s="5">
        <v>4.9599999999999998E-2</v>
      </c>
      <c r="I1108" s="2">
        <v>36</v>
      </c>
      <c r="J1108" s="2" t="s">
        <v>123</v>
      </c>
      <c r="K1108" s="2" t="s">
        <v>17</v>
      </c>
      <c r="L1108" s="3">
        <v>46264</v>
      </c>
      <c r="M1108" s="2" t="str">
        <f>_xlfn.XLOOKUP(Deals[[#This Row],[CustomerID]],Customers!A:A,Customers!F:F)</f>
        <v>Affluent</v>
      </c>
      <c r="N1108" s="2" t="str">
        <f>_xlfn.XLOOKUP(Deals[[#This Row],[CustomerID]],Customers!A:A,Customers!E:E)</f>
        <v>Kuwaiti</v>
      </c>
      <c r="O1108" s="2">
        <f>2026-_xlfn.XLOOKUP(Deals[[#This Row],[CustomerID]],Customers!A:A,Customers!D:D)</f>
        <v>24</v>
      </c>
      <c r="P1108" s="2" t="str" cm="1">
        <f t="array" ref="P1108">_xlfn.IFS(Deals[[#This Row],[Age]]&lt;30,"Under 30",Deals[[#This Row],[Age]]&lt;45,"30-44",TRUE,"45+")</f>
        <v>Under 30</v>
      </c>
      <c r="Q1108" s="21">
        <f>IF(Deals[[#This Row],[Status]]="Pending","",Deals[[#This Row],[DecisionDate]]-Deals[[#This Row],[ApplicationDate]])</f>
        <v>5</v>
      </c>
      <c r="R1108" s="21">
        <f>IF(Deals[[#This Row],[Status]]="Approved",1,0)</f>
        <v>1</v>
      </c>
      <c r="S1108" s="21">
        <f>IF(Deals[[#This Row],[IsApproved]]=1,Deals[[#This Row],[Amount]],0)</f>
        <v>13800</v>
      </c>
      <c r="T1108" s="21">
        <f>Deals[[#This Row],[ApprovedAmount]]*Deals[[#This Row],[ProfitRate]]</f>
        <v>684.48</v>
      </c>
    </row>
    <row r="1109" spans="1:20">
      <c r="A1109" s="2" t="s">
        <v>1864</v>
      </c>
      <c r="B1109" s="3">
        <v>46259</v>
      </c>
      <c r="C1109" s="2" t="s">
        <v>1865</v>
      </c>
      <c r="D1109" s="2" t="s">
        <v>14</v>
      </c>
      <c r="E1109" s="2" t="s">
        <v>43</v>
      </c>
      <c r="F1109" s="2" t="s">
        <v>3</v>
      </c>
      <c r="G1109" s="4">
        <v>42500</v>
      </c>
      <c r="H1109" s="5">
        <v>7.2099999999999997E-2</v>
      </c>
      <c r="I1109" s="2">
        <v>36</v>
      </c>
      <c r="J1109" s="2" t="s">
        <v>16</v>
      </c>
      <c r="K1109" s="2" t="s">
        <v>17</v>
      </c>
      <c r="L1109" s="3">
        <v>46272</v>
      </c>
      <c r="M1109" s="2" t="str">
        <f>_xlfn.XLOOKUP(Deals[[#This Row],[CustomerID]],Customers!A:A,Customers!F:F)</f>
        <v>Affluent</v>
      </c>
      <c r="N1109" s="2" t="str">
        <f>_xlfn.XLOOKUP(Deals[[#This Row],[CustomerID]],Customers!A:A,Customers!E:E)</f>
        <v>Kuwaiti</v>
      </c>
      <c r="O1109" s="2">
        <f>2026-_xlfn.XLOOKUP(Deals[[#This Row],[CustomerID]],Customers!A:A,Customers!D:D)</f>
        <v>62</v>
      </c>
      <c r="P1109" s="2" t="str" cm="1">
        <f t="array" ref="P1109">_xlfn.IFS(Deals[[#This Row],[Age]]&lt;30,"Under 30",Deals[[#This Row],[Age]]&lt;45,"30-44",TRUE,"45+")</f>
        <v>45+</v>
      </c>
      <c r="Q1109" s="21">
        <f>IF(Deals[[#This Row],[Status]]="Pending","",Deals[[#This Row],[DecisionDate]]-Deals[[#This Row],[ApplicationDate]])</f>
        <v>13</v>
      </c>
      <c r="R1109" s="21">
        <f>IF(Deals[[#This Row],[Status]]="Approved",1,0)</f>
        <v>1</v>
      </c>
      <c r="S1109" s="21">
        <f>IF(Deals[[#This Row],[IsApproved]]=1,Deals[[#This Row],[Amount]],0)</f>
        <v>42500</v>
      </c>
      <c r="T1109" s="21">
        <f>Deals[[#This Row],[ApprovedAmount]]*Deals[[#This Row],[ProfitRate]]</f>
        <v>3064.25</v>
      </c>
    </row>
    <row r="1110" spans="1:20">
      <c r="A1110" s="2" t="s">
        <v>1867</v>
      </c>
      <c r="B1110" s="3">
        <v>46259</v>
      </c>
      <c r="C1110" s="2" t="s">
        <v>917</v>
      </c>
      <c r="D1110" s="2" t="s">
        <v>14</v>
      </c>
      <c r="E1110" s="2" t="s">
        <v>43</v>
      </c>
      <c r="F1110" s="2" t="s">
        <v>3</v>
      </c>
      <c r="G1110" s="4">
        <v>121200</v>
      </c>
      <c r="H1110" s="5">
        <v>7.2599999999999998E-2</v>
      </c>
      <c r="I1110" s="2">
        <v>24</v>
      </c>
      <c r="J1110" s="2" t="s">
        <v>40</v>
      </c>
      <c r="K1110" s="2" t="s">
        <v>17</v>
      </c>
      <c r="L1110" s="3">
        <v>46273</v>
      </c>
      <c r="M1110" s="2" t="str">
        <f>_xlfn.XLOOKUP(Deals[[#This Row],[CustomerID]],Customers!A:A,Customers!F:F)</f>
        <v>Mass</v>
      </c>
      <c r="N1110" s="2" t="str">
        <f>_xlfn.XLOOKUP(Deals[[#This Row],[CustomerID]],Customers!A:A,Customers!E:E)</f>
        <v>Kuwaiti</v>
      </c>
      <c r="O1110" s="2">
        <f>2026-_xlfn.XLOOKUP(Deals[[#This Row],[CustomerID]],Customers!A:A,Customers!D:D)</f>
        <v>28</v>
      </c>
      <c r="P1110" s="2" t="str" cm="1">
        <f t="array" ref="P1110">_xlfn.IFS(Deals[[#This Row],[Age]]&lt;30,"Under 30",Deals[[#This Row],[Age]]&lt;45,"30-44",TRUE,"45+")</f>
        <v>Under 30</v>
      </c>
      <c r="Q1110" s="21">
        <f>IF(Deals[[#This Row],[Status]]="Pending","",Deals[[#This Row],[DecisionDate]]-Deals[[#This Row],[ApplicationDate]])</f>
        <v>14</v>
      </c>
      <c r="R1110" s="21">
        <f>IF(Deals[[#This Row],[Status]]="Approved",1,0)</f>
        <v>1</v>
      </c>
      <c r="S1110" s="21">
        <f>IF(Deals[[#This Row],[IsApproved]]=1,Deals[[#This Row],[Amount]],0)</f>
        <v>121200</v>
      </c>
      <c r="T1110" s="21">
        <f>Deals[[#This Row],[ApprovedAmount]]*Deals[[#This Row],[ProfitRate]]</f>
        <v>8799.119999999999</v>
      </c>
    </row>
    <row r="1111" spans="1:20">
      <c r="A1111" s="2" t="s">
        <v>1868</v>
      </c>
      <c r="B1111" s="3">
        <v>46259</v>
      </c>
      <c r="C1111" s="2" t="s">
        <v>80</v>
      </c>
      <c r="D1111" s="2" t="s">
        <v>20</v>
      </c>
      <c r="E1111" s="2" t="s">
        <v>43</v>
      </c>
      <c r="F1111" s="2" t="s">
        <v>3</v>
      </c>
      <c r="G1111" s="4">
        <v>68800</v>
      </c>
      <c r="H1111" s="5">
        <v>5.7299999999999997E-2</v>
      </c>
      <c r="I1111" s="2">
        <v>60</v>
      </c>
      <c r="J1111" s="2" t="s">
        <v>37</v>
      </c>
      <c r="K1111" s="2" t="s">
        <v>45</v>
      </c>
      <c r="L1111" s="3">
        <v>46275</v>
      </c>
      <c r="M1111" s="2" t="str">
        <f>_xlfn.XLOOKUP(Deals[[#This Row],[CustomerID]],Customers!A:A,Customers!F:F)</f>
        <v>Mass</v>
      </c>
      <c r="N1111" s="2" t="str">
        <f>_xlfn.XLOOKUP(Deals[[#This Row],[CustomerID]],Customers!A:A,Customers!E:E)</f>
        <v>Non-Kuwaiti</v>
      </c>
      <c r="O1111" s="2">
        <f>2026-_xlfn.XLOOKUP(Deals[[#This Row],[CustomerID]],Customers!A:A,Customers!D:D)</f>
        <v>47</v>
      </c>
      <c r="P1111" s="2" t="str" cm="1">
        <f t="array" ref="P1111">_xlfn.IFS(Deals[[#This Row],[Age]]&lt;30,"Under 30",Deals[[#This Row],[Age]]&lt;45,"30-44",TRUE,"45+")</f>
        <v>45+</v>
      </c>
      <c r="Q1111" s="21">
        <f>IF(Deals[[#This Row],[Status]]="Pending","",Deals[[#This Row],[DecisionDate]]-Deals[[#This Row],[ApplicationDate]])</f>
        <v>16</v>
      </c>
      <c r="R1111" s="21">
        <f>IF(Deals[[#This Row],[Status]]="Approved",1,0)</f>
        <v>0</v>
      </c>
      <c r="S1111" s="21">
        <f>IF(Deals[[#This Row],[IsApproved]]=1,Deals[[#This Row],[Amount]],0)</f>
        <v>0</v>
      </c>
      <c r="T1111" s="21">
        <f>Deals[[#This Row],[ApprovedAmount]]*Deals[[#This Row],[ProfitRate]]</f>
        <v>0</v>
      </c>
    </row>
    <row r="1112" spans="1:20">
      <c r="A1112" s="2" t="s">
        <v>1869</v>
      </c>
      <c r="B1112" s="3">
        <v>46260</v>
      </c>
      <c r="C1112" s="2" t="s">
        <v>1641</v>
      </c>
      <c r="D1112" s="2" t="s">
        <v>14</v>
      </c>
      <c r="E1112" s="2" t="s">
        <v>15</v>
      </c>
      <c r="F1112" s="2" t="s">
        <v>31</v>
      </c>
      <c r="G1112" s="4">
        <v>15300</v>
      </c>
      <c r="H1112" s="5">
        <v>5.2999999999999999E-2</v>
      </c>
      <c r="I1112" s="2">
        <v>12</v>
      </c>
      <c r="J1112" s="2" t="s">
        <v>48</v>
      </c>
      <c r="K1112" s="2" t="s">
        <v>17</v>
      </c>
      <c r="L1112" s="3">
        <v>46265</v>
      </c>
      <c r="M1112" s="2" t="str">
        <f>_xlfn.XLOOKUP(Deals[[#This Row],[CustomerID]],Customers!A:A,Customers!F:F)</f>
        <v>Mass</v>
      </c>
      <c r="N1112" s="2" t="str">
        <f>_xlfn.XLOOKUP(Deals[[#This Row],[CustomerID]],Customers!A:A,Customers!E:E)</f>
        <v>Kuwaiti</v>
      </c>
      <c r="O1112" s="2">
        <f>2026-_xlfn.XLOOKUP(Deals[[#This Row],[CustomerID]],Customers!A:A,Customers!D:D)</f>
        <v>68</v>
      </c>
      <c r="P1112" s="2" t="str" cm="1">
        <f t="array" ref="P1112">_xlfn.IFS(Deals[[#This Row],[Age]]&lt;30,"Under 30",Deals[[#This Row],[Age]]&lt;45,"30-44",TRUE,"45+")</f>
        <v>45+</v>
      </c>
      <c r="Q1112" s="21">
        <f>IF(Deals[[#This Row],[Status]]="Pending","",Deals[[#This Row],[DecisionDate]]-Deals[[#This Row],[ApplicationDate]])</f>
        <v>5</v>
      </c>
      <c r="R1112" s="21">
        <f>IF(Deals[[#This Row],[Status]]="Approved",1,0)</f>
        <v>1</v>
      </c>
      <c r="S1112" s="21">
        <f>IF(Deals[[#This Row],[IsApproved]]=1,Deals[[#This Row],[Amount]],0)</f>
        <v>15300</v>
      </c>
      <c r="T1112" s="21">
        <f>Deals[[#This Row],[ApprovedAmount]]*Deals[[#This Row],[ProfitRate]]</f>
        <v>810.9</v>
      </c>
    </row>
    <row r="1113" spans="1:20">
      <c r="A1113" s="2" t="s">
        <v>1870</v>
      </c>
      <c r="B1113" s="3">
        <v>46260</v>
      </c>
      <c r="C1113" s="2" t="s">
        <v>1871</v>
      </c>
      <c r="D1113" s="2" t="s">
        <v>25</v>
      </c>
      <c r="E1113" s="2" t="s">
        <v>30</v>
      </c>
      <c r="F1113" s="2" t="s">
        <v>55</v>
      </c>
      <c r="G1113" s="4">
        <v>12200</v>
      </c>
      <c r="H1113" s="5">
        <v>4.07E-2</v>
      </c>
      <c r="I1113" s="2">
        <v>36</v>
      </c>
      <c r="J1113" s="2" t="s">
        <v>181</v>
      </c>
      <c r="K1113" s="2" t="s">
        <v>17</v>
      </c>
      <c r="L1113" s="3">
        <v>46261</v>
      </c>
      <c r="M1113" s="2" t="str">
        <f>_xlfn.XLOOKUP(Deals[[#This Row],[CustomerID]],Customers!A:A,Customers!F:F)</f>
        <v>Mass</v>
      </c>
      <c r="N1113" s="2" t="str">
        <f>_xlfn.XLOOKUP(Deals[[#This Row],[CustomerID]],Customers!A:A,Customers!E:E)</f>
        <v>Kuwaiti</v>
      </c>
      <c r="O1113" s="2">
        <f>2026-_xlfn.XLOOKUP(Deals[[#This Row],[CustomerID]],Customers!A:A,Customers!D:D)</f>
        <v>38</v>
      </c>
      <c r="P1113" s="2" t="str" cm="1">
        <f t="array" ref="P1113">_xlfn.IFS(Deals[[#This Row],[Age]]&lt;30,"Under 30",Deals[[#This Row],[Age]]&lt;45,"30-44",TRUE,"45+")</f>
        <v>30-44</v>
      </c>
      <c r="Q1113" s="21">
        <f>IF(Deals[[#This Row],[Status]]="Pending","",Deals[[#This Row],[DecisionDate]]-Deals[[#This Row],[ApplicationDate]])</f>
        <v>1</v>
      </c>
      <c r="R1113" s="21">
        <f>IF(Deals[[#This Row],[Status]]="Approved",1,0)</f>
        <v>1</v>
      </c>
      <c r="S1113" s="21">
        <f>IF(Deals[[#This Row],[IsApproved]]=1,Deals[[#This Row],[Amount]],0)</f>
        <v>12200</v>
      </c>
      <c r="T1113" s="21">
        <f>Deals[[#This Row],[ApprovedAmount]]*Deals[[#This Row],[ProfitRate]]</f>
        <v>496.54</v>
      </c>
    </row>
    <row r="1114" spans="1:20">
      <c r="A1114" s="2" t="s">
        <v>1873</v>
      </c>
      <c r="B1114" s="3">
        <v>46260</v>
      </c>
      <c r="C1114" s="2" t="s">
        <v>1491</v>
      </c>
      <c r="D1114" s="2" t="s">
        <v>29</v>
      </c>
      <c r="E1114" s="2" t="s">
        <v>15</v>
      </c>
      <c r="F1114" s="2" t="s">
        <v>3</v>
      </c>
      <c r="G1114" s="4">
        <v>25000</v>
      </c>
      <c r="H1114" s="5">
        <v>6.3299999999999995E-2</v>
      </c>
      <c r="I1114" s="2">
        <v>48</v>
      </c>
      <c r="J1114" s="2" t="s">
        <v>32</v>
      </c>
      <c r="K1114" s="2" t="s">
        <v>17</v>
      </c>
      <c r="L1114" s="3">
        <v>46261</v>
      </c>
      <c r="M1114" s="2" t="str">
        <f>_xlfn.XLOOKUP(Deals[[#This Row],[CustomerID]],Customers!A:A,Customers!F:F)</f>
        <v>Affluent</v>
      </c>
      <c r="N1114" s="2" t="str">
        <f>_xlfn.XLOOKUP(Deals[[#This Row],[CustomerID]],Customers!A:A,Customers!E:E)</f>
        <v>Non-Kuwaiti</v>
      </c>
      <c r="O1114" s="2">
        <f>2026-_xlfn.XLOOKUP(Deals[[#This Row],[CustomerID]],Customers!A:A,Customers!D:D)</f>
        <v>51</v>
      </c>
      <c r="P1114" s="2" t="str" cm="1">
        <f t="array" ref="P1114">_xlfn.IFS(Deals[[#This Row],[Age]]&lt;30,"Under 30",Deals[[#This Row],[Age]]&lt;45,"30-44",TRUE,"45+")</f>
        <v>45+</v>
      </c>
      <c r="Q1114" s="21">
        <f>IF(Deals[[#This Row],[Status]]="Pending","",Deals[[#This Row],[DecisionDate]]-Deals[[#This Row],[ApplicationDate]])</f>
        <v>1</v>
      </c>
      <c r="R1114" s="21">
        <f>IF(Deals[[#This Row],[Status]]="Approved",1,0)</f>
        <v>1</v>
      </c>
      <c r="S1114" s="21">
        <f>IF(Deals[[#This Row],[IsApproved]]=1,Deals[[#This Row],[Amount]],0)</f>
        <v>25000</v>
      </c>
      <c r="T1114" s="21">
        <f>Deals[[#This Row],[ApprovedAmount]]*Deals[[#This Row],[ProfitRate]]</f>
        <v>1582.4999999999998</v>
      </c>
    </row>
    <row r="1115" spans="1:20">
      <c r="A1115" s="2" t="s">
        <v>1874</v>
      </c>
      <c r="B1115" s="3">
        <v>46260</v>
      </c>
      <c r="C1115" s="2" t="s">
        <v>726</v>
      </c>
      <c r="D1115" s="2" t="s">
        <v>20</v>
      </c>
      <c r="E1115" s="2" t="s">
        <v>30</v>
      </c>
      <c r="F1115" s="2" t="s">
        <v>55</v>
      </c>
      <c r="G1115" s="4">
        <v>18600</v>
      </c>
      <c r="H1115" s="5">
        <v>4.3900000000000002E-2</v>
      </c>
      <c r="I1115" s="2">
        <v>36</v>
      </c>
      <c r="J1115" s="2" t="s">
        <v>22</v>
      </c>
      <c r="K1115" s="2" t="s">
        <v>17</v>
      </c>
      <c r="L1115" s="3">
        <v>46261</v>
      </c>
      <c r="M1115" s="2" t="str">
        <f>_xlfn.XLOOKUP(Deals[[#This Row],[CustomerID]],Customers!A:A,Customers!F:F)</f>
        <v>Premium</v>
      </c>
      <c r="N1115" s="2" t="str">
        <f>_xlfn.XLOOKUP(Deals[[#This Row],[CustomerID]],Customers!A:A,Customers!E:E)</f>
        <v>Kuwaiti</v>
      </c>
      <c r="O1115" s="2">
        <f>2026-_xlfn.XLOOKUP(Deals[[#This Row],[CustomerID]],Customers!A:A,Customers!D:D)</f>
        <v>23</v>
      </c>
      <c r="P1115" s="2" t="str" cm="1">
        <f t="array" ref="P1115">_xlfn.IFS(Deals[[#This Row],[Age]]&lt;30,"Under 30",Deals[[#This Row],[Age]]&lt;45,"30-44",TRUE,"45+")</f>
        <v>Under 30</v>
      </c>
      <c r="Q1115" s="21">
        <f>IF(Deals[[#This Row],[Status]]="Pending","",Deals[[#This Row],[DecisionDate]]-Deals[[#This Row],[ApplicationDate]])</f>
        <v>1</v>
      </c>
      <c r="R1115" s="21">
        <f>IF(Deals[[#This Row],[Status]]="Approved",1,0)</f>
        <v>1</v>
      </c>
      <c r="S1115" s="21">
        <f>IF(Deals[[#This Row],[IsApproved]]=1,Deals[[#This Row],[Amount]],0)</f>
        <v>18600</v>
      </c>
      <c r="T1115" s="21">
        <f>Deals[[#This Row],[ApprovedAmount]]*Deals[[#This Row],[ProfitRate]]</f>
        <v>816.54000000000008</v>
      </c>
    </row>
    <row r="1116" spans="1:20">
      <c r="A1116" s="2" t="s">
        <v>1875</v>
      </c>
      <c r="B1116" s="3">
        <v>46260</v>
      </c>
      <c r="C1116" s="2" t="s">
        <v>879</v>
      </c>
      <c r="D1116" s="2" t="s">
        <v>25</v>
      </c>
      <c r="E1116" s="2" t="s">
        <v>15</v>
      </c>
      <c r="F1116" s="2" t="s">
        <v>55</v>
      </c>
      <c r="G1116" s="4">
        <v>3700</v>
      </c>
      <c r="H1116" s="5">
        <v>5.4600000000000003E-2</v>
      </c>
      <c r="I1116" s="2">
        <v>24</v>
      </c>
      <c r="J1116" s="2" t="s">
        <v>181</v>
      </c>
      <c r="K1116" s="2" t="s">
        <v>17</v>
      </c>
      <c r="L1116" s="3">
        <v>46264</v>
      </c>
      <c r="M1116" s="2" t="str">
        <f>_xlfn.XLOOKUP(Deals[[#This Row],[CustomerID]],Customers!A:A,Customers!F:F)</f>
        <v>Mass</v>
      </c>
      <c r="N1116" s="2" t="str">
        <f>_xlfn.XLOOKUP(Deals[[#This Row],[CustomerID]],Customers!A:A,Customers!E:E)</f>
        <v>Kuwaiti</v>
      </c>
      <c r="O1116" s="2">
        <f>2026-_xlfn.XLOOKUP(Deals[[#This Row],[CustomerID]],Customers!A:A,Customers!D:D)</f>
        <v>32</v>
      </c>
      <c r="P1116" s="2" t="str" cm="1">
        <f t="array" ref="P1116">_xlfn.IFS(Deals[[#This Row],[Age]]&lt;30,"Under 30",Deals[[#This Row],[Age]]&lt;45,"30-44",TRUE,"45+")</f>
        <v>30-44</v>
      </c>
      <c r="Q1116" s="21">
        <f>IF(Deals[[#This Row],[Status]]="Pending","",Deals[[#This Row],[DecisionDate]]-Deals[[#This Row],[ApplicationDate]])</f>
        <v>4</v>
      </c>
      <c r="R1116" s="21">
        <f>IF(Deals[[#This Row],[Status]]="Approved",1,0)</f>
        <v>1</v>
      </c>
      <c r="S1116" s="21">
        <f>IF(Deals[[#This Row],[IsApproved]]=1,Deals[[#This Row],[Amount]],0)</f>
        <v>3700</v>
      </c>
      <c r="T1116" s="21">
        <f>Deals[[#This Row],[ApprovedAmount]]*Deals[[#This Row],[ProfitRate]]</f>
        <v>202.02</v>
      </c>
    </row>
    <row r="1117" spans="1:20">
      <c r="A1117" s="2" t="s">
        <v>1876</v>
      </c>
      <c r="B1117" s="3">
        <v>46260</v>
      </c>
      <c r="C1117" s="2" t="s">
        <v>1877</v>
      </c>
      <c r="D1117" s="2" t="s">
        <v>14</v>
      </c>
      <c r="E1117" s="2" t="s">
        <v>43</v>
      </c>
      <c r="F1117" s="2" t="s">
        <v>31</v>
      </c>
      <c r="G1117" s="4">
        <v>36500</v>
      </c>
      <c r="H1117" s="5">
        <v>6.2700000000000006E-2</v>
      </c>
      <c r="I1117" s="2">
        <v>24</v>
      </c>
      <c r="J1117" s="2" t="s">
        <v>48</v>
      </c>
      <c r="K1117" s="2" t="s">
        <v>17</v>
      </c>
      <c r="L1117" s="3">
        <v>46268</v>
      </c>
      <c r="M1117" s="2" t="str">
        <f>_xlfn.XLOOKUP(Deals[[#This Row],[CustomerID]],Customers!A:A,Customers!F:F)</f>
        <v>Mass</v>
      </c>
      <c r="N1117" s="2" t="str">
        <f>_xlfn.XLOOKUP(Deals[[#This Row],[CustomerID]],Customers!A:A,Customers!E:E)</f>
        <v>Kuwaiti</v>
      </c>
      <c r="O1117" s="2">
        <f>2026-_xlfn.XLOOKUP(Deals[[#This Row],[CustomerID]],Customers!A:A,Customers!D:D)</f>
        <v>43</v>
      </c>
      <c r="P1117" s="2" t="str" cm="1">
        <f t="array" ref="P1117">_xlfn.IFS(Deals[[#This Row],[Age]]&lt;30,"Under 30",Deals[[#This Row],[Age]]&lt;45,"30-44",TRUE,"45+")</f>
        <v>30-44</v>
      </c>
      <c r="Q1117" s="21">
        <f>IF(Deals[[#This Row],[Status]]="Pending","",Deals[[#This Row],[DecisionDate]]-Deals[[#This Row],[ApplicationDate]])</f>
        <v>8</v>
      </c>
      <c r="R1117" s="21">
        <f>IF(Deals[[#This Row],[Status]]="Approved",1,0)</f>
        <v>1</v>
      </c>
      <c r="S1117" s="21">
        <f>IF(Deals[[#This Row],[IsApproved]]=1,Deals[[#This Row],[Amount]],0)</f>
        <v>36500</v>
      </c>
      <c r="T1117" s="21">
        <f>Deals[[#This Row],[ApprovedAmount]]*Deals[[#This Row],[ProfitRate]]</f>
        <v>2288.5500000000002</v>
      </c>
    </row>
    <row r="1118" spans="1:20">
      <c r="A1118" s="2" t="s">
        <v>1878</v>
      </c>
      <c r="B1118" s="3">
        <v>46261</v>
      </c>
      <c r="C1118" s="2" t="s">
        <v>886</v>
      </c>
      <c r="D1118" s="2" t="s">
        <v>29</v>
      </c>
      <c r="E1118" s="2" t="s">
        <v>43</v>
      </c>
      <c r="F1118" s="2" t="s">
        <v>31</v>
      </c>
      <c r="G1118" s="4">
        <v>108700</v>
      </c>
      <c r="H1118" s="5">
        <v>6.7599999999999993E-2</v>
      </c>
      <c r="I1118" s="2">
        <v>60</v>
      </c>
      <c r="J1118" s="2" t="s">
        <v>61</v>
      </c>
      <c r="K1118" s="2" t="s">
        <v>45</v>
      </c>
      <c r="L1118" s="3">
        <v>46267</v>
      </c>
      <c r="M1118" s="2" t="str">
        <f>_xlfn.XLOOKUP(Deals[[#This Row],[CustomerID]],Customers!A:A,Customers!F:F)</f>
        <v>Mass</v>
      </c>
      <c r="N1118" s="2" t="str">
        <f>_xlfn.XLOOKUP(Deals[[#This Row],[CustomerID]],Customers!A:A,Customers!E:E)</f>
        <v>Non-Kuwaiti</v>
      </c>
      <c r="O1118" s="2">
        <f>2026-_xlfn.XLOOKUP(Deals[[#This Row],[CustomerID]],Customers!A:A,Customers!D:D)</f>
        <v>71</v>
      </c>
      <c r="P1118" s="2" t="str" cm="1">
        <f t="array" ref="P1118">_xlfn.IFS(Deals[[#This Row],[Age]]&lt;30,"Under 30",Deals[[#This Row],[Age]]&lt;45,"30-44",TRUE,"45+")</f>
        <v>45+</v>
      </c>
      <c r="Q1118" s="21">
        <f>IF(Deals[[#This Row],[Status]]="Pending","",Deals[[#This Row],[DecisionDate]]-Deals[[#This Row],[ApplicationDate]])</f>
        <v>6</v>
      </c>
      <c r="R1118" s="21">
        <f>IF(Deals[[#This Row],[Status]]="Approved",1,0)</f>
        <v>0</v>
      </c>
      <c r="S1118" s="21">
        <f>IF(Deals[[#This Row],[IsApproved]]=1,Deals[[#This Row],[Amount]],0)</f>
        <v>0</v>
      </c>
      <c r="T1118" s="21">
        <f>Deals[[#This Row],[ApprovedAmount]]*Deals[[#This Row],[ProfitRate]]</f>
        <v>0</v>
      </c>
    </row>
    <row r="1119" spans="1:20">
      <c r="A1119" s="2" t="s">
        <v>1879</v>
      </c>
      <c r="B1119" s="3">
        <v>46261</v>
      </c>
      <c r="C1119" s="2" t="s">
        <v>1880</v>
      </c>
      <c r="D1119" s="2" t="s">
        <v>25</v>
      </c>
      <c r="E1119" s="2" t="s">
        <v>30</v>
      </c>
      <c r="F1119" s="2" t="s">
        <v>3</v>
      </c>
      <c r="G1119" s="4">
        <v>5000</v>
      </c>
      <c r="H1119" s="5">
        <v>4.4999999999999998E-2</v>
      </c>
      <c r="I1119" s="2">
        <v>36</v>
      </c>
      <c r="J1119" s="2" t="s">
        <v>66</v>
      </c>
      <c r="K1119" s="2" t="s">
        <v>17</v>
      </c>
      <c r="L1119" s="3">
        <v>46263</v>
      </c>
      <c r="M1119" s="2" t="str">
        <f>_xlfn.XLOOKUP(Deals[[#This Row],[CustomerID]],Customers!A:A,Customers!F:F)</f>
        <v>Mass</v>
      </c>
      <c r="N1119" s="2" t="str">
        <f>_xlfn.XLOOKUP(Deals[[#This Row],[CustomerID]],Customers!A:A,Customers!E:E)</f>
        <v>Kuwaiti</v>
      </c>
      <c r="O1119" s="2">
        <f>2026-_xlfn.XLOOKUP(Deals[[#This Row],[CustomerID]],Customers!A:A,Customers!D:D)</f>
        <v>56</v>
      </c>
      <c r="P1119" s="2" t="str" cm="1">
        <f t="array" ref="P1119">_xlfn.IFS(Deals[[#This Row],[Age]]&lt;30,"Under 30",Deals[[#This Row],[Age]]&lt;45,"30-44",TRUE,"45+")</f>
        <v>45+</v>
      </c>
      <c r="Q1119" s="21">
        <f>IF(Deals[[#This Row],[Status]]="Pending","",Deals[[#This Row],[DecisionDate]]-Deals[[#This Row],[ApplicationDate]])</f>
        <v>2</v>
      </c>
      <c r="R1119" s="21">
        <f>IF(Deals[[#This Row],[Status]]="Approved",1,0)</f>
        <v>1</v>
      </c>
      <c r="S1119" s="21">
        <f>IF(Deals[[#This Row],[IsApproved]]=1,Deals[[#This Row],[Amount]],0)</f>
        <v>5000</v>
      </c>
      <c r="T1119" s="21">
        <f>Deals[[#This Row],[ApprovedAmount]]*Deals[[#This Row],[ProfitRate]]</f>
        <v>225</v>
      </c>
    </row>
    <row r="1120" spans="1:20">
      <c r="A1120" s="2" t="s">
        <v>1881</v>
      </c>
      <c r="B1120" s="3">
        <v>46261</v>
      </c>
      <c r="C1120" s="2" t="s">
        <v>1265</v>
      </c>
      <c r="D1120" s="2" t="s">
        <v>25</v>
      </c>
      <c r="E1120" s="2" t="s">
        <v>15</v>
      </c>
      <c r="F1120" s="2" t="s">
        <v>3</v>
      </c>
      <c r="G1120" s="4">
        <v>25000</v>
      </c>
      <c r="H1120" s="5">
        <v>5.4699999999999999E-2</v>
      </c>
      <c r="I1120" s="2">
        <v>48</v>
      </c>
      <c r="J1120" s="2" t="s">
        <v>26</v>
      </c>
      <c r="K1120" s="2" t="s">
        <v>17</v>
      </c>
      <c r="L1120" s="3">
        <v>46265</v>
      </c>
      <c r="M1120" s="2" t="str">
        <f>_xlfn.XLOOKUP(Deals[[#This Row],[CustomerID]],Customers!A:A,Customers!F:F)</f>
        <v>Affluent</v>
      </c>
      <c r="N1120" s="2" t="str">
        <f>_xlfn.XLOOKUP(Deals[[#This Row],[CustomerID]],Customers!A:A,Customers!E:E)</f>
        <v>Kuwaiti</v>
      </c>
      <c r="O1120" s="2">
        <f>2026-_xlfn.XLOOKUP(Deals[[#This Row],[CustomerID]],Customers!A:A,Customers!D:D)</f>
        <v>48</v>
      </c>
      <c r="P1120" s="2" t="str" cm="1">
        <f t="array" ref="P1120">_xlfn.IFS(Deals[[#This Row],[Age]]&lt;30,"Under 30",Deals[[#This Row],[Age]]&lt;45,"30-44",TRUE,"45+")</f>
        <v>45+</v>
      </c>
      <c r="Q1120" s="21">
        <f>IF(Deals[[#This Row],[Status]]="Pending","",Deals[[#This Row],[DecisionDate]]-Deals[[#This Row],[ApplicationDate]])</f>
        <v>4</v>
      </c>
      <c r="R1120" s="21">
        <f>IF(Deals[[#This Row],[Status]]="Approved",1,0)</f>
        <v>1</v>
      </c>
      <c r="S1120" s="21">
        <f>IF(Deals[[#This Row],[IsApproved]]=1,Deals[[#This Row],[Amount]],0)</f>
        <v>25000</v>
      </c>
      <c r="T1120" s="21">
        <f>Deals[[#This Row],[ApprovedAmount]]*Deals[[#This Row],[ProfitRate]]</f>
        <v>1367.5</v>
      </c>
    </row>
    <row r="1121" spans="1:20">
      <c r="A1121" s="2" t="s">
        <v>1882</v>
      </c>
      <c r="B1121" s="3">
        <v>46261</v>
      </c>
      <c r="C1121" s="2" t="s">
        <v>310</v>
      </c>
      <c r="D1121" s="2" t="s">
        <v>25</v>
      </c>
      <c r="E1121" s="2" t="s">
        <v>43</v>
      </c>
      <c r="F1121" s="2" t="s">
        <v>3</v>
      </c>
      <c r="G1121" s="4">
        <v>106100</v>
      </c>
      <c r="H1121" s="5">
        <v>7.0800000000000002E-2</v>
      </c>
      <c r="I1121" s="2">
        <v>60</v>
      </c>
      <c r="J1121" s="2" t="s">
        <v>181</v>
      </c>
      <c r="K1121" s="2" t="s">
        <v>17</v>
      </c>
      <c r="L1121" s="3">
        <v>46273</v>
      </c>
      <c r="M1121" s="2" t="str">
        <f>_xlfn.XLOOKUP(Deals[[#This Row],[CustomerID]],Customers!A:A,Customers!F:F)</f>
        <v>Affluent</v>
      </c>
      <c r="N1121" s="2" t="str">
        <f>_xlfn.XLOOKUP(Deals[[#This Row],[CustomerID]],Customers!A:A,Customers!E:E)</f>
        <v>Kuwaiti</v>
      </c>
      <c r="O1121" s="2">
        <f>2026-_xlfn.XLOOKUP(Deals[[#This Row],[CustomerID]],Customers!A:A,Customers!D:D)</f>
        <v>48</v>
      </c>
      <c r="P1121" s="2" t="str" cm="1">
        <f t="array" ref="P1121">_xlfn.IFS(Deals[[#This Row],[Age]]&lt;30,"Under 30",Deals[[#This Row],[Age]]&lt;45,"30-44",TRUE,"45+")</f>
        <v>45+</v>
      </c>
      <c r="Q1121" s="21">
        <f>IF(Deals[[#This Row],[Status]]="Pending","",Deals[[#This Row],[DecisionDate]]-Deals[[#This Row],[ApplicationDate]])</f>
        <v>12</v>
      </c>
      <c r="R1121" s="21">
        <f>IF(Deals[[#This Row],[Status]]="Approved",1,0)</f>
        <v>1</v>
      </c>
      <c r="S1121" s="21">
        <f>IF(Deals[[#This Row],[IsApproved]]=1,Deals[[#This Row],[Amount]],0)</f>
        <v>106100</v>
      </c>
      <c r="T1121" s="21">
        <f>Deals[[#This Row],[ApprovedAmount]]*Deals[[#This Row],[ProfitRate]]</f>
        <v>7511.88</v>
      </c>
    </row>
    <row r="1122" spans="1:20">
      <c r="A1122" s="2" t="s">
        <v>1883</v>
      </c>
      <c r="B1122" s="3">
        <v>46261</v>
      </c>
      <c r="C1122" s="2" t="s">
        <v>746</v>
      </c>
      <c r="D1122" s="2" t="s">
        <v>71</v>
      </c>
      <c r="E1122" s="2" t="s">
        <v>15</v>
      </c>
      <c r="F1122" s="2" t="s">
        <v>3</v>
      </c>
      <c r="G1122" s="4">
        <v>13400</v>
      </c>
      <c r="H1122" s="5">
        <v>6.4000000000000001E-2</v>
      </c>
      <c r="I1122" s="2">
        <v>48</v>
      </c>
      <c r="J1122" s="2" t="s">
        <v>101</v>
      </c>
      <c r="K1122" s="2" t="s">
        <v>17</v>
      </c>
      <c r="L1122" s="3">
        <v>46272</v>
      </c>
      <c r="M1122" s="2" t="str">
        <f>_xlfn.XLOOKUP(Deals[[#This Row],[CustomerID]],Customers!A:A,Customers!F:F)</f>
        <v>Mass</v>
      </c>
      <c r="N1122" s="2" t="str">
        <f>_xlfn.XLOOKUP(Deals[[#This Row],[CustomerID]],Customers!A:A,Customers!E:E)</f>
        <v>Kuwaiti</v>
      </c>
      <c r="O1122" s="2">
        <f>2026-_xlfn.XLOOKUP(Deals[[#This Row],[CustomerID]],Customers!A:A,Customers!D:D)</f>
        <v>40</v>
      </c>
      <c r="P1122" s="2" t="str" cm="1">
        <f t="array" ref="P1122">_xlfn.IFS(Deals[[#This Row],[Age]]&lt;30,"Under 30",Deals[[#This Row],[Age]]&lt;45,"30-44",TRUE,"45+")</f>
        <v>30-44</v>
      </c>
      <c r="Q1122" s="21">
        <f>IF(Deals[[#This Row],[Status]]="Pending","",Deals[[#This Row],[DecisionDate]]-Deals[[#This Row],[ApplicationDate]])</f>
        <v>11</v>
      </c>
      <c r="R1122" s="21">
        <f>IF(Deals[[#This Row],[Status]]="Approved",1,0)</f>
        <v>1</v>
      </c>
      <c r="S1122" s="21">
        <f>IF(Deals[[#This Row],[IsApproved]]=1,Deals[[#This Row],[Amount]],0)</f>
        <v>13400</v>
      </c>
      <c r="T1122" s="21">
        <f>Deals[[#This Row],[ApprovedAmount]]*Deals[[#This Row],[ProfitRate]]</f>
        <v>857.6</v>
      </c>
    </row>
    <row r="1123" spans="1:20">
      <c r="A1123" s="2" t="s">
        <v>1884</v>
      </c>
      <c r="B1123" s="3">
        <v>46261</v>
      </c>
      <c r="C1123" s="2" t="s">
        <v>74</v>
      </c>
      <c r="D1123" s="2" t="s">
        <v>54</v>
      </c>
      <c r="E1123" s="2" t="s">
        <v>43</v>
      </c>
      <c r="F1123" s="2" t="s">
        <v>3</v>
      </c>
      <c r="G1123" s="4">
        <v>147500</v>
      </c>
      <c r="H1123" s="5">
        <v>7.4499999999999997E-2</v>
      </c>
      <c r="I1123" s="2">
        <v>36</v>
      </c>
      <c r="J1123" s="2" t="s">
        <v>56</v>
      </c>
      <c r="K1123" s="2" t="s">
        <v>45</v>
      </c>
      <c r="L1123" s="3">
        <v>46280</v>
      </c>
      <c r="M1123" s="2" t="str">
        <f>_xlfn.XLOOKUP(Deals[[#This Row],[CustomerID]],Customers!A:A,Customers!F:F)</f>
        <v>Mass</v>
      </c>
      <c r="N1123" s="2" t="str">
        <f>_xlfn.XLOOKUP(Deals[[#This Row],[CustomerID]],Customers!A:A,Customers!E:E)</f>
        <v>Non-Kuwaiti</v>
      </c>
      <c r="O1123" s="2">
        <f>2026-_xlfn.XLOOKUP(Deals[[#This Row],[CustomerID]],Customers!A:A,Customers!D:D)</f>
        <v>37</v>
      </c>
      <c r="P1123" s="2" t="str" cm="1">
        <f t="array" ref="P1123">_xlfn.IFS(Deals[[#This Row],[Age]]&lt;30,"Under 30",Deals[[#This Row],[Age]]&lt;45,"30-44",TRUE,"45+")</f>
        <v>30-44</v>
      </c>
      <c r="Q1123" s="21">
        <f>IF(Deals[[#This Row],[Status]]="Pending","",Deals[[#This Row],[DecisionDate]]-Deals[[#This Row],[ApplicationDate]])</f>
        <v>19</v>
      </c>
      <c r="R1123" s="21">
        <f>IF(Deals[[#This Row],[Status]]="Approved",1,0)</f>
        <v>0</v>
      </c>
      <c r="S1123" s="21">
        <f>IF(Deals[[#This Row],[IsApproved]]=1,Deals[[#This Row],[Amount]],0)</f>
        <v>0</v>
      </c>
      <c r="T1123" s="21">
        <f>Deals[[#This Row],[ApprovedAmount]]*Deals[[#This Row],[ProfitRate]]</f>
        <v>0</v>
      </c>
    </row>
    <row r="1124" spans="1:20">
      <c r="A1124" s="2" t="s">
        <v>1885</v>
      </c>
      <c r="B1124" s="3">
        <v>46261</v>
      </c>
      <c r="C1124" s="2" t="s">
        <v>1886</v>
      </c>
      <c r="D1124" s="2" t="s">
        <v>20</v>
      </c>
      <c r="E1124" s="2" t="s">
        <v>30</v>
      </c>
      <c r="F1124" s="2" t="s">
        <v>3</v>
      </c>
      <c r="G1124" s="4">
        <v>15700</v>
      </c>
      <c r="H1124" s="5">
        <v>4.2999999999999997E-2</v>
      </c>
      <c r="I1124" s="2">
        <v>48</v>
      </c>
      <c r="J1124" s="2" t="s">
        <v>37</v>
      </c>
      <c r="K1124" s="2" t="s">
        <v>17</v>
      </c>
      <c r="L1124" s="3">
        <v>46266</v>
      </c>
      <c r="M1124" s="2" t="str">
        <f>_xlfn.XLOOKUP(Deals[[#This Row],[CustomerID]],Customers!A:A,Customers!F:F)</f>
        <v>Affluent</v>
      </c>
      <c r="N1124" s="2" t="str">
        <f>_xlfn.XLOOKUP(Deals[[#This Row],[CustomerID]],Customers!A:A,Customers!E:E)</f>
        <v>Kuwaiti</v>
      </c>
      <c r="O1124" s="2">
        <f>2026-_xlfn.XLOOKUP(Deals[[#This Row],[CustomerID]],Customers!A:A,Customers!D:D)</f>
        <v>36</v>
      </c>
      <c r="P1124" s="2" t="str" cm="1">
        <f t="array" ref="P1124">_xlfn.IFS(Deals[[#This Row],[Age]]&lt;30,"Under 30",Deals[[#This Row],[Age]]&lt;45,"30-44",TRUE,"45+")</f>
        <v>30-44</v>
      </c>
      <c r="Q1124" s="21">
        <f>IF(Deals[[#This Row],[Status]]="Pending","",Deals[[#This Row],[DecisionDate]]-Deals[[#This Row],[ApplicationDate]])</f>
        <v>5</v>
      </c>
      <c r="R1124" s="21">
        <f>IF(Deals[[#This Row],[Status]]="Approved",1,0)</f>
        <v>1</v>
      </c>
      <c r="S1124" s="21">
        <f>IF(Deals[[#This Row],[IsApproved]]=1,Deals[[#This Row],[Amount]],0)</f>
        <v>15700</v>
      </c>
      <c r="T1124" s="21">
        <f>Deals[[#This Row],[ApprovedAmount]]*Deals[[#This Row],[ProfitRate]]</f>
        <v>675.09999999999991</v>
      </c>
    </row>
    <row r="1125" spans="1:20">
      <c r="A1125" s="2" t="s">
        <v>1887</v>
      </c>
      <c r="B1125" s="3">
        <v>46262</v>
      </c>
      <c r="C1125" s="2" t="s">
        <v>1815</v>
      </c>
      <c r="D1125" s="2" t="s">
        <v>25</v>
      </c>
      <c r="E1125" s="2" t="s">
        <v>15</v>
      </c>
      <c r="F1125" s="2" t="s">
        <v>31</v>
      </c>
      <c r="G1125" s="4">
        <v>25000</v>
      </c>
      <c r="H1125" s="5">
        <v>6.3799999999999996E-2</v>
      </c>
      <c r="I1125" s="2">
        <v>36</v>
      </c>
      <c r="J1125" s="2" t="s">
        <v>181</v>
      </c>
      <c r="K1125" s="2" t="s">
        <v>17</v>
      </c>
      <c r="L1125" s="3">
        <v>46266</v>
      </c>
      <c r="M1125" s="2" t="str">
        <f>_xlfn.XLOOKUP(Deals[[#This Row],[CustomerID]],Customers!A:A,Customers!F:F)</f>
        <v>Affluent</v>
      </c>
      <c r="N1125" s="2" t="str">
        <f>_xlfn.XLOOKUP(Deals[[#This Row],[CustomerID]],Customers!A:A,Customers!E:E)</f>
        <v>Kuwaiti</v>
      </c>
      <c r="O1125" s="2">
        <f>2026-_xlfn.XLOOKUP(Deals[[#This Row],[CustomerID]],Customers!A:A,Customers!D:D)</f>
        <v>23</v>
      </c>
      <c r="P1125" s="2" t="str" cm="1">
        <f t="array" ref="P1125">_xlfn.IFS(Deals[[#This Row],[Age]]&lt;30,"Under 30",Deals[[#This Row],[Age]]&lt;45,"30-44",TRUE,"45+")</f>
        <v>Under 30</v>
      </c>
      <c r="Q1125" s="21">
        <f>IF(Deals[[#This Row],[Status]]="Pending","",Deals[[#This Row],[DecisionDate]]-Deals[[#This Row],[ApplicationDate]])</f>
        <v>4</v>
      </c>
      <c r="R1125" s="21">
        <f>IF(Deals[[#This Row],[Status]]="Approved",1,0)</f>
        <v>1</v>
      </c>
      <c r="S1125" s="21">
        <f>IF(Deals[[#This Row],[IsApproved]]=1,Deals[[#This Row],[Amount]],0)</f>
        <v>25000</v>
      </c>
      <c r="T1125" s="21">
        <f>Deals[[#This Row],[ApprovedAmount]]*Deals[[#This Row],[ProfitRate]]</f>
        <v>1595</v>
      </c>
    </row>
    <row r="1126" spans="1:20">
      <c r="A1126" s="2" t="s">
        <v>1888</v>
      </c>
      <c r="B1126" s="3">
        <v>46262</v>
      </c>
      <c r="C1126" s="2" t="s">
        <v>1173</v>
      </c>
      <c r="D1126" s="2" t="s">
        <v>25</v>
      </c>
      <c r="E1126" s="2" t="s">
        <v>30</v>
      </c>
      <c r="F1126" s="2" t="s">
        <v>3</v>
      </c>
      <c r="G1126" s="4">
        <v>5900</v>
      </c>
      <c r="H1126" s="5">
        <v>4.5600000000000002E-2</v>
      </c>
      <c r="I1126" s="2">
        <v>36</v>
      </c>
      <c r="J1126" s="2" t="s">
        <v>66</v>
      </c>
      <c r="K1126" s="2" t="s">
        <v>17</v>
      </c>
      <c r="L1126" s="3">
        <v>46267</v>
      </c>
      <c r="M1126" s="2" t="str">
        <f>_xlfn.XLOOKUP(Deals[[#This Row],[CustomerID]],Customers!A:A,Customers!F:F)</f>
        <v>Mass</v>
      </c>
      <c r="N1126" s="2" t="str">
        <f>_xlfn.XLOOKUP(Deals[[#This Row],[CustomerID]],Customers!A:A,Customers!E:E)</f>
        <v>Kuwaiti</v>
      </c>
      <c r="O1126" s="2">
        <f>2026-_xlfn.XLOOKUP(Deals[[#This Row],[CustomerID]],Customers!A:A,Customers!D:D)</f>
        <v>38</v>
      </c>
      <c r="P1126" s="2" t="str" cm="1">
        <f t="array" ref="P1126">_xlfn.IFS(Deals[[#This Row],[Age]]&lt;30,"Under 30",Deals[[#This Row],[Age]]&lt;45,"30-44",TRUE,"45+")</f>
        <v>30-44</v>
      </c>
      <c r="Q1126" s="21">
        <f>IF(Deals[[#This Row],[Status]]="Pending","",Deals[[#This Row],[DecisionDate]]-Deals[[#This Row],[ApplicationDate]])</f>
        <v>5</v>
      </c>
      <c r="R1126" s="21">
        <f>IF(Deals[[#This Row],[Status]]="Approved",1,0)</f>
        <v>1</v>
      </c>
      <c r="S1126" s="21">
        <f>IF(Deals[[#This Row],[IsApproved]]=1,Deals[[#This Row],[Amount]],0)</f>
        <v>5900</v>
      </c>
      <c r="T1126" s="21">
        <f>Deals[[#This Row],[ApprovedAmount]]*Deals[[#This Row],[ProfitRate]]</f>
        <v>269.04000000000002</v>
      </c>
    </row>
    <row r="1127" spans="1:20">
      <c r="A1127" s="2" t="s">
        <v>1889</v>
      </c>
      <c r="B1127" s="3">
        <v>46263</v>
      </c>
      <c r="C1127" s="2" t="s">
        <v>758</v>
      </c>
      <c r="D1127" s="2" t="s">
        <v>20</v>
      </c>
      <c r="E1127" s="2" t="s">
        <v>15</v>
      </c>
      <c r="F1127" s="2" t="s">
        <v>55</v>
      </c>
      <c r="G1127" s="4">
        <v>7100</v>
      </c>
      <c r="H1127" s="5">
        <v>5.62E-2</v>
      </c>
      <c r="I1127" s="2">
        <v>48</v>
      </c>
      <c r="J1127" s="2" t="s">
        <v>22</v>
      </c>
      <c r="K1127" s="2" t="s">
        <v>17</v>
      </c>
      <c r="L1127" s="3">
        <v>46267</v>
      </c>
      <c r="M1127" s="2" t="str">
        <f>_xlfn.XLOOKUP(Deals[[#This Row],[CustomerID]],Customers!A:A,Customers!F:F)</f>
        <v>Mass</v>
      </c>
      <c r="N1127" s="2" t="str">
        <f>_xlfn.XLOOKUP(Deals[[#This Row],[CustomerID]],Customers!A:A,Customers!E:E)</f>
        <v>Kuwaiti</v>
      </c>
      <c r="O1127" s="2">
        <f>2026-_xlfn.XLOOKUP(Deals[[#This Row],[CustomerID]],Customers!A:A,Customers!D:D)</f>
        <v>39</v>
      </c>
      <c r="P1127" s="2" t="str" cm="1">
        <f t="array" ref="P1127">_xlfn.IFS(Deals[[#This Row],[Age]]&lt;30,"Under 30",Deals[[#This Row],[Age]]&lt;45,"30-44",TRUE,"45+")</f>
        <v>30-44</v>
      </c>
      <c r="Q1127" s="21">
        <f>IF(Deals[[#This Row],[Status]]="Pending","",Deals[[#This Row],[DecisionDate]]-Deals[[#This Row],[ApplicationDate]])</f>
        <v>4</v>
      </c>
      <c r="R1127" s="21">
        <f>IF(Deals[[#This Row],[Status]]="Approved",1,0)</f>
        <v>1</v>
      </c>
      <c r="S1127" s="21">
        <f>IF(Deals[[#This Row],[IsApproved]]=1,Deals[[#This Row],[Amount]],0)</f>
        <v>7100</v>
      </c>
      <c r="T1127" s="21">
        <f>Deals[[#This Row],[ApprovedAmount]]*Deals[[#This Row],[ProfitRate]]</f>
        <v>399.02</v>
      </c>
    </row>
    <row r="1128" spans="1:20">
      <c r="A1128" s="2" t="s">
        <v>1890</v>
      </c>
      <c r="B1128" s="3">
        <v>46263</v>
      </c>
      <c r="C1128" s="2" t="s">
        <v>935</v>
      </c>
      <c r="D1128" s="2" t="s">
        <v>25</v>
      </c>
      <c r="E1128" s="2" t="s">
        <v>30</v>
      </c>
      <c r="F1128" s="2" t="s">
        <v>55</v>
      </c>
      <c r="G1128" s="4">
        <v>12600</v>
      </c>
      <c r="H1128" s="5">
        <v>4.5100000000000001E-2</v>
      </c>
      <c r="I1128" s="2">
        <v>48</v>
      </c>
      <c r="J1128" s="2" t="s">
        <v>26</v>
      </c>
      <c r="K1128" s="2" t="s">
        <v>17</v>
      </c>
      <c r="L1128" s="3">
        <v>46264</v>
      </c>
      <c r="M1128" s="2" t="str">
        <f>_xlfn.XLOOKUP(Deals[[#This Row],[CustomerID]],Customers!A:A,Customers!F:F)</f>
        <v>Mass</v>
      </c>
      <c r="N1128" s="2" t="str">
        <f>_xlfn.XLOOKUP(Deals[[#This Row],[CustomerID]],Customers!A:A,Customers!E:E)</f>
        <v>Kuwaiti</v>
      </c>
      <c r="O1128" s="2">
        <f>2026-_xlfn.XLOOKUP(Deals[[#This Row],[CustomerID]],Customers!A:A,Customers!D:D)</f>
        <v>55</v>
      </c>
      <c r="P1128" s="2" t="str" cm="1">
        <f t="array" ref="P1128">_xlfn.IFS(Deals[[#This Row],[Age]]&lt;30,"Under 30",Deals[[#This Row],[Age]]&lt;45,"30-44",TRUE,"45+")</f>
        <v>45+</v>
      </c>
      <c r="Q1128" s="21">
        <f>IF(Deals[[#This Row],[Status]]="Pending","",Deals[[#This Row],[DecisionDate]]-Deals[[#This Row],[ApplicationDate]])</f>
        <v>1</v>
      </c>
      <c r="R1128" s="21">
        <f>IF(Deals[[#This Row],[Status]]="Approved",1,0)</f>
        <v>1</v>
      </c>
      <c r="S1128" s="21">
        <f>IF(Deals[[#This Row],[IsApproved]]=1,Deals[[#This Row],[Amount]],0)</f>
        <v>12600</v>
      </c>
      <c r="T1128" s="21">
        <f>Deals[[#This Row],[ApprovedAmount]]*Deals[[#This Row],[ProfitRate]]</f>
        <v>568.26</v>
      </c>
    </row>
    <row r="1129" spans="1:20">
      <c r="A1129" s="2" t="s">
        <v>1891</v>
      </c>
      <c r="B1129" s="3">
        <v>46263</v>
      </c>
      <c r="C1129" s="2" t="s">
        <v>519</v>
      </c>
      <c r="D1129" s="2" t="s">
        <v>71</v>
      </c>
      <c r="E1129" s="2" t="s">
        <v>43</v>
      </c>
      <c r="F1129" s="2" t="s">
        <v>55</v>
      </c>
      <c r="G1129" s="4">
        <v>130100</v>
      </c>
      <c r="H1129" s="5">
        <v>5.6099999999999997E-2</v>
      </c>
      <c r="I1129" s="2">
        <v>24</v>
      </c>
      <c r="J1129" s="2" t="s">
        <v>94</v>
      </c>
      <c r="K1129" s="2" t="s">
        <v>17</v>
      </c>
      <c r="L1129" s="3">
        <v>46276</v>
      </c>
      <c r="M1129" s="2" t="str">
        <f>_xlfn.XLOOKUP(Deals[[#This Row],[CustomerID]],Customers!A:A,Customers!F:F)</f>
        <v>Mass</v>
      </c>
      <c r="N1129" s="2" t="str">
        <f>_xlfn.XLOOKUP(Deals[[#This Row],[CustomerID]],Customers!A:A,Customers!E:E)</f>
        <v>Kuwaiti</v>
      </c>
      <c r="O1129" s="2">
        <f>2026-_xlfn.XLOOKUP(Deals[[#This Row],[CustomerID]],Customers!A:A,Customers!D:D)</f>
        <v>57</v>
      </c>
      <c r="P1129" s="2" t="str" cm="1">
        <f t="array" ref="P1129">_xlfn.IFS(Deals[[#This Row],[Age]]&lt;30,"Under 30",Deals[[#This Row],[Age]]&lt;45,"30-44",TRUE,"45+")</f>
        <v>45+</v>
      </c>
      <c r="Q1129" s="21">
        <f>IF(Deals[[#This Row],[Status]]="Pending","",Deals[[#This Row],[DecisionDate]]-Deals[[#This Row],[ApplicationDate]])</f>
        <v>13</v>
      </c>
      <c r="R1129" s="21">
        <f>IF(Deals[[#This Row],[Status]]="Approved",1,0)</f>
        <v>1</v>
      </c>
      <c r="S1129" s="21">
        <f>IF(Deals[[#This Row],[IsApproved]]=1,Deals[[#This Row],[Amount]],0)</f>
        <v>130100</v>
      </c>
      <c r="T1129" s="21">
        <f>Deals[[#This Row],[ApprovedAmount]]*Deals[[#This Row],[ProfitRate]]</f>
        <v>7298.61</v>
      </c>
    </row>
    <row r="1130" spans="1:20">
      <c r="A1130" s="2" t="s">
        <v>1892</v>
      </c>
      <c r="B1130" s="3">
        <v>46263</v>
      </c>
      <c r="C1130" s="2" t="s">
        <v>86</v>
      </c>
      <c r="D1130" s="2" t="s">
        <v>20</v>
      </c>
      <c r="E1130" s="2" t="s">
        <v>43</v>
      </c>
      <c r="F1130" s="2" t="s">
        <v>3</v>
      </c>
      <c r="G1130" s="4">
        <v>81300</v>
      </c>
      <c r="H1130" s="5">
        <v>7.9799999999999996E-2</v>
      </c>
      <c r="I1130" s="2">
        <v>60</v>
      </c>
      <c r="J1130" s="2" t="s">
        <v>44</v>
      </c>
      <c r="K1130" s="2" t="s">
        <v>45</v>
      </c>
      <c r="L1130" s="3">
        <v>46277</v>
      </c>
      <c r="M1130" s="2" t="str">
        <f>_xlfn.XLOOKUP(Deals[[#This Row],[CustomerID]],Customers!A:A,Customers!F:F)</f>
        <v>Mass</v>
      </c>
      <c r="N1130" s="2" t="str">
        <f>_xlfn.XLOOKUP(Deals[[#This Row],[CustomerID]],Customers!A:A,Customers!E:E)</f>
        <v>Kuwaiti</v>
      </c>
      <c r="O1130" s="2">
        <f>2026-_xlfn.XLOOKUP(Deals[[#This Row],[CustomerID]],Customers!A:A,Customers!D:D)</f>
        <v>43</v>
      </c>
      <c r="P1130" s="2" t="str" cm="1">
        <f t="array" ref="P1130">_xlfn.IFS(Deals[[#This Row],[Age]]&lt;30,"Under 30",Deals[[#This Row],[Age]]&lt;45,"30-44",TRUE,"45+")</f>
        <v>30-44</v>
      </c>
      <c r="Q1130" s="21">
        <f>IF(Deals[[#This Row],[Status]]="Pending","",Deals[[#This Row],[DecisionDate]]-Deals[[#This Row],[ApplicationDate]])</f>
        <v>14</v>
      </c>
      <c r="R1130" s="21">
        <f>IF(Deals[[#This Row],[Status]]="Approved",1,0)</f>
        <v>0</v>
      </c>
      <c r="S1130" s="21">
        <f>IF(Deals[[#This Row],[IsApproved]]=1,Deals[[#This Row],[Amount]],0)</f>
        <v>0</v>
      </c>
      <c r="T1130" s="21">
        <f>Deals[[#This Row],[ApprovedAmount]]*Deals[[#This Row],[ProfitRate]]</f>
        <v>0</v>
      </c>
    </row>
    <row r="1131" spans="1:20">
      <c r="A1131" s="2" t="s">
        <v>1893</v>
      </c>
      <c r="B1131" s="3">
        <v>46263</v>
      </c>
      <c r="C1131" s="2" t="s">
        <v>120</v>
      </c>
      <c r="D1131" s="2" t="s">
        <v>54</v>
      </c>
      <c r="E1131" s="2" t="s">
        <v>30</v>
      </c>
      <c r="F1131" s="2" t="s">
        <v>31</v>
      </c>
      <c r="G1131" s="4">
        <v>9000</v>
      </c>
      <c r="H1131" s="5">
        <v>4.6100000000000002E-2</v>
      </c>
      <c r="I1131" s="2">
        <v>60</v>
      </c>
      <c r="J1131" s="2" t="s">
        <v>56</v>
      </c>
      <c r="K1131" s="2" t="s">
        <v>45</v>
      </c>
      <c r="L1131" s="3">
        <v>46263</v>
      </c>
      <c r="M1131" s="2" t="str">
        <f>_xlfn.XLOOKUP(Deals[[#This Row],[CustomerID]],Customers!A:A,Customers!F:F)</f>
        <v>Mass</v>
      </c>
      <c r="N1131" s="2" t="str">
        <f>_xlfn.XLOOKUP(Deals[[#This Row],[CustomerID]],Customers!A:A,Customers!E:E)</f>
        <v>Kuwaiti</v>
      </c>
      <c r="O1131" s="2">
        <f>2026-_xlfn.XLOOKUP(Deals[[#This Row],[CustomerID]],Customers!A:A,Customers!D:D)</f>
        <v>31</v>
      </c>
      <c r="P1131" s="2" t="str" cm="1">
        <f t="array" ref="P1131">_xlfn.IFS(Deals[[#This Row],[Age]]&lt;30,"Under 30",Deals[[#This Row],[Age]]&lt;45,"30-44",TRUE,"45+")</f>
        <v>30-44</v>
      </c>
      <c r="Q1131" s="21">
        <f>IF(Deals[[#This Row],[Status]]="Pending","",Deals[[#This Row],[DecisionDate]]-Deals[[#This Row],[ApplicationDate]])</f>
        <v>0</v>
      </c>
      <c r="R1131" s="21">
        <f>IF(Deals[[#This Row],[Status]]="Approved",1,0)</f>
        <v>0</v>
      </c>
      <c r="S1131" s="21">
        <f>IF(Deals[[#This Row],[IsApproved]]=1,Deals[[#This Row],[Amount]],0)</f>
        <v>0</v>
      </c>
      <c r="T1131" s="21">
        <f>Deals[[#This Row],[ApprovedAmount]]*Deals[[#This Row],[ProfitRate]]</f>
        <v>0</v>
      </c>
    </row>
    <row r="1132" spans="1:20">
      <c r="A1132" s="2" t="s">
        <v>1895</v>
      </c>
      <c r="B1132" s="3">
        <v>46263</v>
      </c>
      <c r="C1132" s="2" t="s">
        <v>1708</v>
      </c>
      <c r="D1132" s="2" t="s">
        <v>14</v>
      </c>
      <c r="E1132" s="2" t="s">
        <v>30</v>
      </c>
      <c r="F1132" s="2" t="s">
        <v>3</v>
      </c>
      <c r="G1132" s="4">
        <v>11300</v>
      </c>
      <c r="H1132" s="5">
        <v>4.7199999999999999E-2</v>
      </c>
      <c r="I1132" s="2">
        <v>60</v>
      </c>
      <c r="J1132" s="2" t="s">
        <v>48</v>
      </c>
      <c r="K1132" s="2" t="s">
        <v>45</v>
      </c>
      <c r="L1132" s="3">
        <v>46264</v>
      </c>
      <c r="M1132" s="2" t="str">
        <f>_xlfn.XLOOKUP(Deals[[#This Row],[CustomerID]],Customers!A:A,Customers!F:F)</f>
        <v>Mass</v>
      </c>
      <c r="N1132" s="2" t="str">
        <f>_xlfn.XLOOKUP(Deals[[#This Row],[CustomerID]],Customers!A:A,Customers!E:E)</f>
        <v>Non-Kuwaiti</v>
      </c>
      <c r="O1132" s="2">
        <f>2026-_xlfn.XLOOKUP(Deals[[#This Row],[CustomerID]],Customers!A:A,Customers!D:D)</f>
        <v>53</v>
      </c>
      <c r="P1132" s="2" t="str" cm="1">
        <f t="array" ref="P1132">_xlfn.IFS(Deals[[#This Row],[Age]]&lt;30,"Under 30",Deals[[#This Row],[Age]]&lt;45,"30-44",TRUE,"45+")</f>
        <v>45+</v>
      </c>
      <c r="Q1132" s="21">
        <f>IF(Deals[[#This Row],[Status]]="Pending","",Deals[[#This Row],[DecisionDate]]-Deals[[#This Row],[ApplicationDate]])</f>
        <v>1</v>
      </c>
      <c r="R1132" s="21">
        <f>IF(Deals[[#This Row],[Status]]="Approved",1,0)</f>
        <v>0</v>
      </c>
      <c r="S1132" s="21">
        <f>IF(Deals[[#This Row],[IsApproved]]=1,Deals[[#This Row],[Amount]],0)</f>
        <v>0</v>
      </c>
      <c r="T1132" s="21">
        <f>Deals[[#This Row],[ApprovedAmount]]*Deals[[#This Row],[ProfitRate]]</f>
        <v>0</v>
      </c>
    </row>
    <row r="1133" spans="1:20">
      <c r="A1133" s="2" t="s">
        <v>1896</v>
      </c>
      <c r="B1133" s="3">
        <v>46263</v>
      </c>
      <c r="C1133" s="2" t="s">
        <v>1897</v>
      </c>
      <c r="D1133" s="2" t="s">
        <v>14</v>
      </c>
      <c r="E1133" s="2" t="s">
        <v>15</v>
      </c>
      <c r="F1133" s="2" t="s">
        <v>31</v>
      </c>
      <c r="G1133" s="4">
        <v>6500</v>
      </c>
      <c r="H1133" s="5">
        <v>5.7700000000000001E-2</v>
      </c>
      <c r="I1133" s="2">
        <v>60</v>
      </c>
      <c r="J1133" s="2" t="s">
        <v>40</v>
      </c>
      <c r="K1133" s="2" t="s">
        <v>17</v>
      </c>
      <c r="L1133" s="3">
        <v>46264</v>
      </c>
      <c r="M1133" s="2" t="str">
        <f>_xlfn.XLOOKUP(Deals[[#This Row],[CustomerID]],Customers!A:A,Customers!F:F)</f>
        <v>Mass</v>
      </c>
      <c r="N1133" s="2" t="str">
        <f>_xlfn.XLOOKUP(Deals[[#This Row],[CustomerID]],Customers!A:A,Customers!E:E)</f>
        <v>Non-Kuwaiti</v>
      </c>
      <c r="O1133" s="2">
        <f>2026-_xlfn.XLOOKUP(Deals[[#This Row],[CustomerID]],Customers!A:A,Customers!D:D)</f>
        <v>49</v>
      </c>
      <c r="P1133" s="2" t="str" cm="1">
        <f t="array" ref="P1133">_xlfn.IFS(Deals[[#This Row],[Age]]&lt;30,"Under 30",Deals[[#This Row],[Age]]&lt;45,"30-44",TRUE,"45+")</f>
        <v>45+</v>
      </c>
      <c r="Q1133" s="21">
        <f>IF(Deals[[#This Row],[Status]]="Pending","",Deals[[#This Row],[DecisionDate]]-Deals[[#This Row],[ApplicationDate]])</f>
        <v>1</v>
      </c>
      <c r="R1133" s="21">
        <f>IF(Deals[[#This Row],[Status]]="Approved",1,0)</f>
        <v>1</v>
      </c>
      <c r="S1133" s="21">
        <f>IF(Deals[[#This Row],[IsApproved]]=1,Deals[[#This Row],[Amount]],0)</f>
        <v>6500</v>
      </c>
      <c r="T1133" s="21">
        <f>Deals[[#This Row],[ApprovedAmount]]*Deals[[#This Row],[ProfitRate]]</f>
        <v>375.05</v>
      </c>
    </row>
    <row r="1134" spans="1:20">
      <c r="A1134" s="2" t="s">
        <v>1898</v>
      </c>
      <c r="B1134" s="3">
        <v>46263</v>
      </c>
      <c r="C1134" s="2" t="s">
        <v>910</v>
      </c>
      <c r="D1134" s="2" t="s">
        <v>14</v>
      </c>
      <c r="E1134" s="2" t="s">
        <v>15</v>
      </c>
      <c r="F1134" s="2" t="s">
        <v>31</v>
      </c>
      <c r="G1134" s="4">
        <v>20800</v>
      </c>
      <c r="H1134" s="5">
        <v>6.1600000000000002E-2</v>
      </c>
      <c r="I1134" s="2">
        <v>36</v>
      </c>
      <c r="J1134" s="2" t="s">
        <v>16</v>
      </c>
      <c r="K1134" s="2" t="s">
        <v>45</v>
      </c>
      <c r="L1134" s="3">
        <v>46263</v>
      </c>
      <c r="M1134" s="2" t="str">
        <f>_xlfn.XLOOKUP(Deals[[#This Row],[CustomerID]],Customers!A:A,Customers!F:F)</f>
        <v>Mass</v>
      </c>
      <c r="N1134" s="2" t="str">
        <f>_xlfn.XLOOKUP(Deals[[#This Row],[CustomerID]],Customers!A:A,Customers!E:E)</f>
        <v>Non-Kuwaiti</v>
      </c>
      <c r="O1134" s="2">
        <f>2026-_xlfn.XLOOKUP(Deals[[#This Row],[CustomerID]],Customers!A:A,Customers!D:D)</f>
        <v>40</v>
      </c>
      <c r="P1134" s="2" t="str" cm="1">
        <f t="array" ref="P1134">_xlfn.IFS(Deals[[#This Row],[Age]]&lt;30,"Under 30",Deals[[#This Row],[Age]]&lt;45,"30-44",TRUE,"45+")</f>
        <v>30-44</v>
      </c>
      <c r="Q1134" s="21">
        <f>IF(Deals[[#This Row],[Status]]="Pending","",Deals[[#This Row],[DecisionDate]]-Deals[[#This Row],[ApplicationDate]])</f>
        <v>0</v>
      </c>
      <c r="R1134" s="21">
        <f>IF(Deals[[#This Row],[Status]]="Approved",1,0)</f>
        <v>0</v>
      </c>
      <c r="S1134" s="21">
        <f>IF(Deals[[#This Row],[IsApproved]]=1,Deals[[#This Row],[Amount]],0)</f>
        <v>0</v>
      </c>
      <c r="T1134" s="21">
        <f>Deals[[#This Row],[ApprovedAmount]]*Deals[[#This Row],[ProfitRate]]</f>
        <v>0</v>
      </c>
    </row>
    <row r="1135" spans="1:20">
      <c r="A1135" s="2" t="s">
        <v>1899</v>
      </c>
      <c r="B1135" s="3">
        <v>46263</v>
      </c>
      <c r="C1135" s="2" t="s">
        <v>1900</v>
      </c>
      <c r="D1135" s="2" t="s">
        <v>25</v>
      </c>
      <c r="E1135" s="2" t="s">
        <v>15</v>
      </c>
      <c r="F1135" s="2" t="s">
        <v>31</v>
      </c>
      <c r="G1135" s="4">
        <v>23800</v>
      </c>
      <c r="H1135" s="5">
        <v>6.88E-2</v>
      </c>
      <c r="I1135" s="2">
        <v>12</v>
      </c>
      <c r="J1135" s="2" t="s">
        <v>66</v>
      </c>
      <c r="K1135" s="2" t="s">
        <v>17</v>
      </c>
      <c r="L1135" s="3">
        <v>46267</v>
      </c>
      <c r="M1135" s="2" t="str">
        <f>_xlfn.XLOOKUP(Deals[[#This Row],[CustomerID]],Customers!A:A,Customers!F:F)</f>
        <v>Affluent</v>
      </c>
      <c r="N1135" s="2" t="str">
        <f>_xlfn.XLOOKUP(Deals[[#This Row],[CustomerID]],Customers!A:A,Customers!E:E)</f>
        <v>Kuwaiti</v>
      </c>
      <c r="O1135" s="2">
        <f>2026-_xlfn.XLOOKUP(Deals[[#This Row],[CustomerID]],Customers!A:A,Customers!D:D)</f>
        <v>24</v>
      </c>
      <c r="P1135" s="2" t="str" cm="1">
        <f t="array" ref="P1135">_xlfn.IFS(Deals[[#This Row],[Age]]&lt;30,"Under 30",Deals[[#This Row],[Age]]&lt;45,"30-44",TRUE,"45+")</f>
        <v>Under 30</v>
      </c>
      <c r="Q1135" s="21">
        <f>IF(Deals[[#This Row],[Status]]="Pending","",Deals[[#This Row],[DecisionDate]]-Deals[[#This Row],[ApplicationDate]])</f>
        <v>4</v>
      </c>
      <c r="R1135" s="21">
        <f>IF(Deals[[#This Row],[Status]]="Approved",1,0)</f>
        <v>1</v>
      </c>
      <c r="S1135" s="21">
        <f>IF(Deals[[#This Row],[IsApproved]]=1,Deals[[#This Row],[Amount]],0)</f>
        <v>23800</v>
      </c>
      <c r="T1135" s="21">
        <f>Deals[[#This Row],[ApprovedAmount]]*Deals[[#This Row],[ProfitRate]]</f>
        <v>1637.44</v>
      </c>
    </row>
    <row r="1136" spans="1:20">
      <c r="A1136" s="2" t="s">
        <v>1901</v>
      </c>
      <c r="B1136" s="3">
        <v>46264</v>
      </c>
      <c r="C1136" s="2" t="s">
        <v>1902</v>
      </c>
      <c r="D1136" s="2" t="s">
        <v>25</v>
      </c>
      <c r="E1136" s="2" t="s">
        <v>43</v>
      </c>
      <c r="F1136" s="2" t="s">
        <v>31</v>
      </c>
      <c r="G1136" s="4">
        <v>172300</v>
      </c>
      <c r="H1136" s="5">
        <v>5.57E-2</v>
      </c>
      <c r="I1136" s="2">
        <v>24</v>
      </c>
      <c r="J1136" s="2" t="s">
        <v>26</v>
      </c>
      <c r="K1136" s="2" t="s">
        <v>45</v>
      </c>
      <c r="L1136" s="3">
        <v>46280</v>
      </c>
      <c r="M1136" s="2" t="str">
        <f>_xlfn.XLOOKUP(Deals[[#This Row],[CustomerID]],Customers!A:A,Customers!F:F)</f>
        <v>Premium</v>
      </c>
      <c r="N1136" s="2" t="str">
        <f>_xlfn.XLOOKUP(Deals[[#This Row],[CustomerID]],Customers!A:A,Customers!E:E)</f>
        <v>Kuwaiti</v>
      </c>
      <c r="O1136" s="2">
        <f>2026-_xlfn.XLOOKUP(Deals[[#This Row],[CustomerID]],Customers!A:A,Customers!D:D)</f>
        <v>23</v>
      </c>
      <c r="P1136" s="2" t="str" cm="1">
        <f t="array" ref="P1136">_xlfn.IFS(Deals[[#This Row],[Age]]&lt;30,"Under 30",Deals[[#This Row],[Age]]&lt;45,"30-44",TRUE,"45+")</f>
        <v>Under 30</v>
      </c>
      <c r="Q1136" s="21">
        <f>IF(Deals[[#This Row],[Status]]="Pending","",Deals[[#This Row],[DecisionDate]]-Deals[[#This Row],[ApplicationDate]])</f>
        <v>16</v>
      </c>
      <c r="R1136" s="21">
        <f>IF(Deals[[#This Row],[Status]]="Approved",1,0)</f>
        <v>0</v>
      </c>
      <c r="S1136" s="21">
        <f>IF(Deals[[#This Row],[IsApproved]]=1,Deals[[#This Row],[Amount]],0)</f>
        <v>0</v>
      </c>
      <c r="T1136" s="21">
        <f>Deals[[#This Row],[ApprovedAmount]]*Deals[[#This Row],[ProfitRate]]</f>
        <v>0</v>
      </c>
    </row>
    <row r="1137" spans="1:20">
      <c r="A1137" s="2" t="s">
        <v>1903</v>
      </c>
      <c r="B1137" s="3">
        <v>46264</v>
      </c>
      <c r="C1137" s="2" t="s">
        <v>84</v>
      </c>
      <c r="D1137" s="2" t="s">
        <v>71</v>
      </c>
      <c r="E1137" s="2" t="s">
        <v>30</v>
      </c>
      <c r="F1137" s="2" t="s">
        <v>3</v>
      </c>
      <c r="G1137" s="4">
        <v>8100</v>
      </c>
      <c r="H1137" s="5">
        <v>3.8199999999999998E-2</v>
      </c>
      <c r="I1137" s="2">
        <v>60</v>
      </c>
      <c r="J1137" s="2" t="s">
        <v>72</v>
      </c>
      <c r="K1137" s="2" t="s">
        <v>17</v>
      </c>
      <c r="L1137" s="3">
        <v>46270</v>
      </c>
      <c r="M1137" s="2" t="str">
        <f>_xlfn.XLOOKUP(Deals[[#This Row],[CustomerID]],Customers!A:A,Customers!F:F)</f>
        <v>Mass</v>
      </c>
      <c r="N1137" s="2" t="str">
        <f>_xlfn.XLOOKUP(Deals[[#This Row],[CustomerID]],Customers!A:A,Customers!E:E)</f>
        <v>Non-Kuwaiti</v>
      </c>
      <c r="O1137" s="2">
        <f>2026-_xlfn.XLOOKUP(Deals[[#This Row],[CustomerID]],Customers!A:A,Customers!D:D)</f>
        <v>23</v>
      </c>
      <c r="P1137" s="2" t="str" cm="1">
        <f t="array" ref="P1137">_xlfn.IFS(Deals[[#This Row],[Age]]&lt;30,"Under 30",Deals[[#This Row],[Age]]&lt;45,"30-44",TRUE,"45+")</f>
        <v>Under 30</v>
      </c>
      <c r="Q1137" s="21">
        <f>IF(Deals[[#This Row],[Status]]="Pending","",Deals[[#This Row],[DecisionDate]]-Deals[[#This Row],[ApplicationDate]])</f>
        <v>6</v>
      </c>
      <c r="R1137" s="21">
        <f>IF(Deals[[#This Row],[Status]]="Approved",1,0)</f>
        <v>1</v>
      </c>
      <c r="S1137" s="21">
        <f>IF(Deals[[#This Row],[IsApproved]]=1,Deals[[#This Row],[Amount]],0)</f>
        <v>8100</v>
      </c>
      <c r="T1137" s="21">
        <f>Deals[[#This Row],[ApprovedAmount]]*Deals[[#This Row],[ProfitRate]]</f>
        <v>309.41999999999996</v>
      </c>
    </row>
    <row r="1138" spans="1:20">
      <c r="A1138" s="2" t="s">
        <v>1904</v>
      </c>
      <c r="B1138" s="3">
        <v>46264</v>
      </c>
      <c r="C1138" s="2" t="s">
        <v>776</v>
      </c>
      <c r="D1138" s="2" t="s">
        <v>14</v>
      </c>
      <c r="E1138" s="2" t="s">
        <v>30</v>
      </c>
      <c r="F1138" s="2" t="s">
        <v>31</v>
      </c>
      <c r="G1138" s="4">
        <v>10300</v>
      </c>
      <c r="H1138" s="5">
        <v>3.6200000000000003E-2</v>
      </c>
      <c r="I1138" s="2">
        <v>36</v>
      </c>
      <c r="J1138" s="2" t="s">
        <v>16</v>
      </c>
      <c r="K1138" s="2" t="s">
        <v>17</v>
      </c>
      <c r="L1138" s="3">
        <v>46266</v>
      </c>
      <c r="M1138" s="2" t="str">
        <f>_xlfn.XLOOKUP(Deals[[#This Row],[CustomerID]],Customers!A:A,Customers!F:F)</f>
        <v>Affluent</v>
      </c>
      <c r="N1138" s="2" t="str">
        <f>_xlfn.XLOOKUP(Deals[[#This Row],[CustomerID]],Customers!A:A,Customers!E:E)</f>
        <v>Kuwaiti</v>
      </c>
      <c r="O1138" s="2">
        <f>2026-_xlfn.XLOOKUP(Deals[[#This Row],[CustomerID]],Customers!A:A,Customers!D:D)</f>
        <v>26</v>
      </c>
      <c r="P1138" s="2" t="str" cm="1">
        <f t="array" ref="P1138">_xlfn.IFS(Deals[[#This Row],[Age]]&lt;30,"Under 30",Deals[[#This Row],[Age]]&lt;45,"30-44",TRUE,"45+")</f>
        <v>Under 30</v>
      </c>
      <c r="Q1138" s="21">
        <f>IF(Deals[[#This Row],[Status]]="Pending","",Deals[[#This Row],[DecisionDate]]-Deals[[#This Row],[ApplicationDate]])</f>
        <v>2</v>
      </c>
      <c r="R1138" s="21">
        <f>IF(Deals[[#This Row],[Status]]="Approved",1,0)</f>
        <v>1</v>
      </c>
      <c r="S1138" s="21">
        <f>IF(Deals[[#This Row],[IsApproved]]=1,Deals[[#This Row],[Amount]],0)</f>
        <v>10300</v>
      </c>
      <c r="T1138" s="21">
        <f>Deals[[#This Row],[ApprovedAmount]]*Deals[[#This Row],[ProfitRate]]</f>
        <v>372.86</v>
      </c>
    </row>
    <row r="1139" spans="1:20">
      <c r="A1139" s="2" t="s">
        <v>1905</v>
      </c>
      <c r="B1139" s="3">
        <v>46264</v>
      </c>
      <c r="C1139" s="2" t="s">
        <v>1256</v>
      </c>
      <c r="D1139" s="2" t="s">
        <v>14</v>
      </c>
      <c r="E1139" s="2" t="s">
        <v>43</v>
      </c>
      <c r="F1139" s="2" t="s">
        <v>31</v>
      </c>
      <c r="G1139" s="4">
        <v>46500</v>
      </c>
      <c r="H1139" s="5">
        <v>6.4799999999999996E-2</v>
      </c>
      <c r="I1139" s="2">
        <v>84</v>
      </c>
      <c r="J1139" s="2" t="s">
        <v>40</v>
      </c>
      <c r="K1139" s="2" t="s">
        <v>45</v>
      </c>
      <c r="L1139" s="3">
        <v>46274</v>
      </c>
      <c r="M1139" s="2" t="str">
        <f>_xlfn.XLOOKUP(Deals[[#This Row],[CustomerID]],Customers!A:A,Customers!F:F)</f>
        <v>Mass</v>
      </c>
      <c r="N1139" s="2" t="str">
        <f>_xlfn.XLOOKUP(Deals[[#This Row],[CustomerID]],Customers!A:A,Customers!E:E)</f>
        <v>Kuwaiti</v>
      </c>
      <c r="O1139" s="2">
        <f>2026-_xlfn.XLOOKUP(Deals[[#This Row],[CustomerID]],Customers!A:A,Customers!D:D)</f>
        <v>25</v>
      </c>
      <c r="P1139" s="2" t="str" cm="1">
        <f t="array" ref="P1139">_xlfn.IFS(Deals[[#This Row],[Age]]&lt;30,"Under 30",Deals[[#This Row],[Age]]&lt;45,"30-44",TRUE,"45+")</f>
        <v>Under 30</v>
      </c>
      <c r="Q1139" s="21">
        <f>IF(Deals[[#This Row],[Status]]="Pending","",Deals[[#This Row],[DecisionDate]]-Deals[[#This Row],[ApplicationDate]])</f>
        <v>10</v>
      </c>
      <c r="R1139" s="21">
        <f>IF(Deals[[#This Row],[Status]]="Approved",1,0)</f>
        <v>0</v>
      </c>
      <c r="S1139" s="21">
        <f>IF(Deals[[#This Row],[IsApproved]]=1,Deals[[#This Row],[Amount]],0)</f>
        <v>0</v>
      </c>
      <c r="T1139" s="21">
        <f>Deals[[#This Row],[ApprovedAmount]]*Deals[[#This Row],[ProfitRate]]</f>
        <v>0</v>
      </c>
    </row>
    <row r="1140" spans="1:20">
      <c r="A1140" s="2" t="s">
        <v>1906</v>
      </c>
      <c r="B1140" s="3">
        <v>46264</v>
      </c>
      <c r="C1140" s="2" t="s">
        <v>356</v>
      </c>
      <c r="D1140" s="2" t="s">
        <v>20</v>
      </c>
      <c r="E1140" s="2" t="s">
        <v>21</v>
      </c>
      <c r="F1140" s="2" t="s">
        <v>3</v>
      </c>
      <c r="G1140" s="4">
        <v>178300</v>
      </c>
      <c r="H1140" s="5">
        <v>4.2500000000000003E-2</v>
      </c>
      <c r="I1140" s="2">
        <v>240</v>
      </c>
      <c r="J1140" s="2" t="s">
        <v>37</v>
      </c>
      <c r="K1140" s="2" t="s">
        <v>17</v>
      </c>
      <c r="L1140" s="3">
        <v>46286</v>
      </c>
      <c r="M1140" s="2" t="str">
        <f>_xlfn.XLOOKUP(Deals[[#This Row],[CustomerID]],Customers!A:A,Customers!F:F)</f>
        <v>Affluent</v>
      </c>
      <c r="N1140" s="2" t="str">
        <f>_xlfn.XLOOKUP(Deals[[#This Row],[CustomerID]],Customers!A:A,Customers!E:E)</f>
        <v>Non-Kuwaiti</v>
      </c>
      <c r="O1140" s="2">
        <f>2026-_xlfn.XLOOKUP(Deals[[#This Row],[CustomerID]],Customers!A:A,Customers!D:D)</f>
        <v>37</v>
      </c>
      <c r="P1140" s="2" t="str" cm="1">
        <f t="array" ref="P1140">_xlfn.IFS(Deals[[#This Row],[Age]]&lt;30,"Under 30",Deals[[#This Row],[Age]]&lt;45,"30-44",TRUE,"45+")</f>
        <v>30-44</v>
      </c>
      <c r="Q1140" s="21">
        <f>IF(Deals[[#This Row],[Status]]="Pending","",Deals[[#This Row],[DecisionDate]]-Deals[[#This Row],[ApplicationDate]])</f>
        <v>22</v>
      </c>
      <c r="R1140" s="21">
        <f>IF(Deals[[#This Row],[Status]]="Approved",1,0)</f>
        <v>1</v>
      </c>
      <c r="S1140" s="21">
        <f>IF(Deals[[#This Row],[IsApproved]]=1,Deals[[#This Row],[Amount]],0)</f>
        <v>178300</v>
      </c>
      <c r="T1140" s="21">
        <f>Deals[[#This Row],[ApprovedAmount]]*Deals[[#This Row],[ProfitRate]]</f>
        <v>7577.7500000000009</v>
      </c>
    </row>
    <row r="1141" spans="1:20">
      <c r="A1141" s="2" t="s">
        <v>1907</v>
      </c>
      <c r="B1141" s="3">
        <v>46264</v>
      </c>
      <c r="C1141" s="2" t="s">
        <v>888</v>
      </c>
      <c r="D1141" s="2" t="s">
        <v>14</v>
      </c>
      <c r="E1141" s="2" t="s">
        <v>30</v>
      </c>
      <c r="F1141" s="2" t="s">
        <v>3</v>
      </c>
      <c r="G1141" s="4">
        <v>16200</v>
      </c>
      <c r="H1141" s="5">
        <v>4.4299999999999999E-2</v>
      </c>
      <c r="I1141" s="2">
        <v>48</v>
      </c>
      <c r="J1141" s="2" t="s">
        <v>48</v>
      </c>
      <c r="K1141" s="2" t="s">
        <v>17</v>
      </c>
      <c r="L1141" s="3">
        <v>46269</v>
      </c>
      <c r="M1141" s="2" t="str">
        <f>_xlfn.XLOOKUP(Deals[[#This Row],[CustomerID]],Customers!A:A,Customers!F:F)</f>
        <v>Affluent</v>
      </c>
      <c r="N1141" s="2" t="str">
        <f>_xlfn.XLOOKUP(Deals[[#This Row],[CustomerID]],Customers!A:A,Customers!E:E)</f>
        <v>Kuwaiti</v>
      </c>
      <c r="O1141" s="2">
        <f>2026-_xlfn.XLOOKUP(Deals[[#This Row],[CustomerID]],Customers!A:A,Customers!D:D)</f>
        <v>24</v>
      </c>
      <c r="P1141" s="2" t="str" cm="1">
        <f t="array" ref="P1141">_xlfn.IFS(Deals[[#This Row],[Age]]&lt;30,"Under 30",Deals[[#This Row],[Age]]&lt;45,"30-44",TRUE,"45+")</f>
        <v>Under 30</v>
      </c>
      <c r="Q1141" s="21">
        <f>IF(Deals[[#This Row],[Status]]="Pending","",Deals[[#This Row],[DecisionDate]]-Deals[[#This Row],[ApplicationDate]])</f>
        <v>5</v>
      </c>
      <c r="R1141" s="21">
        <f>IF(Deals[[#This Row],[Status]]="Approved",1,0)</f>
        <v>1</v>
      </c>
      <c r="S1141" s="21">
        <f>IF(Deals[[#This Row],[IsApproved]]=1,Deals[[#This Row],[Amount]],0)</f>
        <v>16200</v>
      </c>
      <c r="T1141" s="21">
        <f>Deals[[#This Row],[ApprovedAmount]]*Deals[[#This Row],[ProfitRate]]</f>
        <v>717.66</v>
      </c>
    </row>
    <row r="1142" spans="1:20">
      <c r="A1142" s="2" t="s">
        <v>1908</v>
      </c>
      <c r="B1142" s="3">
        <v>46265</v>
      </c>
      <c r="C1142" s="2" t="s">
        <v>1562</v>
      </c>
      <c r="D1142" s="2" t="s">
        <v>14</v>
      </c>
      <c r="E1142" s="2" t="s">
        <v>30</v>
      </c>
      <c r="F1142" s="2" t="s">
        <v>3</v>
      </c>
      <c r="G1142" s="4">
        <v>13200</v>
      </c>
      <c r="H1142" s="5">
        <v>4.8399999999999999E-2</v>
      </c>
      <c r="I1142" s="2">
        <v>48</v>
      </c>
      <c r="J1142" s="2" t="s">
        <v>48</v>
      </c>
      <c r="K1142" s="2" t="s">
        <v>17</v>
      </c>
      <c r="L1142" s="3">
        <v>46268</v>
      </c>
      <c r="M1142" s="2" t="str">
        <f>_xlfn.XLOOKUP(Deals[[#This Row],[CustomerID]],Customers!A:A,Customers!F:F)</f>
        <v>Mass</v>
      </c>
      <c r="N1142" s="2" t="str">
        <f>_xlfn.XLOOKUP(Deals[[#This Row],[CustomerID]],Customers!A:A,Customers!E:E)</f>
        <v>Kuwaiti</v>
      </c>
      <c r="O1142" s="2">
        <f>2026-_xlfn.XLOOKUP(Deals[[#This Row],[CustomerID]],Customers!A:A,Customers!D:D)</f>
        <v>55</v>
      </c>
      <c r="P1142" s="2" t="str" cm="1">
        <f t="array" ref="P1142">_xlfn.IFS(Deals[[#This Row],[Age]]&lt;30,"Under 30",Deals[[#This Row],[Age]]&lt;45,"30-44",TRUE,"45+")</f>
        <v>45+</v>
      </c>
      <c r="Q1142" s="21">
        <f>IF(Deals[[#This Row],[Status]]="Pending","",Deals[[#This Row],[DecisionDate]]-Deals[[#This Row],[ApplicationDate]])</f>
        <v>3</v>
      </c>
      <c r="R1142" s="21">
        <f>IF(Deals[[#This Row],[Status]]="Approved",1,0)</f>
        <v>1</v>
      </c>
      <c r="S1142" s="21">
        <f>IF(Deals[[#This Row],[IsApproved]]=1,Deals[[#This Row],[Amount]],0)</f>
        <v>13200</v>
      </c>
      <c r="T1142" s="21">
        <f>Deals[[#This Row],[ApprovedAmount]]*Deals[[#This Row],[ProfitRate]]</f>
        <v>638.88</v>
      </c>
    </row>
    <row r="1143" spans="1:20">
      <c r="A1143" s="2" t="s">
        <v>1909</v>
      </c>
      <c r="B1143" s="3">
        <v>46265</v>
      </c>
      <c r="C1143" s="2" t="s">
        <v>575</v>
      </c>
      <c r="D1143" s="2" t="s">
        <v>14</v>
      </c>
      <c r="E1143" s="2" t="s">
        <v>30</v>
      </c>
      <c r="F1143" s="2" t="s">
        <v>31</v>
      </c>
      <c r="G1143" s="4">
        <v>10500</v>
      </c>
      <c r="H1143" s="5">
        <v>4.0800000000000003E-2</v>
      </c>
      <c r="I1143" s="2">
        <v>48</v>
      </c>
      <c r="J1143" s="2" t="s">
        <v>48</v>
      </c>
      <c r="K1143" s="2" t="s">
        <v>17</v>
      </c>
      <c r="L1143" s="3">
        <v>46267</v>
      </c>
      <c r="M1143" s="2" t="str">
        <f>_xlfn.XLOOKUP(Deals[[#This Row],[CustomerID]],Customers!A:A,Customers!F:F)</f>
        <v>Mass</v>
      </c>
      <c r="N1143" s="2" t="str">
        <f>_xlfn.XLOOKUP(Deals[[#This Row],[CustomerID]],Customers!A:A,Customers!E:E)</f>
        <v>Non-Kuwaiti</v>
      </c>
      <c r="O1143" s="2">
        <f>2026-_xlfn.XLOOKUP(Deals[[#This Row],[CustomerID]],Customers!A:A,Customers!D:D)</f>
        <v>34</v>
      </c>
      <c r="P1143" s="2" t="str" cm="1">
        <f t="array" ref="P1143">_xlfn.IFS(Deals[[#This Row],[Age]]&lt;30,"Under 30",Deals[[#This Row],[Age]]&lt;45,"30-44",TRUE,"45+")</f>
        <v>30-44</v>
      </c>
      <c r="Q1143" s="21">
        <f>IF(Deals[[#This Row],[Status]]="Pending","",Deals[[#This Row],[DecisionDate]]-Deals[[#This Row],[ApplicationDate]])</f>
        <v>2</v>
      </c>
      <c r="R1143" s="21">
        <f>IF(Deals[[#This Row],[Status]]="Approved",1,0)</f>
        <v>1</v>
      </c>
      <c r="S1143" s="21">
        <f>IF(Deals[[#This Row],[IsApproved]]=1,Deals[[#This Row],[Amount]],0)</f>
        <v>10500</v>
      </c>
      <c r="T1143" s="21">
        <f>Deals[[#This Row],[ApprovedAmount]]*Deals[[#This Row],[ProfitRate]]</f>
        <v>428.40000000000003</v>
      </c>
    </row>
    <row r="1144" spans="1:20">
      <c r="A1144" s="2" t="s">
        <v>1910</v>
      </c>
      <c r="B1144" s="3">
        <v>46265</v>
      </c>
      <c r="C1144" s="2" t="s">
        <v>1194</v>
      </c>
      <c r="D1144" s="2" t="s">
        <v>54</v>
      </c>
      <c r="E1144" s="2" t="s">
        <v>30</v>
      </c>
      <c r="F1144" s="2" t="s">
        <v>31</v>
      </c>
      <c r="G1144" s="4">
        <v>13600</v>
      </c>
      <c r="H1144" s="5">
        <v>4.0399999999999998E-2</v>
      </c>
      <c r="I1144" s="2">
        <v>60</v>
      </c>
      <c r="J1144" s="2" t="s">
        <v>186</v>
      </c>
      <c r="K1144" s="2" t="s">
        <v>17</v>
      </c>
      <c r="L1144" s="3">
        <v>46268</v>
      </c>
      <c r="M1144" s="2" t="str">
        <f>_xlfn.XLOOKUP(Deals[[#This Row],[CustomerID]],Customers!A:A,Customers!F:F)</f>
        <v>Affluent</v>
      </c>
      <c r="N1144" s="2" t="str">
        <f>_xlfn.XLOOKUP(Deals[[#This Row],[CustomerID]],Customers!A:A,Customers!E:E)</f>
        <v>Kuwaiti</v>
      </c>
      <c r="O1144" s="2">
        <f>2026-_xlfn.XLOOKUP(Deals[[#This Row],[CustomerID]],Customers!A:A,Customers!D:D)</f>
        <v>30</v>
      </c>
      <c r="P1144" s="2" t="str" cm="1">
        <f t="array" ref="P1144">_xlfn.IFS(Deals[[#This Row],[Age]]&lt;30,"Under 30",Deals[[#This Row],[Age]]&lt;45,"30-44",TRUE,"45+")</f>
        <v>30-44</v>
      </c>
      <c r="Q1144" s="21">
        <f>IF(Deals[[#This Row],[Status]]="Pending","",Deals[[#This Row],[DecisionDate]]-Deals[[#This Row],[ApplicationDate]])</f>
        <v>3</v>
      </c>
      <c r="R1144" s="21">
        <f>IF(Deals[[#This Row],[Status]]="Approved",1,0)</f>
        <v>1</v>
      </c>
      <c r="S1144" s="21">
        <f>IF(Deals[[#This Row],[IsApproved]]=1,Deals[[#This Row],[Amount]],0)</f>
        <v>13600</v>
      </c>
      <c r="T1144" s="21">
        <f>Deals[[#This Row],[ApprovedAmount]]*Deals[[#This Row],[ProfitRate]]</f>
        <v>549.43999999999994</v>
      </c>
    </row>
    <row r="1145" spans="1:20">
      <c r="A1145" s="2" t="s">
        <v>1911</v>
      </c>
      <c r="B1145" s="3">
        <v>46265</v>
      </c>
      <c r="C1145" s="2" t="s">
        <v>1154</v>
      </c>
      <c r="D1145" s="2" t="s">
        <v>20</v>
      </c>
      <c r="E1145" s="2" t="s">
        <v>15</v>
      </c>
      <c r="F1145" s="2" t="s">
        <v>55</v>
      </c>
      <c r="G1145" s="4">
        <v>25000</v>
      </c>
      <c r="H1145" s="5">
        <v>6.6400000000000001E-2</v>
      </c>
      <c r="I1145" s="2">
        <v>12</v>
      </c>
      <c r="J1145" s="2" t="s">
        <v>44</v>
      </c>
      <c r="K1145" s="2" t="s">
        <v>45</v>
      </c>
      <c r="L1145" s="3">
        <v>46268</v>
      </c>
      <c r="M1145" s="2" t="str">
        <f>_xlfn.XLOOKUP(Deals[[#This Row],[CustomerID]],Customers!A:A,Customers!F:F)</f>
        <v>Premium</v>
      </c>
      <c r="N1145" s="2" t="str">
        <f>_xlfn.XLOOKUP(Deals[[#This Row],[CustomerID]],Customers!A:A,Customers!E:E)</f>
        <v>Kuwaiti</v>
      </c>
      <c r="O1145" s="2">
        <f>2026-_xlfn.XLOOKUP(Deals[[#This Row],[CustomerID]],Customers!A:A,Customers!D:D)</f>
        <v>59</v>
      </c>
      <c r="P1145" s="2" t="str" cm="1">
        <f t="array" ref="P1145">_xlfn.IFS(Deals[[#This Row],[Age]]&lt;30,"Under 30",Deals[[#This Row],[Age]]&lt;45,"30-44",TRUE,"45+")</f>
        <v>45+</v>
      </c>
      <c r="Q1145" s="21">
        <f>IF(Deals[[#This Row],[Status]]="Pending","",Deals[[#This Row],[DecisionDate]]-Deals[[#This Row],[ApplicationDate]])</f>
        <v>3</v>
      </c>
      <c r="R1145" s="21">
        <f>IF(Deals[[#This Row],[Status]]="Approved",1,0)</f>
        <v>0</v>
      </c>
      <c r="S1145" s="21">
        <f>IF(Deals[[#This Row],[IsApproved]]=1,Deals[[#This Row],[Amount]],0)</f>
        <v>0</v>
      </c>
      <c r="T1145" s="21">
        <f>Deals[[#This Row],[ApprovedAmount]]*Deals[[#This Row],[ProfitRate]]</f>
        <v>0</v>
      </c>
    </row>
    <row r="1146" spans="1:20">
      <c r="A1146" s="2" t="s">
        <v>1912</v>
      </c>
      <c r="B1146" s="3">
        <v>46265</v>
      </c>
      <c r="C1146" s="2" t="s">
        <v>1300</v>
      </c>
      <c r="D1146" s="2" t="s">
        <v>54</v>
      </c>
      <c r="E1146" s="2" t="s">
        <v>43</v>
      </c>
      <c r="F1146" s="2" t="s">
        <v>3</v>
      </c>
      <c r="G1146" s="4">
        <v>34800</v>
      </c>
      <c r="H1146" s="5">
        <v>7.1300000000000002E-2</v>
      </c>
      <c r="I1146" s="2">
        <v>24</v>
      </c>
      <c r="J1146" s="2" t="s">
        <v>186</v>
      </c>
      <c r="K1146" s="2" t="s">
        <v>17</v>
      </c>
      <c r="L1146" s="3">
        <v>46286</v>
      </c>
      <c r="M1146" s="2" t="str">
        <f>_xlfn.XLOOKUP(Deals[[#This Row],[CustomerID]],Customers!A:A,Customers!F:F)</f>
        <v>Mass</v>
      </c>
      <c r="N1146" s="2" t="str">
        <f>_xlfn.XLOOKUP(Deals[[#This Row],[CustomerID]],Customers!A:A,Customers!E:E)</f>
        <v>Kuwaiti</v>
      </c>
      <c r="O1146" s="2">
        <f>2026-_xlfn.XLOOKUP(Deals[[#This Row],[CustomerID]],Customers!A:A,Customers!D:D)</f>
        <v>25</v>
      </c>
      <c r="P1146" s="2" t="str" cm="1">
        <f t="array" ref="P1146">_xlfn.IFS(Deals[[#This Row],[Age]]&lt;30,"Under 30",Deals[[#This Row],[Age]]&lt;45,"30-44",TRUE,"45+")</f>
        <v>Under 30</v>
      </c>
      <c r="Q1146" s="21">
        <f>IF(Deals[[#This Row],[Status]]="Pending","",Deals[[#This Row],[DecisionDate]]-Deals[[#This Row],[ApplicationDate]])</f>
        <v>21</v>
      </c>
      <c r="R1146" s="21">
        <f>IF(Deals[[#This Row],[Status]]="Approved",1,0)</f>
        <v>1</v>
      </c>
      <c r="S1146" s="21">
        <f>IF(Deals[[#This Row],[IsApproved]]=1,Deals[[#This Row],[Amount]],0)</f>
        <v>34800</v>
      </c>
      <c r="T1146" s="21">
        <f>Deals[[#This Row],[ApprovedAmount]]*Deals[[#This Row],[ProfitRate]]</f>
        <v>2481.2400000000002</v>
      </c>
    </row>
    <row r="1147" spans="1:20">
      <c r="A1147" s="2" t="s">
        <v>1913</v>
      </c>
      <c r="B1147" s="3">
        <v>46265</v>
      </c>
      <c r="C1147" s="2" t="s">
        <v>1413</v>
      </c>
      <c r="D1147" s="2" t="s">
        <v>29</v>
      </c>
      <c r="E1147" s="2" t="s">
        <v>30</v>
      </c>
      <c r="F1147" s="2" t="s">
        <v>31</v>
      </c>
      <c r="G1147" s="4">
        <v>13400</v>
      </c>
      <c r="H1147" s="5">
        <v>4.7300000000000002E-2</v>
      </c>
      <c r="I1147" s="2">
        <v>48</v>
      </c>
      <c r="J1147" s="2" t="s">
        <v>61</v>
      </c>
      <c r="K1147" s="2" t="s">
        <v>17</v>
      </c>
      <c r="L1147" s="3">
        <v>46266</v>
      </c>
      <c r="M1147" s="2" t="str">
        <f>_xlfn.XLOOKUP(Deals[[#This Row],[CustomerID]],Customers!A:A,Customers!F:F)</f>
        <v>Mass</v>
      </c>
      <c r="N1147" s="2" t="str">
        <f>_xlfn.XLOOKUP(Deals[[#This Row],[CustomerID]],Customers!A:A,Customers!E:E)</f>
        <v>Kuwaiti</v>
      </c>
      <c r="O1147" s="2">
        <f>2026-_xlfn.XLOOKUP(Deals[[#This Row],[CustomerID]],Customers!A:A,Customers!D:D)</f>
        <v>71</v>
      </c>
      <c r="P1147" s="2" t="str" cm="1">
        <f t="array" ref="P1147">_xlfn.IFS(Deals[[#This Row],[Age]]&lt;30,"Under 30",Deals[[#This Row],[Age]]&lt;45,"30-44",TRUE,"45+")</f>
        <v>45+</v>
      </c>
      <c r="Q1147" s="21">
        <f>IF(Deals[[#This Row],[Status]]="Pending","",Deals[[#This Row],[DecisionDate]]-Deals[[#This Row],[ApplicationDate]])</f>
        <v>1</v>
      </c>
      <c r="R1147" s="21">
        <f>IF(Deals[[#This Row],[Status]]="Approved",1,0)</f>
        <v>1</v>
      </c>
      <c r="S1147" s="21">
        <f>IF(Deals[[#This Row],[IsApproved]]=1,Deals[[#This Row],[Amount]],0)</f>
        <v>13400</v>
      </c>
      <c r="T1147" s="21">
        <f>Deals[[#This Row],[ApprovedAmount]]*Deals[[#This Row],[ProfitRate]]</f>
        <v>633.82000000000005</v>
      </c>
    </row>
    <row r="1148" spans="1:20">
      <c r="A1148" s="2" t="s">
        <v>1914</v>
      </c>
      <c r="B1148" s="3">
        <v>46266</v>
      </c>
      <c r="C1148" s="2" t="s">
        <v>571</v>
      </c>
      <c r="D1148" s="2" t="s">
        <v>20</v>
      </c>
      <c r="E1148" s="2" t="s">
        <v>21</v>
      </c>
      <c r="F1148" s="2" t="s">
        <v>55</v>
      </c>
      <c r="G1148" s="4">
        <v>50000</v>
      </c>
      <c r="H1148" s="5">
        <v>4.2999999999999997E-2</v>
      </c>
      <c r="I1148" s="2">
        <v>180</v>
      </c>
      <c r="J1148" s="2" t="s">
        <v>44</v>
      </c>
      <c r="K1148" s="2" t="s">
        <v>17</v>
      </c>
      <c r="L1148" s="3">
        <v>46282</v>
      </c>
      <c r="M1148" s="2" t="str">
        <f>_xlfn.XLOOKUP(Deals[[#This Row],[CustomerID]],Customers!A:A,Customers!F:F)</f>
        <v>Mass</v>
      </c>
      <c r="N1148" s="2" t="str">
        <f>_xlfn.XLOOKUP(Deals[[#This Row],[CustomerID]],Customers!A:A,Customers!E:E)</f>
        <v>Non-Kuwaiti</v>
      </c>
      <c r="O1148" s="2">
        <f>2026-_xlfn.XLOOKUP(Deals[[#This Row],[CustomerID]],Customers!A:A,Customers!D:D)</f>
        <v>69</v>
      </c>
      <c r="P1148" s="2" t="str" cm="1">
        <f t="array" ref="P1148">_xlfn.IFS(Deals[[#This Row],[Age]]&lt;30,"Under 30",Deals[[#This Row],[Age]]&lt;45,"30-44",TRUE,"45+")</f>
        <v>45+</v>
      </c>
      <c r="Q1148" s="21">
        <f>IF(Deals[[#This Row],[Status]]="Pending","",Deals[[#This Row],[DecisionDate]]-Deals[[#This Row],[ApplicationDate]])</f>
        <v>16</v>
      </c>
      <c r="R1148" s="21">
        <f>IF(Deals[[#This Row],[Status]]="Approved",1,0)</f>
        <v>1</v>
      </c>
      <c r="S1148" s="21">
        <f>IF(Deals[[#This Row],[IsApproved]]=1,Deals[[#This Row],[Amount]],0)</f>
        <v>50000</v>
      </c>
      <c r="T1148" s="21">
        <f>Deals[[#This Row],[ApprovedAmount]]*Deals[[#This Row],[ProfitRate]]</f>
        <v>2150</v>
      </c>
    </row>
    <row r="1149" spans="1:20">
      <c r="A1149" s="2" t="s">
        <v>1915</v>
      </c>
      <c r="B1149" s="3">
        <v>46266</v>
      </c>
      <c r="C1149" s="2" t="s">
        <v>1510</v>
      </c>
      <c r="D1149" s="2" t="s">
        <v>25</v>
      </c>
      <c r="E1149" s="2" t="s">
        <v>15</v>
      </c>
      <c r="F1149" s="2" t="s">
        <v>31</v>
      </c>
      <c r="G1149" s="4">
        <v>17600</v>
      </c>
      <c r="H1149" s="5">
        <v>5.6800000000000003E-2</v>
      </c>
      <c r="I1149" s="2">
        <v>12</v>
      </c>
      <c r="J1149" s="2" t="s">
        <v>66</v>
      </c>
      <c r="K1149" s="2" t="s">
        <v>1916</v>
      </c>
      <c r="L1149" s="2"/>
      <c r="M1149" s="2" t="str">
        <f>_xlfn.XLOOKUP(Deals[[#This Row],[CustomerID]],Customers!A:A,Customers!F:F)</f>
        <v>Affluent</v>
      </c>
      <c r="N1149" s="2" t="str">
        <f>_xlfn.XLOOKUP(Deals[[#This Row],[CustomerID]],Customers!A:A,Customers!E:E)</f>
        <v>Kuwaiti</v>
      </c>
      <c r="O1149" s="2">
        <f>2026-_xlfn.XLOOKUP(Deals[[#This Row],[CustomerID]],Customers!A:A,Customers!D:D)</f>
        <v>23</v>
      </c>
      <c r="P1149" s="2" t="str" cm="1">
        <f t="array" ref="P1149">_xlfn.IFS(Deals[[#This Row],[Age]]&lt;30,"Under 30",Deals[[#This Row],[Age]]&lt;45,"30-44",TRUE,"45+")</f>
        <v>Under 30</v>
      </c>
      <c r="Q1149" s="21" t="str">
        <f>IF(Deals[[#This Row],[Status]]="Pending","",Deals[[#This Row],[DecisionDate]]-Deals[[#This Row],[ApplicationDate]])</f>
        <v/>
      </c>
      <c r="R1149" s="21">
        <f>IF(Deals[[#This Row],[Status]]="Approved",1,0)</f>
        <v>0</v>
      </c>
      <c r="S1149" s="21">
        <f>IF(Deals[[#This Row],[IsApproved]]=1,Deals[[#This Row],[Amount]],0)</f>
        <v>0</v>
      </c>
      <c r="T1149" s="21">
        <f>Deals[[#This Row],[ApprovedAmount]]*Deals[[#This Row],[ProfitRate]]</f>
        <v>0</v>
      </c>
    </row>
    <row r="1150" spans="1:20">
      <c r="A1150" s="2" t="s">
        <v>1917</v>
      </c>
      <c r="B1150" s="3">
        <v>46266</v>
      </c>
      <c r="C1150" s="2" t="s">
        <v>1918</v>
      </c>
      <c r="D1150" s="2" t="s">
        <v>20</v>
      </c>
      <c r="E1150" s="2" t="s">
        <v>21</v>
      </c>
      <c r="F1150" s="2" t="s">
        <v>31</v>
      </c>
      <c r="G1150" s="4">
        <v>246200</v>
      </c>
      <c r="H1150" s="5">
        <v>3.32E-2</v>
      </c>
      <c r="I1150" s="2">
        <v>120</v>
      </c>
      <c r="J1150" s="2" t="s">
        <v>22</v>
      </c>
      <c r="K1150" s="2" t="s">
        <v>17</v>
      </c>
      <c r="L1150" s="3">
        <v>46293</v>
      </c>
      <c r="M1150" s="2" t="str">
        <f>_xlfn.XLOOKUP(Deals[[#This Row],[CustomerID]],Customers!A:A,Customers!F:F)</f>
        <v>Mass</v>
      </c>
      <c r="N1150" s="2" t="str">
        <f>_xlfn.XLOOKUP(Deals[[#This Row],[CustomerID]],Customers!A:A,Customers!E:E)</f>
        <v>Kuwaiti</v>
      </c>
      <c r="O1150" s="2">
        <f>2026-_xlfn.XLOOKUP(Deals[[#This Row],[CustomerID]],Customers!A:A,Customers!D:D)</f>
        <v>23</v>
      </c>
      <c r="P1150" s="2" t="str" cm="1">
        <f t="array" ref="P1150">_xlfn.IFS(Deals[[#This Row],[Age]]&lt;30,"Under 30",Deals[[#This Row],[Age]]&lt;45,"30-44",TRUE,"45+")</f>
        <v>Under 30</v>
      </c>
      <c r="Q1150" s="21">
        <f>IF(Deals[[#This Row],[Status]]="Pending","",Deals[[#This Row],[DecisionDate]]-Deals[[#This Row],[ApplicationDate]])</f>
        <v>27</v>
      </c>
      <c r="R1150" s="21">
        <f>IF(Deals[[#This Row],[Status]]="Approved",1,0)</f>
        <v>1</v>
      </c>
      <c r="S1150" s="21">
        <f>IF(Deals[[#This Row],[IsApproved]]=1,Deals[[#This Row],[Amount]],0)</f>
        <v>246200</v>
      </c>
      <c r="T1150" s="21">
        <f>Deals[[#This Row],[ApprovedAmount]]*Deals[[#This Row],[ProfitRate]]</f>
        <v>8173.84</v>
      </c>
    </row>
    <row r="1151" spans="1:20">
      <c r="A1151" s="2" t="s">
        <v>1919</v>
      </c>
      <c r="B1151" s="3">
        <v>46266</v>
      </c>
      <c r="C1151" s="2" t="s">
        <v>1145</v>
      </c>
      <c r="D1151" s="2" t="s">
        <v>54</v>
      </c>
      <c r="E1151" s="2" t="s">
        <v>30</v>
      </c>
      <c r="F1151" s="2" t="s">
        <v>31</v>
      </c>
      <c r="G1151" s="4">
        <v>17400</v>
      </c>
      <c r="H1151" s="5">
        <v>4.2999999999999997E-2</v>
      </c>
      <c r="I1151" s="2">
        <v>36</v>
      </c>
      <c r="J1151" s="2" t="s">
        <v>56</v>
      </c>
      <c r="K1151" s="2" t="s">
        <v>17</v>
      </c>
      <c r="L1151" s="3">
        <v>46269</v>
      </c>
      <c r="M1151" s="2" t="str">
        <f>_xlfn.XLOOKUP(Deals[[#This Row],[CustomerID]],Customers!A:A,Customers!F:F)</f>
        <v>Premium</v>
      </c>
      <c r="N1151" s="2" t="str">
        <f>_xlfn.XLOOKUP(Deals[[#This Row],[CustomerID]],Customers!A:A,Customers!E:E)</f>
        <v>Non-Kuwaiti</v>
      </c>
      <c r="O1151" s="2">
        <f>2026-_xlfn.XLOOKUP(Deals[[#This Row],[CustomerID]],Customers!A:A,Customers!D:D)</f>
        <v>58</v>
      </c>
      <c r="P1151" s="2" t="str" cm="1">
        <f t="array" ref="P1151">_xlfn.IFS(Deals[[#This Row],[Age]]&lt;30,"Under 30",Deals[[#This Row],[Age]]&lt;45,"30-44",TRUE,"45+")</f>
        <v>45+</v>
      </c>
      <c r="Q1151" s="21">
        <f>IF(Deals[[#This Row],[Status]]="Pending","",Deals[[#This Row],[DecisionDate]]-Deals[[#This Row],[ApplicationDate]])</f>
        <v>3</v>
      </c>
      <c r="R1151" s="21">
        <f>IF(Deals[[#This Row],[Status]]="Approved",1,0)</f>
        <v>1</v>
      </c>
      <c r="S1151" s="21">
        <f>IF(Deals[[#This Row],[IsApproved]]=1,Deals[[#This Row],[Amount]],0)</f>
        <v>17400</v>
      </c>
      <c r="T1151" s="21">
        <f>Deals[[#This Row],[ApprovedAmount]]*Deals[[#This Row],[ProfitRate]]</f>
        <v>748.19999999999993</v>
      </c>
    </row>
    <row r="1152" spans="1:20">
      <c r="A1152" s="2" t="s">
        <v>1920</v>
      </c>
      <c r="B1152" s="3">
        <v>46266</v>
      </c>
      <c r="C1152" s="2" t="s">
        <v>1921</v>
      </c>
      <c r="D1152" s="2" t="s">
        <v>29</v>
      </c>
      <c r="E1152" s="2" t="s">
        <v>21</v>
      </c>
      <c r="F1152" s="2" t="s">
        <v>31</v>
      </c>
      <c r="G1152" s="4">
        <v>190000</v>
      </c>
      <c r="H1152" s="5">
        <v>3.9E-2</v>
      </c>
      <c r="I1152" s="2">
        <v>300</v>
      </c>
      <c r="J1152" s="2" t="s">
        <v>32</v>
      </c>
      <c r="K1152" s="2" t="s">
        <v>45</v>
      </c>
      <c r="L1152" s="3">
        <v>46283</v>
      </c>
      <c r="M1152" s="2" t="str">
        <f>_xlfn.XLOOKUP(Deals[[#This Row],[CustomerID]],Customers!A:A,Customers!F:F)</f>
        <v>Mass</v>
      </c>
      <c r="N1152" s="2" t="str">
        <f>_xlfn.XLOOKUP(Deals[[#This Row],[CustomerID]],Customers!A:A,Customers!E:E)</f>
        <v>Non-Kuwaiti</v>
      </c>
      <c r="O1152" s="2">
        <f>2026-_xlfn.XLOOKUP(Deals[[#This Row],[CustomerID]],Customers!A:A,Customers!D:D)</f>
        <v>63</v>
      </c>
      <c r="P1152" s="2" t="str" cm="1">
        <f t="array" ref="P1152">_xlfn.IFS(Deals[[#This Row],[Age]]&lt;30,"Under 30",Deals[[#This Row],[Age]]&lt;45,"30-44",TRUE,"45+")</f>
        <v>45+</v>
      </c>
      <c r="Q1152" s="21">
        <f>IF(Deals[[#This Row],[Status]]="Pending","",Deals[[#This Row],[DecisionDate]]-Deals[[#This Row],[ApplicationDate]])</f>
        <v>17</v>
      </c>
      <c r="R1152" s="21">
        <f>IF(Deals[[#This Row],[Status]]="Approved",1,0)</f>
        <v>0</v>
      </c>
      <c r="S1152" s="21">
        <f>IF(Deals[[#This Row],[IsApproved]]=1,Deals[[#This Row],[Amount]],0)</f>
        <v>0</v>
      </c>
      <c r="T1152" s="21">
        <f>Deals[[#This Row],[ApprovedAmount]]*Deals[[#This Row],[ProfitRate]]</f>
        <v>0</v>
      </c>
    </row>
    <row r="1153" spans="1:20">
      <c r="A1153" s="2" t="s">
        <v>1924</v>
      </c>
      <c r="B1153" s="3">
        <v>46266</v>
      </c>
      <c r="C1153" s="2" t="s">
        <v>1925</v>
      </c>
      <c r="D1153" s="2" t="s">
        <v>20</v>
      </c>
      <c r="E1153" s="2" t="s">
        <v>43</v>
      </c>
      <c r="F1153" s="2" t="s">
        <v>3</v>
      </c>
      <c r="G1153" s="4">
        <v>75400</v>
      </c>
      <c r="H1153" s="5">
        <v>5.5100000000000003E-2</v>
      </c>
      <c r="I1153" s="2">
        <v>84</v>
      </c>
      <c r="J1153" s="2" t="s">
        <v>44</v>
      </c>
      <c r="K1153" s="2" t="s">
        <v>17</v>
      </c>
      <c r="L1153" s="3">
        <v>46282</v>
      </c>
      <c r="M1153" s="2" t="str">
        <f>_xlfn.XLOOKUP(Deals[[#This Row],[CustomerID]],Customers!A:A,Customers!F:F)</f>
        <v>Mass</v>
      </c>
      <c r="N1153" s="2" t="str">
        <f>_xlfn.XLOOKUP(Deals[[#This Row],[CustomerID]],Customers!A:A,Customers!E:E)</f>
        <v>Non-Kuwaiti</v>
      </c>
      <c r="O1153" s="2">
        <f>2026-_xlfn.XLOOKUP(Deals[[#This Row],[CustomerID]],Customers!A:A,Customers!D:D)</f>
        <v>25</v>
      </c>
      <c r="P1153" s="2" t="str" cm="1">
        <f t="array" ref="P1153">_xlfn.IFS(Deals[[#This Row],[Age]]&lt;30,"Under 30",Deals[[#This Row],[Age]]&lt;45,"30-44",TRUE,"45+")</f>
        <v>Under 30</v>
      </c>
      <c r="Q1153" s="21">
        <f>IF(Deals[[#This Row],[Status]]="Pending","",Deals[[#This Row],[DecisionDate]]-Deals[[#This Row],[ApplicationDate]])</f>
        <v>16</v>
      </c>
      <c r="R1153" s="21">
        <f>IF(Deals[[#This Row],[Status]]="Approved",1,0)</f>
        <v>1</v>
      </c>
      <c r="S1153" s="21">
        <f>IF(Deals[[#This Row],[IsApproved]]=1,Deals[[#This Row],[Amount]],0)</f>
        <v>75400</v>
      </c>
      <c r="T1153" s="21">
        <f>Deals[[#This Row],[ApprovedAmount]]*Deals[[#This Row],[ProfitRate]]</f>
        <v>4154.54</v>
      </c>
    </row>
    <row r="1154" spans="1:20">
      <c r="A1154" s="2" t="s">
        <v>1926</v>
      </c>
      <c r="B1154" s="3">
        <v>46266</v>
      </c>
      <c r="C1154" s="2" t="s">
        <v>755</v>
      </c>
      <c r="D1154" s="2" t="s">
        <v>14</v>
      </c>
      <c r="E1154" s="2" t="s">
        <v>15</v>
      </c>
      <c r="F1154" s="2" t="s">
        <v>31</v>
      </c>
      <c r="G1154" s="4">
        <v>11000</v>
      </c>
      <c r="H1154" s="5">
        <v>6.7299999999999999E-2</v>
      </c>
      <c r="I1154" s="2">
        <v>24</v>
      </c>
      <c r="J1154" s="2" t="s">
        <v>40</v>
      </c>
      <c r="K1154" s="2" t="s">
        <v>17</v>
      </c>
      <c r="L1154" s="3">
        <v>46267</v>
      </c>
      <c r="M1154" s="2" t="str">
        <f>_xlfn.XLOOKUP(Deals[[#This Row],[CustomerID]],Customers!A:A,Customers!F:F)</f>
        <v>Mass</v>
      </c>
      <c r="N1154" s="2" t="str">
        <f>_xlfn.XLOOKUP(Deals[[#This Row],[CustomerID]],Customers!A:A,Customers!E:E)</f>
        <v>Kuwaiti</v>
      </c>
      <c r="O1154" s="2">
        <f>2026-_xlfn.XLOOKUP(Deals[[#This Row],[CustomerID]],Customers!A:A,Customers!D:D)</f>
        <v>38</v>
      </c>
      <c r="P1154" s="2" t="str" cm="1">
        <f t="array" ref="P1154">_xlfn.IFS(Deals[[#This Row],[Age]]&lt;30,"Under 30",Deals[[#This Row],[Age]]&lt;45,"30-44",TRUE,"45+")</f>
        <v>30-44</v>
      </c>
      <c r="Q1154" s="21">
        <f>IF(Deals[[#This Row],[Status]]="Pending","",Deals[[#This Row],[DecisionDate]]-Deals[[#This Row],[ApplicationDate]])</f>
        <v>1</v>
      </c>
      <c r="R1154" s="21">
        <f>IF(Deals[[#This Row],[Status]]="Approved",1,0)</f>
        <v>1</v>
      </c>
      <c r="S1154" s="21">
        <f>IF(Deals[[#This Row],[IsApproved]]=1,Deals[[#This Row],[Amount]],0)</f>
        <v>11000</v>
      </c>
      <c r="T1154" s="21">
        <f>Deals[[#This Row],[ApprovedAmount]]*Deals[[#This Row],[ProfitRate]]</f>
        <v>740.3</v>
      </c>
    </row>
    <row r="1155" spans="1:20">
      <c r="A1155" s="2" t="s">
        <v>1927</v>
      </c>
      <c r="B1155" s="3">
        <v>46267</v>
      </c>
      <c r="C1155" s="2" t="s">
        <v>1928</v>
      </c>
      <c r="D1155" s="2" t="s">
        <v>54</v>
      </c>
      <c r="E1155" s="2" t="s">
        <v>21</v>
      </c>
      <c r="F1155" s="2" t="s">
        <v>31</v>
      </c>
      <c r="G1155" s="4">
        <v>182300</v>
      </c>
      <c r="H1155" s="5">
        <v>4.4900000000000002E-2</v>
      </c>
      <c r="I1155" s="2">
        <v>300</v>
      </c>
      <c r="J1155" s="2" t="s">
        <v>56</v>
      </c>
      <c r="K1155" s="2" t="s">
        <v>45</v>
      </c>
      <c r="L1155" s="3">
        <v>46276</v>
      </c>
      <c r="M1155" s="2" t="str">
        <f>_xlfn.XLOOKUP(Deals[[#This Row],[CustomerID]],Customers!A:A,Customers!F:F)</f>
        <v>Mass</v>
      </c>
      <c r="N1155" s="2" t="str">
        <f>_xlfn.XLOOKUP(Deals[[#This Row],[CustomerID]],Customers!A:A,Customers!E:E)</f>
        <v>Non-Kuwaiti</v>
      </c>
      <c r="O1155" s="2">
        <f>2026-_xlfn.XLOOKUP(Deals[[#This Row],[CustomerID]],Customers!A:A,Customers!D:D)</f>
        <v>46</v>
      </c>
      <c r="P1155" s="2" t="str" cm="1">
        <f t="array" ref="P1155">_xlfn.IFS(Deals[[#This Row],[Age]]&lt;30,"Under 30",Deals[[#This Row],[Age]]&lt;45,"30-44",TRUE,"45+")</f>
        <v>45+</v>
      </c>
      <c r="Q1155" s="21">
        <f>IF(Deals[[#This Row],[Status]]="Pending","",Deals[[#This Row],[DecisionDate]]-Deals[[#This Row],[ApplicationDate]])</f>
        <v>9</v>
      </c>
      <c r="R1155" s="21">
        <f>IF(Deals[[#This Row],[Status]]="Approved",1,0)</f>
        <v>0</v>
      </c>
      <c r="S1155" s="21">
        <f>IF(Deals[[#This Row],[IsApproved]]=1,Deals[[#This Row],[Amount]],0)</f>
        <v>0</v>
      </c>
      <c r="T1155" s="21">
        <f>Deals[[#This Row],[ApprovedAmount]]*Deals[[#This Row],[ProfitRate]]</f>
        <v>0</v>
      </c>
    </row>
    <row r="1156" spans="1:20">
      <c r="A1156" s="2" t="s">
        <v>1929</v>
      </c>
      <c r="B1156" s="3">
        <v>46267</v>
      </c>
      <c r="C1156" s="2" t="s">
        <v>996</v>
      </c>
      <c r="D1156" s="2" t="s">
        <v>29</v>
      </c>
      <c r="E1156" s="2" t="s">
        <v>43</v>
      </c>
      <c r="F1156" s="2" t="s">
        <v>55</v>
      </c>
      <c r="G1156" s="4">
        <v>61100</v>
      </c>
      <c r="H1156" s="5">
        <v>7.2300000000000003E-2</v>
      </c>
      <c r="I1156" s="2">
        <v>60</v>
      </c>
      <c r="J1156" s="2" t="s">
        <v>123</v>
      </c>
      <c r="K1156" s="2" t="s">
        <v>45</v>
      </c>
      <c r="L1156" s="3">
        <v>46281</v>
      </c>
      <c r="M1156" s="2" t="str">
        <f>_xlfn.XLOOKUP(Deals[[#This Row],[CustomerID]],Customers!A:A,Customers!F:F)</f>
        <v>Mass</v>
      </c>
      <c r="N1156" s="2" t="str">
        <f>_xlfn.XLOOKUP(Deals[[#This Row],[CustomerID]],Customers!A:A,Customers!E:E)</f>
        <v>Kuwaiti</v>
      </c>
      <c r="O1156" s="2">
        <f>2026-_xlfn.XLOOKUP(Deals[[#This Row],[CustomerID]],Customers!A:A,Customers!D:D)</f>
        <v>26</v>
      </c>
      <c r="P1156" s="2" t="str" cm="1">
        <f t="array" ref="P1156">_xlfn.IFS(Deals[[#This Row],[Age]]&lt;30,"Under 30",Deals[[#This Row],[Age]]&lt;45,"30-44",TRUE,"45+")</f>
        <v>Under 30</v>
      </c>
      <c r="Q1156" s="21">
        <f>IF(Deals[[#This Row],[Status]]="Pending","",Deals[[#This Row],[DecisionDate]]-Deals[[#This Row],[ApplicationDate]])</f>
        <v>14</v>
      </c>
      <c r="R1156" s="21">
        <f>IF(Deals[[#This Row],[Status]]="Approved",1,0)</f>
        <v>0</v>
      </c>
      <c r="S1156" s="21">
        <f>IF(Deals[[#This Row],[IsApproved]]=1,Deals[[#This Row],[Amount]],0)</f>
        <v>0</v>
      </c>
      <c r="T1156" s="21">
        <f>Deals[[#This Row],[ApprovedAmount]]*Deals[[#This Row],[ProfitRate]]</f>
        <v>0</v>
      </c>
    </row>
    <row r="1157" spans="1:20">
      <c r="A1157" s="2" t="s">
        <v>1930</v>
      </c>
      <c r="B1157" s="3">
        <v>46267</v>
      </c>
      <c r="C1157" s="2" t="s">
        <v>370</v>
      </c>
      <c r="D1157" s="2" t="s">
        <v>29</v>
      </c>
      <c r="E1157" s="2" t="s">
        <v>15</v>
      </c>
      <c r="F1157" s="2" t="s">
        <v>55</v>
      </c>
      <c r="G1157" s="4">
        <v>23900</v>
      </c>
      <c r="H1157" s="5">
        <v>5.8400000000000001E-2</v>
      </c>
      <c r="I1157" s="2">
        <v>12</v>
      </c>
      <c r="J1157" s="2" t="s">
        <v>32</v>
      </c>
      <c r="K1157" s="2" t="s">
        <v>17</v>
      </c>
      <c r="L1157" s="3">
        <v>46274</v>
      </c>
      <c r="M1157" s="2" t="str">
        <f>_xlfn.XLOOKUP(Deals[[#This Row],[CustomerID]],Customers!A:A,Customers!F:F)</f>
        <v>Mass</v>
      </c>
      <c r="N1157" s="2" t="str">
        <f>_xlfn.XLOOKUP(Deals[[#This Row],[CustomerID]],Customers!A:A,Customers!E:E)</f>
        <v>Kuwaiti</v>
      </c>
      <c r="O1157" s="2">
        <f>2026-_xlfn.XLOOKUP(Deals[[#This Row],[CustomerID]],Customers!A:A,Customers!D:D)</f>
        <v>68</v>
      </c>
      <c r="P1157" s="2" t="str" cm="1">
        <f t="array" ref="P1157">_xlfn.IFS(Deals[[#This Row],[Age]]&lt;30,"Under 30",Deals[[#This Row],[Age]]&lt;45,"30-44",TRUE,"45+")</f>
        <v>45+</v>
      </c>
      <c r="Q1157" s="21">
        <f>IF(Deals[[#This Row],[Status]]="Pending","",Deals[[#This Row],[DecisionDate]]-Deals[[#This Row],[ApplicationDate]])</f>
        <v>7</v>
      </c>
      <c r="R1157" s="21">
        <f>IF(Deals[[#This Row],[Status]]="Approved",1,0)</f>
        <v>1</v>
      </c>
      <c r="S1157" s="21">
        <f>IF(Deals[[#This Row],[IsApproved]]=1,Deals[[#This Row],[Amount]],0)</f>
        <v>23900</v>
      </c>
      <c r="T1157" s="21">
        <f>Deals[[#This Row],[ApprovedAmount]]*Deals[[#This Row],[ProfitRate]]</f>
        <v>1395.76</v>
      </c>
    </row>
    <row r="1158" spans="1:20">
      <c r="A1158" s="2" t="s">
        <v>1931</v>
      </c>
      <c r="B1158" s="3">
        <v>46268</v>
      </c>
      <c r="C1158" s="2" t="s">
        <v>1932</v>
      </c>
      <c r="D1158" s="2" t="s">
        <v>25</v>
      </c>
      <c r="E1158" s="2" t="s">
        <v>30</v>
      </c>
      <c r="F1158" s="2" t="s">
        <v>3</v>
      </c>
      <c r="G1158" s="4">
        <v>4800</v>
      </c>
      <c r="H1158" s="5">
        <v>3.7699999999999997E-2</v>
      </c>
      <c r="I1158" s="2">
        <v>60</v>
      </c>
      <c r="J1158" s="2" t="s">
        <v>66</v>
      </c>
      <c r="K1158" s="2" t="s">
        <v>17</v>
      </c>
      <c r="L1158" s="3">
        <v>46273</v>
      </c>
      <c r="M1158" s="2" t="str">
        <f>_xlfn.XLOOKUP(Deals[[#This Row],[CustomerID]],Customers!A:A,Customers!F:F)</f>
        <v>Mass</v>
      </c>
      <c r="N1158" s="2" t="str">
        <f>_xlfn.XLOOKUP(Deals[[#This Row],[CustomerID]],Customers!A:A,Customers!E:E)</f>
        <v>Non-Kuwaiti</v>
      </c>
      <c r="O1158" s="2">
        <f>2026-_xlfn.XLOOKUP(Deals[[#This Row],[CustomerID]],Customers!A:A,Customers!D:D)</f>
        <v>40</v>
      </c>
      <c r="P1158" s="2" t="str" cm="1">
        <f t="array" ref="P1158">_xlfn.IFS(Deals[[#This Row],[Age]]&lt;30,"Under 30",Deals[[#This Row],[Age]]&lt;45,"30-44",TRUE,"45+")</f>
        <v>30-44</v>
      </c>
      <c r="Q1158" s="21">
        <f>IF(Deals[[#This Row],[Status]]="Pending","",Deals[[#This Row],[DecisionDate]]-Deals[[#This Row],[ApplicationDate]])</f>
        <v>5</v>
      </c>
      <c r="R1158" s="21">
        <f>IF(Deals[[#This Row],[Status]]="Approved",1,0)</f>
        <v>1</v>
      </c>
      <c r="S1158" s="21">
        <f>IF(Deals[[#This Row],[IsApproved]]=1,Deals[[#This Row],[Amount]],0)</f>
        <v>4800</v>
      </c>
      <c r="T1158" s="21">
        <f>Deals[[#This Row],[ApprovedAmount]]*Deals[[#This Row],[ProfitRate]]</f>
        <v>180.95999999999998</v>
      </c>
    </row>
    <row r="1159" spans="1:20">
      <c r="A1159" s="2" t="s">
        <v>1933</v>
      </c>
      <c r="B1159" s="3">
        <v>46268</v>
      </c>
      <c r="C1159" s="2" t="s">
        <v>34</v>
      </c>
      <c r="D1159" s="2" t="s">
        <v>14</v>
      </c>
      <c r="E1159" s="2" t="s">
        <v>43</v>
      </c>
      <c r="F1159" s="2" t="s">
        <v>3</v>
      </c>
      <c r="G1159" s="4">
        <v>52000</v>
      </c>
      <c r="H1159" s="5">
        <v>7.0099999999999996E-2</v>
      </c>
      <c r="I1159" s="2">
        <v>60</v>
      </c>
      <c r="J1159" s="2" t="s">
        <v>40</v>
      </c>
      <c r="K1159" s="2" t="s">
        <v>17</v>
      </c>
      <c r="L1159" s="3">
        <v>46288</v>
      </c>
      <c r="M1159" s="2" t="str">
        <f>_xlfn.XLOOKUP(Deals[[#This Row],[CustomerID]],Customers!A:A,Customers!F:F)</f>
        <v>Mass</v>
      </c>
      <c r="N1159" s="2" t="str">
        <f>_xlfn.XLOOKUP(Deals[[#This Row],[CustomerID]],Customers!A:A,Customers!E:E)</f>
        <v>Kuwaiti</v>
      </c>
      <c r="O1159" s="2">
        <f>2026-_xlfn.XLOOKUP(Deals[[#This Row],[CustomerID]],Customers!A:A,Customers!D:D)</f>
        <v>25</v>
      </c>
      <c r="P1159" s="2" t="str" cm="1">
        <f t="array" ref="P1159">_xlfn.IFS(Deals[[#This Row],[Age]]&lt;30,"Under 30",Deals[[#This Row],[Age]]&lt;45,"30-44",TRUE,"45+")</f>
        <v>Under 30</v>
      </c>
      <c r="Q1159" s="21">
        <f>IF(Deals[[#This Row],[Status]]="Pending","",Deals[[#This Row],[DecisionDate]]-Deals[[#This Row],[ApplicationDate]])</f>
        <v>20</v>
      </c>
      <c r="R1159" s="21">
        <f>IF(Deals[[#This Row],[Status]]="Approved",1,0)</f>
        <v>1</v>
      </c>
      <c r="S1159" s="21">
        <f>IF(Deals[[#This Row],[IsApproved]]=1,Deals[[#This Row],[Amount]],0)</f>
        <v>52000</v>
      </c>
      <c r="T1159" s="21">
        <f>Deals[[#This Row],[ApprovedAmount]]*Deals[[#This Row],[ProfitRate]]</f>
        <v>3645.2</v>
      </c>
    </row>
    <row r="1160" spans="1:20">
      <c r="A1160" s="2" t="s">
        <v>1934</v>
      </c>
      <c r="B1160" s="3">
        <v>46268</v>
      </c>
      <c r="C1160" s="2" t="s">
        <v>1935</v>
      </c>
      <c r="D1160" s="2" t="s">
        <v>25</v>
      </c>
      <c r="E1160" s="2" t="s">
        <v>15</v>
      </c>
      <c r="F1160" s="2" t="s">
        <v>3</v>
      </c>
      <c r="G1160" s="4">
        <v>11700</v>
      </c>
      <c r="H1160" s="5">
        <v>5.4199999999999998E-2</v>
      </c>
      <c r="I1160" s="2">
        <v>36</v>
      </c>
      <c r="J1160" s="2" t="s">
        <v>66</v>
      </c>
      <c r="K1160" s="2" t="s">
        <v>17</v>
      </c>
      <c r="L1160" s="3">
        <v>46270</v>
      </c>
      <c r="M1160" s="2" t="str">
        <f>_xlfn.XLOOKUP(Deals[[#This Row],[CustomerID]],Customers!A:A,Customers!F:F)</f>
        <v>Premium</v>
      </c>
      <c r="N1160" s="2" t="str">
        <f>_xlfn.XLOOKUP(Deals[[#This Row],[CustomerID]],Customers!A:A,Customers!E:E)</f>
        <v>Kuwaiti</v>
      </c>
      <c r="O1160" s="2">
        <f>2026-_xlfn.XLOOKUP(Deals[[#This Row],[CustomerID]],Customers!A:A,Customers!D:D)</f>
        <v>38</v>
      </c>
      <c r="P1160" s="2" t="str" cm="1">
        <f t="array" ref="P1160">_xlfn.IFS(Deals[[#This Row],[Age]]&lt;30,"Under 30",Deals[[#This Row],[Age]]&lt;45,"30-44",TRUE,"45+")</f>
        <v>30-44</v>
      </c>
      <c r="Q1160" s="21">
        <f>IF(Deals[[#This Row],[Status]]="Pending","",Deals[[#This Row],[DecisionDate]]-Deals[[#This Row],[ApplicationDate]])</f>
        <v>2</v>
      </c>
      <c r="R1160" s="21">
        <f>IF(Deals[[#This Row],[Status]]="Approved",1,0)</f>
        <v>1</v>
      </c>
      <c r="S1160" s="21">
        <f>IF(Deals[[#This Row],[IsApproved]]=1,Deals[[#This Row],[Amount]],0)</f>
        <v>11700</v>
      </c>
      <c r="T1160" s="21">
        <f>Deals[[#This Row],[ApprovedAmount]]*Deals[[#This Row],[ProfitRate]]</f>
        <v>634.14</v>
      </c>
    </row>
    <row r="1161" spans="1:20">
      <c r="A1161" s="2" t="s">
        <v>1936</v>
      </c>
      <c r="B1161" s="3">
        <v>46268</v>
      </c>
      <c r="C1161" s="2" t="s">
        <v>1759</v>
      </c>
      <c r="D1161" s="2" t="s">
        <v>29</v>
      </c>
      <c r="E1161" s="2" t="s">
        <v>30</v>
      </c>
      <c r="F1161" s="2" t="s">
        <v>31</v>
      </c>
      <c r="G1161" s="4">
        <v>13900</v>
      </c>
      <c r="H1161" s="5">
        <v>4.8599999999999997E-2</v>
      </c>
      <c r="I1161" s="2">
        <v>36</v>
      </c>
      <c r="J1161" s="2" t="s">
        <v>32</v>
      </c>
      <c r="K1161" s="2" t="s">
        <v>45</v>
      </c>
      <c r="L1161" s="3">
        <v>46270</v>
      </c>
      <c r="M1161" s="2" t="str">
        <f>_xlfn.XLOOKUP(Deals[[#This Row],[CustomerID]],Customers!A:A,Customers!F:F)</f>
        <v>Mass</v>
      </c>
      <c r="N1161" s="2" t="str">
        <f>_xlfn.XLOOKUP(Deals[[#This Row],[CustomerID]],Customers!A:A,Customers!E:E)</f>
        <v>Kuwaiti</v>
      </c>
      <c r="O1161" s="2">
        <f>2026-_xlfn.XLOOKUP(Deals[[#This Row],[CustomerID]],Customers!A:A,Customers!D:D)</f>
        <v>49</v>
      </c>
      <c r="P1161" s="2" t="str" cm="1">
        <f t="array" ref="P1161">_xlfn.IFS(Deals[[#This Row],[Age]]&lt;30,"Under 30",Deals[[#This Row],[Age]]&lt;45,"30-44",TRUE,"45+")</f>
        <v>45+</v>
      </c>
      <c r="Q1161" s="21">
        <f>IF(Deals[[#This Row],[Status]]="Pending","",Deals[[#This Row],[DecisionDate]]-Deals[[#This Row],[ApplicationDate]])</f>
        <v>2</v>
      </c>
      <c r="R1161" s="21">
        <f>IF(Deals[[#This Row],[Status]]="Approved",1,0)</f>
        <v>0</v>
      </c>
      <c r="S1161" s="21">
        <f>IF(Deals[[#This Row],[IsApproved]]=1,Deals[[#This Row],[Amount]],0)</f>
        <v>0</v>
      </c>
      <c r="T1161" s="21">
        <f>Deals[[#This Row],[ApprovedAmount]]*Deals[[#This Row],[ProfitRate]]</f>
        <v>0</v>
      </c>
    </row>
    <row r="1162" spans="1:20">
      <c r="A1162" s="2" t="s">
        <v>1937</v>
      </c>
      <c r="B1162" s="3">
        <v>46269</v>
      </c>
      <c r="C1162" s="2" t="s">
        <v>771</v>
      </c>
      <c r="D1162" s="2" t="s">
        <v>29</v>
      </c>
      <c r="E1162" s="2" t="s">
        <v>21</v>
      </c>
      <c r="F1162" s="2" t="s">
        <v>31</v>
      </c>
      <c r="G1162" s="4">
        <v>118700</v>
      </c>
      <c r="H1162" s="5">
        <v>3.0700000000000002E-2</v>
      </c>
      <c r="I1162" s="2">
        <v>120</v>
      </c>
      <c r="J1162" s="2" t="s">
        <v>123</v>
      </c>
      <c r="K1162" s="2" t="s">
        <v>17</v>
      </c>
      <c r="L1162" s="3">
        <v>46297</v>
      </c>
      <c r="M1162" s="2" t="str">
        <f>_xlfn.XLOOKUP(Deals[[#This Row],[CustomerID]],Customers!A:A,Customers!F:F)</f>
        <v>Mass</v>
      </c>
      <c r="N1162" s="2" t="str">
        <f>_xlfn.XLOOKUP(Deals[[#This Row],[CustomerID]],Customers!A:A,Customers!E:E)</f>
        <v>Non-Kuwaiti</v>
      </c>
      <c r="O1162" s="2">
        <f>2026-_xlfn.XLOOKUP(Deals[[#This Row],[CustomerID]],Customers!A:A,Customers!D:D)</f>
        <v>70</v>
      </c>
      <c r="P1162" s="2" t="str" cm="1">
        <f t="array" ref="P1162">_xlfn.IFS(Deals[[#This Row],[Age]]&lt;30,"Under 30",Deals[[#This Row],[Age]]&lt;45,"30-44",TRUE,"45+")</f>
        <v>45+</v>
      </c>
      <c r="Q1162" s="21">
        <f>IF(Deals[[#This Row],[Status]]="Pending","",Deals[[#This Row],[DecisionDate]]-Deals[[#This Row],[ApplicationDate]])</f>
        <v>28</v>
      </c>
      <c r="R1162" s="21">
        <f>IF(Deals[[#This Row],[Status]]="Approved",1,0)</f>
        <v>1</v>
      </c>
      <c r="S1162" s="21">
        <f>IF(Deals[[#This Row],[IsApproved]]=1,Deals[[#This Row],[Amount]],0)</f>
        <v>118700</v>
      </c>
      <c r="T1162" s="21">
        <f>Deals[[#This Row],[ApprovedAmount]]*Deals[[#This Row],[ProfitRate]]</f>
        <v>3644.09</v>
      </c>
    </row>
    <row r="1163" spans="1:20">
      <c r="A1163" s="2" t="s">
        <v>1938</v>
      </c>
      <c r="B1163" s="3">
        <v>46269</v>
      </c>
      <c r="C1163" s="2" t="s">
        <v>709</v>
      </c>
      <c r="D1163" s="2" t="s">
        <v>20</v>
      </c>
      <c r="E1163" s="2" t="s">
        <v>30</v>
      </c>
      <c r="F1163" s="2" t="s">
        <v>3</v>
      </c>
      <c r="G1163" s="4">
        <v>4100</v>
      </c>
      <c r="H1163" s="5">
        <v>3.73E-2</v>
      </c>
      <c r="I1163" s="2">
        <v>48</v>
      </c>
      <c r="J1163" s="2" t="s">
        <v>37</v>
      </c>
      <c r="K1163" s="2" t="s">
        <v>17</v>
      </c>
      <c r="L1163" s="3">
        <v>46272</v>
      </c>
      <c r="M1163" s="2" t="str">
        <f>_xlfn.XLOOKUP(Deals[[#This Row],[CustomerID]],Customers!A:A,Customers!F:F)</f>
        <v>Mass</v>
      </c>
      <c r="N1163" s="2" t="str">
        <f>_xlfn.XLOOKUP(Deals[[#This Row],[CustomerID]],Customers!A:A,Customers!E:E)</f>
        <v>Non-Kuwaiti</v>
      </c>
      <c r="O1163" s="2">
        <f>2026-_xlfn.XLOOKUP(Deals[[#This Row],[CustomerID]],Customers!A:A,Customers!D:D)</f>
        <v>49</v>
      </c>
      <c r="P1163" s="2" t="str" cm="1">
        <f t="array" ref="P1163">_xlfn.IFS(Deals[[#This Row],[Age]]&lt;30,"Under 30",Deals[[#This Row],[Age]]&lt;45,"30-44",TRUE,"45+")</f>
        <v>45+</v>
      </c>
      <c r="Q1163" s="21">
        <f>IF(Deals[[#This Row],[Status]]="Pending","",Deals[[#This Row],[DecisionDate]]-Deals[[#This Row],[ApplicationDate]])</f>
        <v>3</v>
      </c>
      <c r="R1163" s="21">
        <f>IF(Deals[[#This Row],[Status]]="Approved",1,0)</f>
        <v>1</v>
      </c>
      <c r="S1163" s="21">
        <f>IF(Deals[[#This Row],[IsApproved]]=1,Deals[[#This Row],[Amount]],0)</f>
        <v>4100</v>
      </c>
      <c r="T1163" s="21">
        <f>Deals[[#This Row],[ApprovedAmount]]*Deals[[#This Row],[ProfitRate]]</f>
        <v>152.93</v>
      </c>
    </row>
    <row r="1164" spans="1:20">
      <c r="A1164" s="2" t="s">
        <v>1939</v>
      </c>
      <c r="B1164" s="3">
        <v>46269</v>
      </c>
      <c r="C1164" s="2" t="s">
        <v>1940</v>
      </c>
      <c r="D1164" s="2" t="s">
        <v>20</v>
      </c>
      <c r="E1164" s="2" t="s">
        <v>43</v>
      </c>
      <c r="F1164" s="2" t="s">
        <v>31</v>
      </c>
      <c r="G1164" s="4">
        <v>31100</v>
      </c>
      <c r="H1164" s="5">
        <v>6.2199999999999998E-2</v>
      </c>
      <c r="I1164" s="2">
        <v>84</v>
      </c>
      <c r="J1164" s="2" t="s">
        <v>22</v>
      </c>
      <c r="K1164" s="2" t="s">
        <v>45</v>
      </c>
      <c r="L1164" s="3">
        <v>46283</v>
      </c>
      <c r="M1164" s="2" t="str">
        <f>_xlfn.XLOOKUP(Deals[[#This Row],[CustomerID]],Customers!A:A,Customers!F:F)</f>
        <v>Mass</v>
      </c>
      <c r="N1164" s="2" t="str">
        <f>_xlfn.XLOOKUP(Deals[[#This Row],[CustomerID]],Customers!A:A,Customers!E:E)</f>
        <v>Non-Kuwaiti</v>
      </c>
      <c r="O1164" s="2">
        <f>2026-_xlfn.XLOOKUP(Deals[[#This Row],[CustomerID]],Customers!A:A,Customers!D:D)</f>
        <v>39</v>
      </c>
      <c r="P1164" s="2" t="str" cm="1">
        <f t="array" ref="P1164">_xlfn.IFS(Deals[[#This Row],[Age]]&lt;30,"Under 30",Deals[[#This Row],[Age]]&lt;45,"30-44",TRUE,"45+")</f>
        <v>30-44</v>
      </c>
      <c r="Q1164" s="21">
        <f>IF(Deals[[#This Row],[Status]]="Pending","",Deals[[#This Row],[DecisionDate]]-Deals[[#This Row],[ApplicationDate]])</f>
        <v>14</v>
      </c>
      <c r="R1164" s="21">
        <f>IF(Deals[[#This Row],[Status]]="Approved",1,0)</f>
        <v>0</v>
      </c>
      <c r="S1164" s="21">
        <f>IF(Deals[[#This Row],[IsApproved]]=1,Deals[[#This Row],[Amount]],0)</f>
        <v>0</v>
      </c>
      <c r="T1164" s="21">
        <f>Deals[[#This Row],[ApprovedAmount]]*Deals[[#This Row],[ProfitRate]]</f>
        <v>0</v>
      </c>
    </row>
    <row r="1165" spans="1:20">
      <c r="A1165" s="2" t="s">
        <v>1941</v>
      </c>
      <c r="B1165" s="3">
        <v>46269</v>
      </c>
      <c r="C1165" s="2" t="s">
        <v>1213</v>
      </c>
      <c r="D1165" s="2" t="s">
        <v>29</v>
      </c>
      <c r="E1165" s="2" t="s">
        <v>30</v>
      </c>
      <c r="F1165" s="2" t="s">
        <v>31</v>
      </c>
      <c r="G1165" s="4">
        <v>7900</v>
      </c>
      <c r="H1165" s="5">
        <v>3.8300000000000001E-2</v>
      </c>
      <c r="I1165" s="2">
        <v>60</v>
      </c>
      <c r="J1165" s="2" t="s">
        <v>61</v>
      </c>
      <c r="K1165" s="2" t="s">
        <v>45</v>
      </c>
      <c r="L1165" s="3">
        <v>46272</v>
      </c>
      <c r="M1165" s="2" t="str">
        <f>_xlfn.XLOOKUP(Deals[[#This Row],[CustomerID]],Customers!A:A,Customers!F:F)</f>
        <v>Premium</v>
      </c>
      <c r="N1165" s="2" t="str">
        <f>_xlfn.XLOOKUP(Deals[[#This Row],[CustomerID]],Customers!A:A,Customers!E:E)</f>
        <v>Non-Kuwaiti</v>
      </c>
      <c r="O1165" s="2">
        <f>2026-_xlfn.XLOOKUP(Deals[[#This Row],[CustomerID]],Customers!A:A,Customers!D:D)</f>
        <v>66</v>
      </c>
      <c r="P1165" s="2" t="str" cm="1">
        <f t="array" ref="P1165">_xlfn.IFS(Deals[[#This Row],[Age]]&lt;30,"Under 30",Deals[[#This Row],[Age]]&lt;45,"30-44",TRUE,"45+")</f>
        <v>45+</v>
      </c>
      <c r="Q1165" s="21">
        <f>IF(Deals[[#This Row],[Status]]="Pending","",Deals[[#This Row],[DecisionDate]]-Deals[[#This Row],[ApplicationDate]])</f>
        <v>3</v>
      </c>
      <c r="R1165" s="21">
        <f>IF(Deals[[#This Row],[Status]]="Approved",1,0)</f>
        <v>0</v>
      </c>
      <c r="S1165" s="21">
        <f>IF(Deals[[#This Row],[IsApproved]]=1,Deals[[#This Row],[Amount]],0)</f>
        <v>0</v>
      </c>
      <c r="T1165" s="21">
        <f>Deals[[#This Row],[ApprovedAmount]]*Deals[[#This Row],[ProfitRate]]</f>
        <v>0</v>
      </c>
    </row>
    <row r="1166" spans="1:20">
      <c r="A1166" s="2" t="s">
        <v>1942</v>
      </c>
      <c r="B1166" s="3">
        <v>46269</v>
      </c>
      <c r="C1166" s="2" t="s">
        <v>1369</v>
      </c>
      <c r="D1166" s="2" t="s">
        <v>25</v>
      </c>
      <c r="E1166" s="2" t="s">
        <v>43</v>
      </c>
      <c r="F1166" s="2" t="s">
        <v>3</v>
      </c>
      <c r="G1166" s="4">
        <v>79800</v>
      </c>
      <c r="H1166" s="5">
        <v>5.8900000000000001E-2</v>
      </c>
      <c r="I1166" s="2">
        <v>36</v>
      </c>
      <c r="J1166" s="2" t="s">
        <v>181</v>
      </c>
      <c r="K1166" s="2" t="s">
        <v>45</v>
      </c>
      <c r="L1166" s="3">
        <v>46276</v>
      </c>
      <c r="M1166" s="2" t="str">
        <f>_xlfn.XLOOKUP(Deals[[#This Row],[CustomerID]],Customers!A:A,Customers!F:F)</f>
        <v>Mass</v>
      </c>
      <c r="N1166" s="2" t="str">
        <f>_xlfn.XLOOKUP(Deals[[#This Row],[CustomerID]],Customers!A:A,Customers!E:E)</f>
        <v>Non-Kuwaiti</v>
      </c>
      <c r="O1166" s="2">
        <f>2026-_xlfn.XLOOKUP(Deals[[#This Row],[CustomerID]],Customers!A:A,Customers!D:D)</f>
        <v>40</v>
      </c>
      <c r="P1166" s="2" t="str" cm="1">
        <f t="array" ref="P1166">_xlfn.IFS(Deals[[#This Row],[Age]]&lt;30,"Under 30",Deals[[#This Row],[Age]]&lt;45,"30-44",TRUE,"45+")</f>
        <v>30-44</v>
      </c>
      <c r="Q1166" s="21">
        <f>IF(Deals[[#This Row],[Status]]="Pending","",Deals[[#This Row],[DecisionDate]]-Deals[[#This Row],[ApplicationDate]])</f>
        <v>7</v>
      </c>
      <c r="R1166" s="21">
        <f>IF(Deals[[#This Row],[Status]]="Approved",1,0)</f>
        <v>0</v>
      </c>
      <c r="S1166" s="21">
        <f>IF(Deals[[#This Row],[IsApproved]]=1,Deals[[#This Row],[Amount]],0)</f>
        <v>0</v>
      </c>
      <c r="T1166" s="21">
        <f>Deals[[#This Row],[ApprovedAmount]]*Deals[[#This Row],[ProfitRate]]</f>
        <v>0</v>
      </c>
    </row>
    <row r="1167" spans="1:20">
      <c r="A1167" s="2" t="s">
        <v>1943</v>
      </c>
      <c r="B1167" s="3">
        <v>46270</v>
      </c>
      <c r="C1167" s="2" t="s">
        <v>849</v>
      </c>
      <c r="D1167" s="2" t="s">
        <v>14</v>
      </c>
      <c r="E1167" s="2" t="s">
        <v>15</v>
      </c>
      <c r="F1167" s="2" t="s">
        <v>31</v>
      </c>
      <c r="G1167" s="4">
        <v>19400</v>
      </c>
      <c r="H1167" s="5">
        <v>6.7000000000000004E-2</v>
      </c>
      <c r="I1167" s="2">
        <v>60</v>
      </c>
      <c r="J1167" s="2" t="s">
        <v>16</v>
      </c>
      <c r="K1167" s="2" t="s">
        <v>45</v>
      </c>
      <c r="L1167" s="3">
        <v>46276</v>
      </c>
      <c r="M1167" s="2" t="str">
        <f>_xlfn.XLOOKUP(Deals[[#This Row],[CustomerID]],Customers!A:A,Customers!F:F)</f>
        <v>Affluent</v>
      </c>
      <c r="N1167" s="2" t="str">
        <f>_xlfn.XLOOKUP(Deals[[#This Row],[CustomerID]],Customers!A:A,Customers!E:E)</f>
        <v>Kuwaiti</v>
      </c>
      <c r="O1167" s="2">
        <f>2026-_xlfn.XLOOKUP(Deals[[#This Row],[CustomerID]],Customers!A:A,Customers!D:D)</f>
        <v>38</v>
      </c>
      <c r="P1167" s="2" t="str" cm="1">
        <f t="array" ref="P1167">_xlfn.IFS(Deals[[#This Row],[Age]]&lt;30,"Under 30",Deals[[#This Row],[Age]]&lt;45,"30-44",TRUE,"45+")</f>
        <v>30-44</v>
      </c>
      <c r="Q1167" s="21">
        <f>IF(Deals[[#This Row],[Status]]="Pending","",Deals[[#This Row],[DecisionDate]]-Deals[[#This Row],[ApplicationDate]])</f>
        <v>6</v>
      </c>
      <c r="R1167" s="21">
        <f>IF(Deals[[#This Row],[Status]]="Approved",1,0)</f>
        <v>0</v>
      </c>
      <c r="S1167" s="21">
        <f>IF(Deals[[#This Row],[IsApproved]]=1,Deals[[#This Row],[Amount]],0)</f>
        <v>0</v>
      </c>
      <c r="T1167" s="21">
        <f>Deals[[#This Row],[ApprovedAmount]]*Deals[[#This Row],[ProfitRate]]</f>
        <v>0</v>
      </c>
    </row>
    <row r="1168" spans="1:20">
      <c r="A1168" s="2" t="s">
        <v>1944</v>
      </c>
      <c r="B1168" s="3">
        <v>46270</v>
      </c>
      <c r="C1168" s="2" t="s">
        <v>1945</v>
      </c>
      <c r="D1168" s="2" t="s">
        <v>14</v>
      </c>
      <c r="E1168" s="2" t="s">
        <v>30</v>
      </c>
      <c r="F1168" s="2" t="s">
        <v>55</v>
      </c>
      <c r="G1168" s="4">
        <v>15100</v>
      </c>
      <c r="H1168" s="5">
        <v>4.9399999999999999E-2</v>
      </c>
      <c r="I1168" s="2">
        <v>60</v>
      </c>
      <c r="J1168" s="2" t="s">
        <v>16</v>
      </c>
      <c r="K1168" s="2" t="s">
        <v>1916</v>
      </c>
      <c r="L1168" s="2"/>
      <c r="M1168" s="2" t="str">
        <f>_xlfn.XLOOKUP(Deals[[#This Row],[CustomerID]],Customers!A:A,Customers!F:F)</f>
        <v>Affluent</v>
      </c>
      <c r="N1168" s="2" t="str">
        <f>_xlfn.XLOOKUP(Deals[[#This Row],[CustomerID]],Customers!A:A,Customers!E:E)</f>
        <v>Kuwaiti</v>
      </c>
      <c r="O1168" s="2">
        <f>2026-_xlfn.XLOOKUP(Deals[[#This Row],[CustomerID]],Customers!A:A,Customers!D:D)</f>
        <v>58</v>
      </c>
      <c r="P1168" s="2" t="str" cm="1">
        <f t="array" ref="P1168">_xlfn.IFS(Deals[[#This Row],[Age]]&lt;30,"Under 30",Deals[[#This Row],[Age]]&lt;45,"30-44",TRUE,"45+")</f>
        <v>45+</v>
      </c>
      <c r="Q1168" s="21" t="str">
        <f>IF(Deals[[#This Row],[Status]]="Pending","",Deals[[#This Row],[DecisionDate]]-Deals[[#This Row],[ApplicationDate]])</f>
        <v/>
      </c>
      <c r="R1168" s="21">
        <f>IF(Deals[[#This Row],[Status]]="Approved",1,0)</f>
        <v>0</v>
      </c>
      <c r="S1168" s="21">
        <f>IF(Deals[[#This Row],[IsApproved]]=1,Deals[[#This Row],[Amount]],0)</f>
        <v>0</v>
      </c>
      <c r="T1168" s="21">
        <f>Deals[[#This Row],[ApprovedAmount]]*Deals[[#This Row],[ProfitRate]]</f>
        <v>0</v>
      </c>
    </row>
    <row r="1169" spans="1:20">
      <c r="A1169" s="2" t="s">
        <v>1946</v>
      </c>
      <c r="B1169" s="3">
        <v>46270</v>
      </c>
      <c r="C1169" s="2" t="s">
        <v>439</v>
      </c>
      <c r="D1169" s="2" t="s">
        <v>29</v>
      </c>
      <c r="E1169" s="2" t="s">
        <v>15</v>
      </c>
      <c r="F1169" s="2" t="s">
        <v>3</v>
      </c>
      <c r="G1169" s="4">
        <v>13700</v>
      </c>
      <c r="H1169" s="5">
        <v>6.1499999999999999E-2</v>
      </c>
      <c r="I1169" s="2">
        <v>60</v>
      </c>
      <c r="J1169" s="2" t="s">
        <v>32</v>
      </c>
      <c r="K1169" s="2" t="s">
        <v>17</v>
      </c>
      <c r="L1169" s="3">
        <v>46271</v>
      </c>
      <c r="M1169" s="2" t="str">
        <f>_xlfn.XLOOKUP(Deals[[#This Row],[CustomerID]],Customers!A:A,Customers!F:F)</f>
        <v>Affluent</v>
      </c>
      <c r="N1169" s="2" t="str">
        <f>_xlfn.XLOOKUP(Deals[[#This Row],[CustomerID]],Customers!A:A,Customers!E:E)</f>
        <v>Kuwaiti</v>
      </c>
      <c r="O1169" s="2">
        <f>2026-_xlfn.XLOOKUP(Deals[[#This Row],[CustomerID]],Customers!A:A,Customers!D:D)</f>
        <v>43</v>
      </c>
      <c r="P1169" s="2" t="str" cm="1">
        <f t="array" ref="P1169">_xlfn.IFS(Deals[[#This Row],[Age]]&lt;30,"Under 30",Deals[[#This Row],[Age]]&lt;45,"30-44",TRUE,"45+")</f>
        <v>30-44</v>
      </c>
      <c r="Q1169" s="21">
        <f>IF(Deals[[#This Row],[Status]]="Pending","",Deals[[#This Row],[DecisionDate]]-Deals[[#This Row],[ApplicationDate]])</f>
        <v>1</v>
      </c>
      <c r="R1169" s="21">
        <f>IF(Deals[[#This Row],[Status]]="Approved",1,0)</f>
        <v>1</v>
      </c>
      <c r="S1169" s="21">
        <f>IF(Deals[[#This Row],[IsApproved]]=1,Deals[[#This Row],[Amount]],0)</f>
        <v>13700</v>
      </c>
      <c r="T1169" s="21">
        <f>Deals[[#This Row],[ApprovedAmount]]*Deals[[#This Row],[ProfitRate]]</f>
        <v>842.55</v>
      </c>
    </row>
    <row r="1170" spans="1:20">
      <c r="A1170" s="2" t="s">
        <v>1947</v>
      </c>
      <c r="B1170" s="3">
        <v>46271</v>
      </c>
      <c r="C1170" s="2" t="s">
        <v>1948</v>
      </c>
      <c r="D1170" s="2" t="s">
        <v>71</v>
      </c>
      <c r="E1170" s="2" t="s">
        <v>21</v>
      </c>
      <c r="F1170" s="2" t="s">
        <v>31</v>
      </c>
      <c r="G1170" s="4">
        <v>174500</v>
      </c>
      <c r="H1170" s="5">
        <v>3.9600000000000003E-2</v>
      </c>
      <c r="I1170" s="2">
        <v>180</v>
      </c>
      <c r="J1170" s="2" t="s">
        <v>72</v>
      </c>
      <c r="K1170" s="2" t="s">
        <v>45</v>
      </c>
      <c r="L1170" s="3">
        <v>46296</v>
      </c>
      <c r="M1170" s="2" t="str">
        <f>_xlfn.XLOOKUP(Deals[[#This Row],[CustomerID]],Customers!A:A,Customers!F:F)</f>
        <v>Mass</v>
      </c>
      <c r="N1170" s="2" t="str">
        <f>_xlfn.XLOOKUP(Deals[[#This Row],[CustomerID]],Customers!A:A,Customers!E:E)</f>
        <v>Kuwaiti</v>
      </c>
      <c r="O1170" s="2">
        <f>2026-_xlfn.XLOOKUP(Deals[[#This Row],[CustomerID]],Customers!A:A,Customers!D:D)</f>
        <v>37</v>
      </c>
      <c r="P1170" s="2" t="str" cm="1">
        <f t="array" ref="P1170">_xlfn.IFS(Deals[[#This Row],[Age]]&lt;30,"Under 30",Deals[[#This Row],[Age]]&lt;45,"30-44",TRUE,"45+")</f>
        <v>30-44</v>
      </c>
      <c r="Q1170" s="21">
        <f>IF(Deals[[#This Row],[Status]]="Pending","",Deals[[#This Row],[DecisionDate]]-Deals[[#This Row],[ApplicationDate]])</f>
        <v>25</v>
      </c>
      <c r="R1170" s="21">
        <f>IF(Deals[[#This Row],[Status]]="Approved",1,0)</f>
        <v>0</v>
      </c>
      <c r="S1170" s="21">
        <f>IF(Deals[[#This Row],[IsApproved]]=1,Deals[[#This Row],[Amount]],0)</f>
        <v>0</v>
      </c>
      <c r="T1170" s="21">
        <f>Deals[[#This Row],[ApprovedAmount]]*Deals[[#This Row],[ProfitRate]]</f>
        <v>0</v>
      </c>
    </row>
    <row r="1171" spans="1:20">
      <c r="A1171" s="2" t="s">
        <v>1949</v>
      </c>
      <c r="B1171" s="3">
        <v>46271</v>
      </c>
      <c r="C1171" s="2" t="s">
        <v>796</v>
      </c>
      <c r="D1171" s="2" t="s">
        <v>25</v>
      </c>
      <c r="E1171" s="2" t="s">
        <v>30</v>
      </c>
      <c r="F1171" s="2" t="s">
        <v>55</v>
      </c>
      <c r="G1171" s="4">
        <v>14100</v>
      </c>
      <c r="H1171" s="5">
        <v>4.3799999999999999E-2</v>
      </c>
      <c r="I1171" s="2">
        <v>36</v>
      </c>
      <c r="J1171" s="2" t="s">
        <v>26</v>
      </c>
      <c r="K1171" s="2" t="s">
        <v>17</v>
      </c>
      <c r="L1171" s="3">
        <v>46275</v>
      </c>
      <c r="M1171" s="2" t="str">
        <f>_xlfn.XLOOKUP(Deals[[#This Row],[CustomerID]],Customers!A:A,Customers!F:F)</f>
        <v>Mass</v>
      </c>
      <c r="N1171" s="2" t="str">
        <f>_xlfn.XLOOKUP(Deals[[#This Row],[CustomerID]],Customers!A:A,Customers!E:E)</f>
        <v>Non-Kuwaiti</v>
      </c>
      <c r="O1171" s="2">
        <f>2026-_xlfn.XLOOKUP(Deals[[#This Row],[CustomerID]],Customers!A:A,Customers!D:D)</f>
        <v>61</v>
      </c>
      <c r="P1171" s="2" t="str" cm="1">
        <f t="array" ref="P1171">_xlfn.IFS(Deals[[#This Row],[Age]]&lt;30,"Under 30",Deals[[#This Row],[Age]]&lt;45,"30-44",TRUE,"45+")</f>
        <v>45+</v>
      </c>
      <c r="Q1171" s="21">
        <f>IF(Deals[[#This Row],[Status]]="Pending","",Deals[[#This Row],[DecisionDate]]-Deals[[#This Row],[ApplicationDate]])</f>
        <v>4</v>
      </c>
      <c r="R1171" s="21">
        <f>IF(Deals[[#This Row],[Status]]="Approved",1,0)</f>
        <v>1</v>
      </c>
      <c r="S1171" s="21">
        <f>IF(Deals[[#This Row],[IsApproved]]=1,Deals[[#This Row],[Amount]],0)</f>
        <v>14100</v>
      </c>
      <c r="T1171" s="21">
        <f>Deals[[#This Row],[ApprovedAmount]]*Deals[[#This Row],[ProfitRate]]</f>
        <v>617.57999999999993</v>
      </c>
    </row>
    <row r="1172" spans="1:20">
      <c r="A1172" s="2" t="s">
        <v>1950</v>
      </c>
      <c r="B1172" s="3">
        <v>46271</v>
      </c>
      <c r="C1172" s="2" t="s">
        <v>1951</v>
      </c>
      <c r="D1172" s="2" t="s">
        <v>25</v>
      </c>
      <c r="E1172" s="2" t="s">
        <v>30</v>
      </c>
      <c r="F1172" s="2" t="s">
        <v>31</v>
      </c>
      <c r="G1172" s="4">
        <v>16700</v>
      </c>
      <c r="H1172" s="5">
        <v>4.9299999999999997E-2</v>
      </c>
      <c r="I1172" s="2">
        <v>60</v>
      </c>
      <c r="J1172" s="2" t="s">
        <v>181</v>
      </c>
      <c r="K1172" s="2" t="s">
        <v>17</v>
      </c>
      <c r="L1172" s="3">
        <v>46272</v>
      </c>
      <c r="M1172" s="2" t="str">
        <f>_xlfn.XLOOKUP(Deals[[#This Row],[CustomerID]],Customers!A:A,Customers!F:F)</f>
        <v>Affluent</v>
      </c>
      <c r="N1172" s="2" t="str">
        <f>_xlfn.XLOOKUP(Deals[[#This Row],[CustomerID]],Customers!A:A,Customers!E:E)</f>
        <v>Non-Kuwaiti</v>
      </c>
      <c r="O1172" s="2">
        <f>2026-_xlfn.XLOOKUP(Deals[[#This Row],[CustomerID]],Customers!A:A,Customers!D:D)</f>
        <v>39</v>
      </c>
      <c r="P1172" s="2" t="str" cm="1">
        <f t="array" ref="P1172">_xlfn.IFS(Deals[[#This Row],[Age]]&lt;30,"Under 30",Deals[[#This Row],[Age]]&lt;45,"30-44",TRUE,"45+")</f>
        <v>30-44</v>
      </c>
      <c r="Q1172" s="21">
        <f>IF(Deals[[#This Row],[Status]]="Pending","",Deals[[#This Row],[DecisionDate]]-Deals[[#This Row],[ApplicationDate]])</f>
        <v>1</v>
      </c>
      <c r="R1172" s="21">
        <f>IF(Deals[[#This Row],[Status]]="Approved",1,0)</f>
        <v>1</v>
      </c>
      <c r="S1172" s="21">
        <f>IF(Deals[[#This Row],[IsApproved]]=1,Deals[[#This Row],[Amount]],0)</f>
        <v>16700</v>
      </c>
      <c r="T1172" s="21">
        <f>Deals[[#This Row],[ApprovedAmount]]*Deals[[#This Row],[ProfitRate]]</f>
        <v>823.31</v>
      </c>
    </row>
    <row r="1173" spans="1:20">
      <c r="A1173" s="2" t="s">
        <v>1952</v>
      </c>
      <c r="B1173" s="3">
        <v>46272</v>
      </c>
      <c r="C1173" s="2" t="s">
        <v>1953</v>
      </c>
      <c r="D1173" s="2" t="s">
        <v>14</v>
      </c>
      <c r="E1173" s="2" t="s">
        <v>21</v>
      </c>
      <c r="F1173" s="2" t="s">
        <v>3</v>
      </c>
      <c r="G1173" s="4">
        <v>177800</v>
      </c>
      <c r="H1173" s="5">
        <v>4.3799999999999999E-2</v>
      </c>
      <c r="I1173" s="2">
        <v>180</v>
      </c>
      <c r="J1173" s="2" t="s">
        <v>16</v>
      </c>
      <c r="K1173" s="2" t="s">
        <v>45</v>
      </c>
      <c r="L1173" s="3">
        <v>46297</v>
      </c>
      <c r="M1173" s="2" t="str">
        <f>_xlfn.XLOOKUP(Deals[[#This Row],[CustomerID]],Customers!A:A,Customers!F:F)</f>
        <v>Mass</v>
      </c>
      <c r="N1173" s="2" t="str">
        <f>_xlfn.XLOOKUP(Deals[[#This Row],[CustomerID]],Customers!A:A,Customers!E:E)</f>
        <v>Kuwaiti</v>
      </c>
      <c r="O1173" s="2">
        <f>2026-_xlfn.XLOOKUP(Deals[[#This Row],[CustomerID]],Customers!A:A,Customers!D:D)</f>
        <v>50</v>
      </c>
      <c r="P1173" s="2" t="str" cm="1">
        <f t="array" ref="P1173">_xlfn.IFS(Deals[[#This Row],[Age]]&lt;30,"Under 30",Deals[[#This Row],[Age]]&lt;45,"30-44",TRUE,"45+")</f>
        <v>45+</v>
      </c>
      <c r="Q1173" s="21">
        <f>IF(Deals[[#This Row],[Status]]="Pending","",Deals[[#This Row],[DecisionDate]]-Deals[[#This Row],[ApplicationDate]])</f>
        <v>25</v>
      </c>
      <c r="R1173" s="21">
        <f>IF(Deals[[#This Row],[Status]]="Approved",1,0)</f>
        <v>0</v>
      </c>
      <c r="S1173" s="21">
        <f>IF(Deals[[#This Row],[IsApproved]]=1,Deals[[#This Row],[Amount]],0)</f>
        <v>0</v>
      </c>
      <c r="T1173" s="21">
        <f>Deals[[#This Row],[ApprovedAmount]]*Deals[[#This Row],[ProfitRate]]</f>
        <v>0</v>
      </c>
    </row>
    <row r="1174" spans="1:20">
      <c r="A1174" s="2" t="s">
        <v>1954</v>
      </c>
      <c r="B1174" s="3">
        <v>46272</v>
      </c>
      <c r="C1174" s="2" t="s">
        <v>1567</v>
      </c>
      <c r="D1174" s="2" t="s">
        <v>20</v>
      </c>
      <c r="E1174" s="2" t="s">
        <v>30</v>
      </c>
      <c r="F1174" s="2" t="s">
        <v>31</v>
      </c>
      <c r="G1174" s="4">
        <v>8700</v>
      </c>
      <c r="H1174" s="5">
        <v>4.99E-2</v>
      </c>
      <c r="I1174" s="2">
        <v>36</v>
      </c>
      <c r="J1174" s="2" t="s">
        <v>37</v>
      </c>
      <c r="K1174" s="2" t="s">
        <v>17</v>
      </c>
      <c r="L1174" s="3">
        <v>46276</v>
      </c>
      <c r="M1174" s="2" t="str">
        <f>_xlfn.XLOOKUP(Deals[[#This Row],[CustomerID]],Customers!A:A,Customers!F:F)</f>
        <v>Affluent</v>
      </c>
      <c r="N1174" s="2" t="str">
        <f>_xlfn.XLOOKUP(Deals[[#This Row],[CustomerID]],Customers!A:A,Customers!E:E)</f>
        <v>Kuwaiti</v>
      </c>
      <c r="O1174" s="2">
        <f>2026-_xlfn.XLOOKUP(Deals[[#This Row],[CustomerID]],Customers!A:A,Customers!D:D)</f>
        <v>33</v>
      </c>
      <c r="P1174" s="2" t="str" cm="1">
        <f t="array" ref="P1174">_xlfn.IFS(Deals[[#This Row],[Age]]&lt;30,"Under 30",Deals[[#This Row],[Age]]&lt;45,"30-44",TRUE,"45+")</f>
        <v>30-44</v>
      </c>
      <c r="Q1174" s="21">
        <f>IF(Deals[[#This Row],[Status]]="Pending","",Deals[[#This Row],[DecisionDate]]-Deals[[#This Row],[ApplicationDate]])</f>
        <v>4</v>
      </c>
      <c r="R1174" s="21">
        <f>IF(Deals[[#This Row],[Status]]="Approved",1,0)</f>
        <v>1</v>
      </c>
      <c r="S1174" s="21">
        <f>IF(Deals[[#This Row],[IsApproved]]=1,Deals[[#This Row],[Amount]],0)</f>
        <v>8700</v>
      </c>
      <c r="T1174" s="21">
        <f>Deals[[#This Row],[ApprovedAmount]]*Deals[[#This Row],[ProfitRate]]</f>
        <v>434.13</v>
      </c>
    </row>
    <row r="1175" spans="1:20">
      <c r="A1175" s="2" t="s">
        <v>1955</v>
      </c>
      <c r="B1175" s="3">
        <v>46272</v>
      </c>
      <c r="C1175" s="2" t="s">
        <v>1956</v>
      </c>
      <c r="D1175" s="2" t="s">
        <v>14</v>
      </c>
      <c r="E1175" s="2" t="s">
        <v>30</v>
      </c>
      <c r="F1175" s="2" t="s">
        <v>55</v>
      </c>
      <c r="G1175" s="4">
        <v>5800</v>
      </c>
      <c r="H1175" s="5">
        <v>4.3299999999999998E-2</v>
      </c>
      <c r="I1175" s="2">
        <v>36</v>
      </c>
      <c r="J1175" s="2" t="s">
        <v>40</v>
      </c>
      <c r="K1175" s="2" t="s">
        <v>1916</v>
      </c>
      <c r="L1175" s="2"/>
      <c r="M1175" s="2" t="str">
        <f>_xlfn.XLOOKUP(Deals[[#This Row],[CustomerID]],Customers!A:A,Customers!F:F)</f>
        <v>Mass</v>
      </c>
      <c r="N1175" s="2" t="str">
        <f>_xlfn.XLOOKUP(Deals[[#This Row],[CustomerID]],Customers!A:A,Customers!E:E)</f>
        <v>Kuwaiti</v>
      </c>
      <c r="O1175" s="2">
        <f>2026-_xlfn.XLOOKUP(Deals[[#This Row],[CustomerID]],Customers!A:A,Customers!D:D)</f>
        <v>30</v>
      </c>
      <c r="P1175" s="2" t="str" cm="1">
        <f t="array" ref="P1175">_xlfn.IFS(Deals[[#This Row],[Age]]&lt;30,"Under 30",Deals[[#This Row],[Age]]&lt;45,"30-44",TRUE,"45+")</f>
        <v>30-44</v>
      </c>
      <c r="Q1175" s="21" t="str">
        <f>IF(Deals[[#This Row],[Status]]="Pending","",Deals[[#This Row],[DecisionDate]]-Deals[[#This Row],[ApplicationDate]])</f>
        <v/>
      </c>
      <c r="R1175" s="21">
        <f>IF(Deals[[#This Row],[Status]]="Approved",1,0)</f>
        <v>0</v>
      </c>
      <c r="S1175" s="21">
        <f>IF(Deals[[#This Row],[IsApproved]]=1,Deals[[#This Row],[Amount]],0)</f>
        <v>0</v>
      </c>
      <c r="T1175" s="21">
        <f>Deals[[#This Row],[ApprovedAmount]]*Deals[[#This Row],[ProfitRate]]</f>
        <v>0</v>
      </c>
    </row>
    <row r="1176" spans="1:20">
      <c r="A1176" s="2" t="s">
        <v>1957</v>
      </c>
      <c r="B1176" s="3">
        <v>46272</v>
      </c>
      <c r="C1176" s="2" t="s">
        <v>1026</v>
      </c>
      <c r="D1176" s="2" t="s">
        <v>25</v>
      </c>
      <c r="E1176" s="2" t="s">
        <v>43</v>
      </c>
      <c r="F1176" s="2" t="s">
        <v>3</v>
      </c>
      <c r="G1176" s="4">
        <v>76700</v>
      </c>
      <c r="H1176" s="5">
        <v>6.1400000000000003E-2</v>
      </c>
      <c r="I1176" s="2">
        <v>84</v>
      </c>
      <c r="J1176" s="2" t="s">
        <v>181</v>
      </c>
      <c r="K1176" s="2" t="s">
        <v>1916</v>
      </c>
      <c r="L1176" s="2"/>
      <c r="M1176" s="2" t="str">
        <f>_xlfn.XLOOKUP(Deals[[#This Row],[CustomerID]],Customers!A:A,Customers!F:F)</f>
        <v>Affluent</v>
      </c>
      <c r="N1176" s="2" t="str">
        <f>_xlfn.XLOOKUP(Deals[[#This Row],[CustomerID]],Customers!A:A,Customers!E:E)</f>
        <v>Kuwaiti</v>
      </c>
      <c r="O1176" s="2">
        <f>2026-_xlfn.XLOOKUP(Deals[[#This Row],[CustomerID]],Customers!A:A,Customers!D:D)</f>
        <v>52</v>
      </c>
      <c r="P1176" s="2" t="str" cm="1">
        <f t="array" ref="P1176">_xlfn.IFS(Deals[[#This Row],[Age]]&lt;30,"Under 30",Deals[[#This Row],[Age]]&lt;45,"30-44",TRUE,"45+")</f>
        <v>45+</v>
      </c>
      <c r="Q1176" s="21" t="str">
        <f>IF(Deals[[#This Row],[Status]]="Pending","",Deals[[#This Row],[DecisionDate]]-Deals[[#This Row],[ApplicationDate]])</f>
        <v/>
      </c>
      <c r="R1176" s="21">
        <f>IF(Deals[[#This Row],[Status]]="Approved",1,0)</f>
        <v>0</v>
      </c>
      <c r="S1176" s="21">
        <f>IF(Deals[[#This Row],[IsApproved]]=1,Deals[[#This Row],[Amount]],0)</f>
        <v>0</v>
      </c>
      <c r="T1176" s="21">
        <f>Deals[[#This Row],[ApprovedAmount]]*Deals[[#This Row],[ProfitRate]]</f>
        <v>0</v>
      </c>
    </row>
    <row r="1177" spans="1:20">
      <c r="A1177" s="2" t="s">
        <v>1958</v>
      </c>
      <c r="B1177" s="3">
        <v>46272</v>
      </c>
      <c r="C1177" s="2" t="s">
        <v>1959</v>
      </c>
      <c r="D1177" s="2" t="s">
        <v>71</v>
      </c>
      <c r="E1177" s="2" t="s">
        <v>15</v>
      </c>
      <c r="F1177" s="2" t="s">
        <v>55</v>
      </c>
      <c r="G1177" s="4">
        <v>10900</v>
      </c>
      <c r="H1177" s="5">
        <v>6.4600000000000005E-2</v>
      </c>
      <c r="I1177" s="2">
        <v>48</v>
      </c>
      <c r="J1177" s="2" t="s">
        <v>94</v>
      </c>
      <c r="K1177" s="2" t="s">
        <v>17</v>
      </c>
      <c r="L1177" s="3">
        <v>46278</v>
      </c>
      <c r="M1177" s="2" t="str">
        <f>_xlfn.XLOOKUP(Deals[[#This Row],[CustomerID]],Customers!A:A,Customers!F:F)</f>
        <v>Mass</v>
      </c>
      <c r="N1177" s="2" t="str">
        <f>_xlfn.XLOOKUP(Deals[[#This Row],[CustomerID]],Customers!A:A,Customers!E:E)</f>
        <v>Non-Kuwaiti</v>
      </c>
      <c r="O1177" s="2">
        <f>2026-_xlfn.XLOOKUP(Deals[[#This Row],[CustomerID]],Customers!A:A,Customers!D:D)</f>
        <v>47</v>
      </c>
      <c r="P1177" s="2" t="str" cm="1">
        <f t="array" ref="P1177">_xlfn.IFS(Deals[[#This Row],[Age]]&lt;30,"Under 30",Deals[[#This Row],[Age]]&lt;45,"30-44",TRUE,"45+")</f>
        <v>45+</v>
      </c>
      <c r="Q1177" s="21">
        <f>IF(Deals[[#This Row],[Status]]="Pending","",Deals[[#This Row],[DecisionDate]]-Deals[[#This Row],[ApplicationDate]])</f>
        <v>6</v>
      </c>
      <c r="R1177" s="21">
        <f>IF(Deals[[#This Row],[Status]]="Approved",1,0)</f>
        <v>1</v>
      </c>
      <c r="S1177" s="21">
        <f>IF(Deals[[#This Row],[IsApproved]]=1,Deals[[#This Row],[Amount]],0)</f>
        <v>10900</v>
      </c>
      <c r="T1177" s="21">
        <f>Deals[[#This Row],[ApprovedAmount]]*Deals[[#This Row],[ProfitRate]]</f>
        <v>704.1400000000001</v>
      </c>
    </row>
    <row r="1178" spans="1:20">
      <c r="A1178" s="2" t="s">
        <v>1960</v>
      </c>
      <c r="B1178" s="3">
        <v>46272</v>
      </c>
      <c r="C1178" s="2" t="s">
        <v>1659</v>
      </c>
      <c r="D1178" s="2" t="s">
        <v>29</v>
      </c>
      <c r="E1178" s="2" t="s">
        <v>15</v>
      </c>
      <c r="F1178" s="2" t="s">
        <v>31</v>
      </c>
      <c r="G1178" s="4">
        <v>20500</v>
      </c>
      <c r="H1178" s="5">
        <v>6.4299999999999996E-2</v>
      </c>
      <c r="I1178" s="2">
        <v>36</v>
      </c>
      <c r="J1178" s="2" t="s">
        <v>32</v>
      </c>
      <c r="K1178" s="2" t="s">
        <v>17</v>
      </c>
      <c r="L1178" s="3">
        <v>46277</v>
      </c>
      <c r="M1178" s="2" t="str">
        <f>_xlfn.XLOOKUP(Deals[[#This Row],[CustomerID]],Customers!A:A,Customers!F:F)</f>
        <v>Affluent</v>
      </c>
      <c r="N1178" s="2" t="str">
        <f>_xlfn.XLOOKUP(Deals[[#This Row],[CustomerID]],Customers!A:A,Customers!E:E)</f>
        <v>Non-Kuwaiti</v>
      </c>
      <c r="O1178" s="2">
        <f>2026-_xlfn.XLOOKUP(Deals[[#This Row],[CustomerID]],Customers!A:A,Customers!D:D)</f>
        <v>53</v>
      </c>
      <c r="P1178" s="2" t="str" cm="1">
        <f t="array" ref="P1178">_xlfn.IFS(Deals[[#This Row],[Age]]&lt;30,"Under 30",Deals[[#This Row],[Age]]&lt;45,"30-44",TRUE,"45+")</f>
        <v>45+</v>
      </c>
      <c r="Q1178" s="21">
        <f>IF(Deals[[#This Row],[Status]]="Pending","",Deals[[#This Row],[DecisionDate]]-Deals[[#This Row],[ApplicationDate]])</f>
        <v>5</v>
      </c>
      <c r="R1178" s="21">
        <f>IF(Deals[[#This Row],[Status]]="Approved",1,0)</f>
        <v>1</v>
      </c>
      <c r="S1178" s="21">
        <f>IF(Deals[[#This Row],[IsApproved]]=1,Deals[[#This Row],[Amount]],0)</f>
        <v>20500</v>
      </c>
      <c r="T1178" s="21">
        <f>Deals[[#This Row],[ApprovedAmount]]*Deals[[#This Row],[ProfitRate]]</f>
        <v>1318.1499999999999</v>
      </c>
    </row>
    <row r="1179" spans="1:20">
      <c r="A1179" s="2" t="s">
        <v>1961</v>
      </c>
      <c r="B1179" s="3">
        <v>46272</v>
      </c>
      <c r="C1179" s="2" t="s">
        <v>1962</v>
      </c>
      <c r="D1179" s="2" t="s">
        <v>25</v>
      </c>
      <c r="E1179" s="2" t="s">
        <v>30</v>
      </c>
      <c r="F1179" s="2" t="s">
        <v>31</v>
      </c>
      <c r="G1179" s="4">
        <v>5100</v>
      </c>
      <c r="H1179" s="5">
        <v>4.36E-2</v>
      </c>
      <c r="I1179" s="2">
        <v>36</v>
      </c>
      <c r="J1179" s="2" t="s">
        <v>181</v>
      </c>
      <c r="K1179" s="2" t="s">
        <v>17</v>
      </c>
      <c r="L1179" s="3">
        <v>46273</v>
      </c>
      <c r="M1179" s="2" t="str">
        <f>_xlfn.XLOOKUP(Deals[[#This Row],[CustomerID]],Customers!A:A,Customers!F:F)</f>
        <v>Mass</v>
      </c>
      <c r="N1179" s="2" t="str">
        <f>_xlfn.XLOOKUP(Deals[[#This Row],[CustomerID]],Customers!A:A,Customers!E:E)</f>
        <v>Non-Kuwaiti</v>
      </c>
      <c r="O1179" s="2">
        <f>2026-_xlfn.XLOOKUP(Deals[[#This Row],[CustomerID]],Customers!A:A,Customers!D:D)</f>
        <v>55</v>
      </c>
      <c r="P1179" s="2" t="str" cm="1">
        <f t="array" ref="P1179">_xlfn.IFS(Deals[[#This Row],[Age]]&lt;30,"Under 30",Deals[[#This Row],[Age]]&lt;45,"30-44",TRUE,"45+")</f>
        <v>45+</v>
      </c>
      <c r="Q1179" s="21">
        <f>IF(Deals[[#This Row],[Status]]="Pending","",Deals[[#This Row],[DecisionDate]]-Deals[[#This Row],[ApplicationDate]])</f>
        <v>1</v>
      </c>
      <c r="R1179" s="21">
        <f>IF(Deals[[#This Row],[Status]]="Approved",1,0)</f>
        <v>1</v>
      </c>
      <c r="S1179" s="21">
        <f>IF(Deals[[#This Row],[IsApproved]]=1,Deals[[#This Row],[Amount]],0)</f>
        <v>5100</v>
      </c>
      <c r="T1179" s="21">
        <f>Deals[[#This Row],[ApprovedAmount]]*Deals[[#This Row],[ProfitRate]]</f>
        <v>222.35999999999999</v>
      </c>
    </row>
    <row r="1180" spans="1:20">
      <c r="A1180" s="2" t="s">
        <v>1963</v>
      </c>
      <c r="B1180" s="3">
        <v>46273</v>
      </c>
      <c r="C1180" s="2" t="s">
        <v>1964</v>
      </c>
      <c r="D1180" s="2" t="s">
        <v>14</v>
      </c>
      <c r="E1180" s="2" t="s">
        <v>30</v>
      </c>
      <c r="F1180" s="2" t="s">
        <v>55</v>
      </c>
      <c r="G1180" s="4">
        <v>11200</v>
      </c>
      <c r="H1180" s="5">
        <v>4.7800000000000002E-2</v>
      </c>
      <c r="I1180" s="2">
        <v>48</v>
      </c>
      <c r="J1180" s="2" t="s">
        <v>16</v>
      </c>
      <c r="K1180" s="2" t="s">
        <v>17</v>
      </c>
      <c r="L1180" s="3">
        <v>46277</v>
      </c>
      <c r="M1180" s="2" t="str">
        <f>_xlfn.XLOOKUP(Deals[[#This Row],[CustomerID]],Customers!A:A,Customers!F:F)</f>
        <v>Affluent</v>
      </c>
      <c r="N1180" s="2" t="str">
        <f>_xlfn.XLOOKUP(Deals[[#This Row],[CustomerID]],Customers!A:A,Customers!E:E)</f>
        <v>Non-Kuwaiti</v>
      </c>
      <c r="O1180" s="2">
        <f>2026-_xlfn.XLOOKUP(Deals[[#This Row],[CustomerID]],Customers!A:A,Customers!D:D)</f>
        <v>27</v>
      </c>
      <c r="P1180" s="2" t="str" cm="1">
        <f t="array" ref="P1180">_xlfn.IFS(Deals[[#This Row],[Age]]&lt;30,"Under 30",Deals[[#This Row],[Age]]&lt;45,"30-44",TRUE,"45+")</f>
        <v>Under 30</v>
      </c>
      <c r="Q1180" s="21">
        <f>IF(Deals[[#This Row],[Status]]="Pending","",Deals[[#This Row],[DecisionDate]]-Deals[[#This Row],[ApplicationDate]])</f>
        <v>4</v>
      </c>
      <c r="R1180" s="21">
        <f>IF(Deals[[#This Row],[Status]]="Approved",1,0)</f>
        <v>1</v>
      </c>
      <c r="S1180" s="21">
        <f>IF(Deals[[#This Row],[IsApproved]]=1,Deals[[#This Row],[Amount]],0)</f>
        <v>11200</v>
      </c>
      <c r="T1180" s="21">
        <f>Deals[[#This Row],[ApprovedAmount]]*Deals[[#This Row],[ProfitRate]]</f>
        <v>535.36</v>
      </c>
    </row>
    <row r="1181" spans="1:20">
      <c r="A1181" s="2" t="s">
        <v>1965</v>
      </c>
      <c r="B1181" s="3">
        <v>46273</v>
      </c>
      <c r="C1181" s="2" t="s">
        <v>1493</v>
      </c>
      <c r="D1181" s="2" t="s">
        <v>20</v>
      </c>
      <c r="E1181" s="2" t="s">
        <v>15</v>
      </c>
      <c r="F1181" s="2" t="s">
        <v>31</v>
      </c>
      <c r="G1181" s="4">
        <v>22000</v>
      </c>
      <c r="H1181" s="5">
        <v>6.59E-2</v>
      </c>
      <c r="I1181" s="2">
        <v>60</v>
      </c>
      <c r="J1181" s="2" t="s">
        <v>44</v>
      </c>
      <c r="K1181" s="2" t="s">
        <v>1916</v>
      </c>
      <c r="L1181" s="2"/>
      <c r="M1181" s="2" t="str">
        <f>_xlfn.XLOOKUP(Deals[[#This Row],[CustomerID]],Customers!A:A,Customers!F:F)</f>
        <v>Mass</v>
      </c>
      <c r="N1181" s="2" t="str">
        <f>_xlfn.XLOOKUP(Deals[[#This Row],[CustomerID]],Customers!A:A,Customers!E:E)</f>
        <v>Kuwaiti</v>
      </c>
      <c r="O1181" s="2">
        <f>2026-_xlfn.XLOOKUP(Deals[[#This Row],[CustomerID]],Customers!A:A,Customers!D:D)</f>
        <v>34</v>
      </c>
      <c r="P1181" s="2" t="str" cm="1">
        <f t="array" ref="P1181">_xlfn.IFS(Deals[[#This Row],[Age]]&lt;30,"Under 30",Deals[[#This Row],[Age]]&lt;45,"30-44",TRUE,"45+")</f>
        <v>30-44</v>
      </c>
      <c r="Q1181" s="21" t="str">
        <f>IF(Deals[[#This Row],[Status]]="Pending","",Deals[[#This Row],[DecisionDate]]-Deals[[#This Row],[ApplicationDate]])</f>
        <v/>
      </c>
      <c r="R1181" s="21">
        <f>IF(Deals[[#This Row],[Status]]="Approved",1,0)</f>
        <v>0</v>
      </c>
      <c r="S1181" s="21">
        <f>IF(Deals[[#This Row],[IsApproved]]=1,Deals[[#This Row],[Amount]],0)</f>
        <v>0</v>
      </c>
      <c r="T1181" s="21">
        <f>Deals[[#This Row],[ApprovedAmount]]*Deals[[#This Row],[ProfitRate]]</f>
        <v>0</v>
      </c>
    </row>
    <row r="1182" spans="1:20">
      <c r="A1182" s="2" t="s">
        <v>1966</v>
      </c>
      <c r="B1182" s="3">
        <v>46273</v>
      </c>
      <c r="C1182" s="2" t="s">
        <v>1967</v>
      </c>
      <c r="D1182" s="2" t="s">
        <v>25</v>
      </c>
      <c r="E1182" s="2" t="s">
        <v>30</v>
      </c>
      <c r="F1182" s="2" t="s">
        <v>31</v>
      </c>
      <c r="G1182" s="4">
        <v>18000</v>
      </c>
      <c r="H1182" s="5">
        <v>4.36E-2</v>
      </c>
      <c r="I1182" s="2">
        <v>60</v>
      </c>
      <c r="J1182" s="2" t="s">
        <v>181</v>
      </c>
      <c r="K1182" s="2" t="s">
        <v>17</v>
      </c>
      <c r="L1182" s="3">
        <v>46274</v>
      </c>
      <c r="M1182" s="2" t="str">
        <f>_xlfn.XLOOKUP(Deals[[#This Row],[CustomerID]],Customers!A:A,Customers!F:F)</f>
        <v>Premium</v>
      </c>
      <c r="N1182" s="2" t="str">
        <f>_xlfn.XLOOKUP(Deals[[#This Row],[CustomerID]],Customers!A:A,Customers!E:E)</f>
        <v>Kuwaiti</v>
      </c>
      <c r="O1182" s="2">
        <f>2026-_xlfn.XLOOKUP(Deals[[#This Row],[CustomerID]],Customers!A:A,Customers!D:D)</f>
        <v>52</v>
      </c>
      <c r="P1182" s="2" t="str" cm="1">
        <f t="array" ref="P1182">_xlfn.IFS(Deals[[#This Row],[Age]]&lt;30,"Under 30",Deals[[#This Row],[Age]]&lt;45,"30-44",TRUE,"45+")</f>
        <v>45+</v>
      </c>
      <c r="Q1182" s="21">
        <f>IF(Deals[[#This Row],[Status]]="Pending","",Deals[[#This Row],[DecisionDate]]-Deals[[#This Row],[ApplicationDate]])</f>
        <v>1</v>
      </c>
      <c r="R1182" s="21">
        <f>IF(Deals[[#This Row],[Status]]="Approved",1,0)</f>
        <v>1</v>
      </c>
      <c r="S1182" s="21">
        <f>IF(Deals[[#This Row],[IsApproved]]=1,Deals[[#This Row],[Amount]],0)</f>
        <v>18000</v>
      </c>
      <c r="T1182" s="21">
        <f>Deals[[#This Row],[ApprovedAmount]]*Deals[[#This Row],[ProfitRate]]</f>
        <v>784.8</v>
      </c>
    </row>
    <row r="1183" spans="1:20">
      <c r="A1183" s="2" t="s">
        <v>1968</v>
      </c>
      <c r="B1183" s="3">
        <v>46273</v>
      </c>
      <c r="C1183" s="2" t="s">
        <v>607</v>
      </c>
      <c r="D1183" s="2" t="s">
        <v>14</v>
      </c>
      <c r="E1183" s="2" t="s">
        <v>30</v>
      </c>
      <c r="F1183" s="2" t="s">
        <v>3</v>
      </c>
      <c r="G1183" s="4">
        <v>14800</v>
      </c>
      <c r="H1183" s="5">
        <v>3.6900000000000002E-2</v>
      </c>
      <c r="I1183" s="2">
        <v>48</v>
      </c>
      <c r="J1183" s="2" t="s">
        <v>40</v>
      </c>
      <c r="K1183" s="2" t="s">
        <v>1916</v>
      </c>
      <c r="L1183" s="2"/>
      <c r="M1183" s="2" t="str">
        <f>_xlfn.XLOOKUP(Deals[[#This Row],[CustomerID]],Customers!A:A,Customers!F:F)</f>
        <v>Mass</v>
      </c>
      <c r="N1183" s="2" t="str">
        <f>_xlfn.XLOOKUP(Deals[[#This Row],[CustomerID]],Customers!A:A,Customers!E:E)</f>
        <v>Kuwaiti</v>
      </c>
      <c r="O1183" s="2">
        <f>2026-_xlfn.XLOOKUP(Deals[[#This Row],[CustomerID]],Customers!A:A,Customers!D:D)</f>
        <v>34</v>
      </c>
      <c r="P1183" s="2" t="str" cm="1">
        <f t="array" ref="P1183">_xlfn.IFS(Deals[[#This Row],[Age]]&lt;30,"Under 30",Deals[[#This Row],[Age]]&lt;45,"30-44",TRUE,"45+")</f>
        <v>30-44</v>
      </c>
      <c r="Q1183" s="21" t="str">
        <f>IF(Deals[[#This Row],[Status]]="Pending","",Deals[[#This Row],[DecisionDate]]-Deals[[#This Row],[ApplicationDate]])</f>
        <v/>
      </c>
      <c r="R1183" s="21">
        <f>IF(Deals[[#This Row],[Status]]="Approved",1,0)</f>
        <v>0</v>
      </c>
      <c r="S1183" s="21">
        <f>IF(Deals[[#This Row],[IsApproved]]=1,Deals[[#This Row],[Amount]],0)</f>
        <v>0</v>
      </c>
      <c r="T1183" s="21">
        <f>Deals[[#This Row],[ApprovedAmount]]*Deals[[#This Row],[ProfitRate]]</f>
        <v>0</v>
      </c>
    </row>
    <row r="1184" spans="1:20">
      <c r="A1184" s="2" t="s">
        <v>1969</v>
      </c>
      <c r="B1184" s="3">
        <v>46273</v>
      </c>
      <c r="C1184" s="2" t="s">
        <v>337</v>
      </c>
      <c r="D1184" s="2" t="s">
        <v>20</v>
      </c>
      <c r="E1184" s="2" t="s">
        <v>21</v>
      </c>
      <c r="F1184" s="2" t="s">
        <v>3</v>
      </c>
      <c r="G1184" s="4">
        <v>117000</v>
      </c>
      <c r="H1184" s="5">
        <v>3.9300000000000002E-2</v>
      </c>
      <c r="I1184" s="2">
        <v>300</v>
      </c>
      <c r="J1184" s="2" t="s">
        <v>22</v>
      </c>
      <c r="K1184" s="2" t="s">
        <v>17</v>
      </c>
      <c r="L1184" s="3">
        <v>46294</v>
      </c>
      <c r="M1184" s="2" t="str">
        <f>_xlfn.XLOOKUP(Deals[[#This Row],[CustomerID]],Customers!A:A,Customers!F:F)</f>
        <v>Mass</v>
      </c>
      <c r="N1184" s="2" t="str">
        <f>_xlfn.XLOOKUP(Deals[[#This Row],[CustomerID]],Customers!A:A,Customers!E:E)</f>
        <v>Kuwaiti</v>
      </c>
      <c r="O1184" s="2">
        <f>2026-_xlfn.XLOOKUP(Deals[[#This Row],[CustomerID]],Customers!A:A,Customers!D:D)</f>
        <v>27</v>
      </c>
      <c r="P1184" s="2" t="str" cm="1">
        <f t="array" ref="P1184">_xlfn.IFS(Deals[[#This Row],[Age]]&lt;30,"Under 30",Deals[[#This Row],[Age]]&lt;45,"30-44",TRUE,"45+")</f>
        <v>Under 30</v>
      </c>
      <c r="Q1184" s="21">
        <f>IF(Deals[[#This Row],[Status]]="Pending","",Deals[[#This Row],[DecisionDate]]-Deals[[#This Row],[ApplicationDate]])</f>
        <v>21</v>
      </c>
      <c r="R1184" s="21">
        <f>IF(Deals[[#This Row],[Status]]="Approved",1,0)</f>
        <v>1</v>
      </c>
      <c r="S1184" s="21">
        <f>IF(Deals[[#This Row],[IsApproved]]=1,Deals[[#This Row],[Amount]],0)</f>
        <v>117000</v>
      </c>
      <c r="T1184" s="21">
        <f>Deals[[#This Row],[ApprovedAmount]]*Deals[[#This Row],[ProfitRate]]</f>
        <v>4598.1000000000004</v>
      </c>
    </row>
    <row r="1185" spans="1:20">
      <c r="A1185" s="2" t="s">
        <v>1970</v>
      </c>
      <c r="B1185" s="3">
        <v>46273</v>
      </c>
      <c r="C1185" s="2" t="s">
        <v>571</v>
      </c>
      <c r="D1185" s="2" t="s">
        <v>20</v>
      </c>
      <c r="E1185" s="2" t="s">
        <v>43</v>
      </c>
      <c r="F1185" s="2" t="s">
        <v>31</v>
      </c>
      <c r="G1185" s="4">
        <v>131500</v>
      </c>
      <c r="H1185" s="5">
        <v>7.1900000000000006E-2</v>
      </c>
      <c r="I1185" s="2">
        <v>60</v>
      </c>
      <c r="J1185" s="2" t="s">
        <v>44</v>
      </c>
      <c r="K1185" s="2" t="s">
        <v>17</v>
      </c>
      <c r="L1185" s="3">
        <v>46291</v>
      </c>
      <c r="M1185" s="2" t="str">
        <f>_xlfn.XLOOKUP(Deals[[#This Row],[CustomerID]],Customers!A:A,Customers!F:F)</f>
        <v>Mass</v>
      </c>
      <c r="N1185" s="2" t="str">
        <f>_xlfn.XLOOKUP(Deals[[#This Row],[CustomerID]],Customers!A:A,Customers!E:E)</f>
        <v>Non-Kuwaiti</v>
      </c>
      <c r="O1185" s="2">
        <f>2026-_xlfn.XLOOKUP(Deals[[#This Row],[CustomerID]],Customers!A:A,Customers!D:D)</f>
        <v>69</v>
      </c>
      <c r="P1185" s="2" t="str" cm="1">
        <f t="array" ref="P1185">_xlfn.IFS(Deals[[#This Row],[Age]]&lt;30,"Under 30",Deals[[#This Row],[Age]]&lt;45,"30-44",TRUE,"45+")</f>
        <v>45+</v>
      </c>
      <c r="Q1185" s="21">
        <f>IF(Deals[[#This Row],[Status]]="Pending","",Deals[[#This Row],[DecisionDate]]-Deals[[#This Row],[ApplicationDate]])</f>
        <v>18</v>
      </c>
      <c r="R1185" s="21">
        <f>IF(Deals[[#This Row],[Status]]="Approved",1,0)</f>
        <v>1</v>
      </c>
      <c r="S1185" s="21">
        <f>IF(Deals[[#This Row],[IsApproved]]=1,Deals[[#This Row],[Amount]],0)</f>
        <v>131500</v>
      </c>
      <c r="T1185" s="21">
        <f>Deals[[#This Row],[ApprovedAmount]]*Deals[[#This Row],[ProfitRate]]</f>
        <v>9454.85</v>
      </c>
    </row>
    <row r="1186" spans="1:20">
      <c r="A1186" s="2" t="s">
        <v>1971</v>
      </c>
      <c r="B1186" s="3">
        <v>46274</v>
      </c>
      <c r="C1186" s="2" t="s">
        <v>896</v>
      </c>
      <c r="D1186" s="2" t="s">
        <v>25</v>
      </c>
      <c r="E1186" s="2" t="s">
        <v>15</v>
      </c>
      <c r="F1186" s="2" t="s">
        <v>31</v>
      </c>
      <c r="G1186" s="4">
        <v>18700</v>
      </c>
      <c r="H1186" s="5">
        <v>6.8000000000000005E-2</v>
      </c>
      <c r="I1186" s="2">
        <v>24</v>
      </c>
      <c r="J1186" s="2" t="s">
        <v>181</v>
      </c>
      <c r="K1186" s="2" t="s">
        <v>17</v>
      </c>
      <c r="L1186" s="3">
        <v>46274</v>
      </c>
      <c r="M1186" s="2" t="str">
        <f>_xlfn.XLOOKUP(Deals[[#This Row],[CustomerID]],Customers!A:A,Customers!F:F)</f>
        <v>Affluent</v>
      </c>
      <c r="N1186" s="2" t="str">
        <f>_xlfn.XLOOKUP(Deals[[#This Row],[CustomerID]],Customers!A:A,Customers!E:E)</f>
        <v>Kuwaiti</v>
      </c>
      <c r="O1186" s="2">
        <f>2026-_xlfn.XLOOKUP(Deals[[#This Row],[CustomerID]],Customers!A:A,Customers!D:D)</f>
        <v>68</v>
      </c>
      <c r="P1186" s="2" t="str" cm="1">
        <f t="array" ref="P1186">_xlfn.IFS(Deals[[#This Row],[Age]]&lt;30,"Under 30",Deals[[#This Row],[Age]]&lt;45,"30-44",TRUE,"45+")</f>
        <v>45+</v>
      </c>
      <c r="Q1186" s="21">
        <f>IF(Deals[[#This Row],[Status]]="Pending","",Deals[[#This Row],[DecisionDate]]-Deals[[#This Row],[ApplicationDate]])</f>
        <v>0</v>
      </c>
      <c r="R1186" s="21">
        <f>IF(Deals[[#This Row],[Status]]="Approved",1,0)</f>
        <v>1</v>
      </c>
      <c r="S1186" s="21">
        <f>IF(Deals[[#This Row],[IsApproved]]=1,Deals[[#This Row],[Amount]],0)</f>
        <v>18700</v>
      </c>
      <c r="T1186" s="21">
        <f>Deals[[#This Row],[ApprovedAmount]]*Deals[[#This Row],[ProfitRate]]</f>
        <v>1271.6000000000001</v>
      </c>
    </row>
    <row r="1187" spans="1:20">
      <c r="A1187" s="2" t="s">
        <v>1972</v>
      </c>
      <c r="B1187" s="3">
        <v>46274</v>
      </c>
      <c r="C1187" s="2" t="s">
        <v>443</v>
      </c>
      <c r="D1187" s="2" t="s">
        <v>25</v>
      </c>
      <c r="E1187" s="2" t="s">
        <v>30</v>
      </c>
      <c r="F1187" s="2" t="s">
        <v>31</v>
      </c>
      <c r="G1187" s="4">
        <v>9800</v>
      </c>
      <c r="H1187" s="5">
        <v>3.95E-2</v>
      </c>
      <c r="I1187" s="2">
        <v>36</v>
      </c>
      <c r="J1187" s="2" t="s">
        <v>26</v>
      </c>
      <c r="K1187" s="2" t="s">
        <v>17</v>
      </c>
      <c r="L1187" s="3">
        <v>46275</v>
      </c>
      <c r="M1187" s="2" t="str">
        <f>_xlfn.XLOOKUP(Deals[[#This Row],[CustomerID]],Customers!A:A,Customers!F:F)</f>
        <v>Affluent</v>
      </c>
      <c r="N1187" s="2" t="str">
        <f>_xlfn.XLOOKUP(Deals[[#This Row],[CustomerID]],Customers!A:A,Customers!E:E)</f>
        <v>Kuwaiti</v>
      </c>
      <c r="O1187" s="2">
        <f>2026-_xlfn.XLOOKUP(Deals[[#This Row],[CustomerID]],Customers!A:A,Customers!D:D)</f>
        <v>52</v>
      </c>
      <c r="P1187" s="2" t="str" cm="1">
        <f t="array" ref="P1187">_xlfn.IFS(Deals[[#This Row],[Age]]&lt;30,"Under 30",Deals[[#This Row],[Age]]&lt;45,"30-44",TRUE,"45+")</f>
        <v>45+</v>
      </c>
      <c r="Q1187" s="21">
        <f>IF(Deals[[#This Row],[Status]]="Pending","",Deals[[#This Row],[DecisionDate]]-Deals[[#This Row],[ApplicationDate]])</f>
        <v>1</v>
      </c>
      <c r="R1187" s="21">
        <f>IF(Deals[[#This Row],[Status]]="Approved",1,0)</f>
        <v>1</v>
      </c>
      <c r="S1187" s="21">
        <f>IF(Deals[[#This Row],[IsApproved]]=1,Deals[[#This Row],[Amount]],0)</f>
        <v>9800</v>
      </c>
      <c r="T1187" s="21">
        <f>Deals[[#This Row],[ApprovedAmount]]*Deals[[#This Row],[ProfitRate]]</f>
        <v>387.1</v>
      </c>
    </row>
    <row r="1188" spans="1:20">
      <c r="A1188" s="2" t="s">
        <v>1973</v>
      </c>
      <c r="B1188" s="3">
        <v>46275</v>
      </c>
      <c r="C1188" s="2" t="s">
        <v>1213</v>
      </c>
      <c r="D1188" s="2" t="s">
        <v>54</v>
      </c>
      <c r="E1188" s="2" t="s">
        <v>15</v>
      </c>
      <c r="F1188" s="2" t="s">
        <v>31</v>
      </c>
      <c r="G1188" s="4">
        <v>9100</v>
      </c>
      <c r="H1188" s="5">
        <v>6.8500000000000005E-2</v>
      </c>
      <c r="I1188" s="2">
        <v>12</v>
      </c>
      <c r="J1188" s="2" t="s">
        <v>56</v>
      </c>
      <c r="K1188" s="2" t="s">
        <v>17</v>
      </c>
      <c r="L1188" s="3">
        <v>46278</v>
      </c>
      <c r="M1188" s="2" t="str">
        <f>_xlfn.XLOOKUP(Deals[[#This Row],[CustomerID]],Customers!A:A,Customers!F:F)</f>
        <v>Premium</v>
      </c>
      <c r="N1188" s="2" t="str">
        <f>_xlfn.XLOOKUP(Deals[[#This Row],[CustomerID]],Customers!A:A,Customers!E:E)</f>
        <v>Non-Kuwaiti</v>
      </c>
      <c r="O1188" s="2">
        <f>2026-_xlfn.XLOOKUP(Deals[[#This Row],[CustomerID]],Customers!A:A,Customers!D:D)</f>
        <v>66</v>
      </c>
      <c r="P1188" s="2" t="str" cm="1">
        <f t="array" ref="P1188">_xlfn.IFS(Deals[[#This Row],[Age]]&lt;30,"Under 30",Deals[[#This Row],[Age]]&lt;45,"30-44",TRUE,"45+")</f>
        <v>45+</v>
      </c>
      <c r="Q1188" s="21">
        <f>IF(Deals[[#This Row],[Status]]="Pending","",Deals[[#This Row],[DecisionDate]]-Deals[[#This Row],[ApplicationDate]])</f>
        <v>3</v>
      </c>
      <c r="R1188" s="21">
        <f>IF(Deals[[#This Row],[Status]]="Approved",1,0)</f>
        <v>1</v>
      </c>
      <c r="S1188" s="21">
        <f>IF(Deals[[#This Row],[IsApproved]]=1,Deals[[#This Row],[Amount]],0)</f>
        <v>9100</v>
      </c>
      <c r="T1188" s="21">
        <f>Deals[[#This Row],[ApprovedAmount]]*Deals[[#This Row],[ProfitRate]]</f>
        <v>623.35</v>
      </c>
    </row>
    <row r="1189" spans="1:20">
      <c r="A1189" s="2" t="s">
        <v>1974</v>
      </c>
      <c r="B1189" s="3">
        <v>46275</v>
      </c>
      <c r="C1189" s="2" t="s">
        <v>746</v>
      </c>
      <c r="D1189" s="2" t="s">
        <v>71</v>
      </c>
      <c r="E1189" s="2" t="s">
        <v>15</v>
      </c>
      <c r="F1189" s="2" t="s">
        <v>3</v>
      </c>
      <c r="G1189" s="4">
        <v>5900</v>
      </c>
      <c r="H1189" s="5">
        <v>6.7400000000000002E-2</v>
      </c>
      <c r="I1189" s="2">
        <v>12</v>
      </c>
      <c r="J1189" s="2" t="s">
        <v>101</v>
      </c>
      <c r="K1189" s="2" t="s">
        <v>17</v>
      </c>
      <c r="L1189" s="3">
        <v>46281</v>
      </c>
      <c r="M1189" s="2" t="str">
        <f>_xlfn.XLOOKUP(Deals[[#This Row],[CustomerID]],Customers!A:A,Customers!F:F)</f>
        <v>Mass</v>
      </c>
      <c r="N1189" s="2" t="str">
        <f>_xlfn.XLOOKUP(Deals[[#This Row],[CustomerID]],Customers!A:A,Customers!E:E)</f>
        <v>Kuwaiti</v>
      </c>
      <c r="O1189" s="2">
        <f>2026-_xlfn.XLOOKUP(Deals[[#This Row],[CustomerID]],Customers!A:A,Customers!D:D)</f>
        <v>40</v>
      </c>
      <c r="P1189" s="2" t="str" cm="1">
        <f t="array" ref="P1189">_xlfn.IFS(Deals[[#This Row],[Age]]&lt;30,"Under 30",Deals[[#This Row],[Age]]&lt;45,"30-44",TRUE,"45+")</f>
        <v>30-44</v>
      </c>
      <c r="Q1189" s="21">
        <f>IF(Deals[[#This Row],[Status]]="Pending","",Deals[[#This Row],[DecisionDate]]-Deals[[#This Row],[ApplicationDate]])</f>
        <v>6</v>
      </c>
      <c r="R1189" s="21">
        <f>IF(Deals[[#This Row],[Status]]="Approved",1,0)</f>
        <v>1</v>
      </c>
      <c r="S1189" s="21">
        <f>IF(Deals[[#This Row],[IsApproved]]=1,Deals[[#This Row],[Amount]],0)</f>
        <v>5900</v>
      </c>
      <c r="T1189" s="21">
        <f>Deals[[#This Row],[ApprovedAmount]]*Deals[[#This Row],[ProfitRate]]</f>
        <v>397.66</v>
      </c>
    </row>
    <row r="1190" spans="1:20">
      <c r="A1190" s="2" t="s">
        <v>1975</v>
      </c>
      <c r="B1190" s="3">
        <v>46275</v>
      </c>
      <c r="C1190" s="2" t="s">
        <v>70</v>
      </c>
      <c r="D1190" s="2" t="s">
        <v>54</v>
      </c>
      <c r="E1190" s="2" t="s">
        <v>43</v>
      </c>
      <c r="F1190" s="2" t="s">
        <v>3</v>
      </c>
      <c r="G1190" s="4">
        <v>132200</v>
      </c>
      <c r="H1190" s="5">
        <v>5.8299999999999998E-2</v>
      </c>
      <c r="I1190" s="2">
        <v>36</v>
      </c>
      <c r="J1190" s="2" t="s">
        <v>56</v>
      </c>
      <c r="K1190" s="2" t="s">
        <v>45</v>
      </c>
      <c r="L1190" s="3">
        <v>46285</v>
      </c>
      <c r="M1190" s="2" t="str">
        <f>_xlfn.XLOOKUP(Deals[[#This Row],[CustomerID]],Customers!A:A,Customers!F:F)</f>
        <v>Mass</v>
      </c>
      <c r="N1190" s="2" t="str">
        <f>_xlfn.XLOOKUP(Deals[[#This Row],[CustomerID]],Customers!A:A,Customers!E:E)</f>
        <v>Kuwaiti</v>
      </c>
      <c r="O1190" s="2">
        <f>2026-_xlfn.XLOOKUP(Deals[[#This Row],[CustomerID]],Customers!A:A,Customers!D:D)</f>
        <v>49</v>
      </c>
      <c r="P1190" s="2" t="str" cm="1">
        <f t="array" ref="P1190">_xlfn.IFS(Deals[[#This Row],[Age]]&lt;30,"Under 30",Deals[[#This Row],[Age]]&lt;45,"30-44",TRUE,"45+")</f>
        <v>45+</v>
      </c>
      <c r="Q1190" s="21">
        <f>IF(Deals[[#This Row],[Status]]="Pending","",Deals[[#This Row],[DecisionDate]]-Deals[[#This Row],[ApplicationDate]])</f>
        <v>10</v>
      </c>
      <c r="R1190" s="21">
        <f>IF(Deals[[#This Row],[Status]]="Approved",1,0)</f>
        <v>0</v>
      </c>
      <c r="S1190" s="21">
        <f>IF(Deals[[#This Row],[IsApproved]]=1,Deals[[#This Row],[Amount]],0)</f>
        <v>0</v>
      </c>
      <c r="T1190" s="21">
        <f>Deals[[#This Row],[ApprovedAmount]]*Deals[[#This Row],[ProfitRate]]</f>
        <v>0</v>
      </c>
    </row>
    <row r="1191" spans="1:20">
      <c r="A1191" s="2" t="s">
        <v>1976</v>
      </c>
      <c r="B1191" s="3">
        <v>46275</v>
      </c>
      <c r="C1191" s="2" t="s">
        <v>1055</v>
      </c>
      <c r="D1191" s="2" t="s">
        <v>25</v>
      </c>
      <c r="E1191" s="2" t="s">
        <v>43</v>
      </c>
      <c r="F1191" s="2" t="s">
        <v>31</v>
      </c>
      <c r="G1191" s="4">
        <v>106100</v>
      </c>
      <c r="H1191" s="5">
        <v>5.9200000000000003E-2</v>
      </c>
      <c r="I1191" s="2">
        <v>24</v>
      </c>
      <c r="J1191" s="2" t="s">
        <v>66</v>
      </c>
      <c r="K1191" s="2" t="s">
        <v>1916</v>
      </c>
      <c r="L1191" s="2"/>
      <c r="M1191" s="2" t="str">
        <f>_xlfn.XLOOKUP(Deals[[#This Row],[CustomerID]],Customers!A:A,Customers!F:F)</f>
        <v>Mass</v>
      </c>
      <c r="N1191" s="2" t="str">
        <f>_xlfn.XLOOKUP(Deals[[#This Row],[CustomerID]],Customers!A:A,Customers!E:E)</f>
        <v>Kuwaiti</v>
      </c>
      <c r="O1191" s="2">
        <f>2026-_xlfn.XLOOKUP(Deals[[#This Row],[CustomerID]],Customers!A:A,Customers!D:D)</f>
        <v>36</v>
      </c>
      <c r="P1191" s="2" t="str" cm="1">
        <f t="array" ref="P1191">_xlfn.IFS(Deals[[#This Row],[Age]]&lt;30,"Under 30",Deals[[#This Row],[Age]]&lt;45,"30-44",TRUE,"45+")</f>
        <v>30-44</v>
      </c>
      <c r="Q1191" s="21" t="str">
        <f>IF(Deals[[#This Row],[Status]]="Pending","",Deals[[#This Row],[DecisionDate]]-Deals[[#This Row],[ApplicationDate]])</f>
        <v/>
      </c>
      <c r="R1191" s="21">
        <f>IF(Deals[[#This Row],[Status]]="Approved",1,0)</f>
        <v>0</v>
      </c>
      <c r="S1191" s="21">
        <f>IF(Deals[[#This Row],[IsApproved]]=1,Deals[[#This Row],[Amount]],0)</f>
        <v>0</v>
      </c>
      <c r="T1191" s="21">
        <f>Deals[[#This Row],[ApprovedAmount]]*Deals[[#This Row],[ProfitRate]]</f>
        <v>0</v>
      </c>
    </row>
    <row r="1192" spans="1:20">
      <c r="A1192" s="2" t="s">
        <v>1977</v>
      </c>
      <c r="B1192" s="3">
        <v>46275</v>
      </c>
      <c r="C1192" s="2" t="s">
        <v>425</v>
      </c>
      <c r="D1192" s="2" t="s">
        <v>54</v>
      </c>
      <c r="E1192" s="2" t="s">
        <v>30</v>
      </c>
      <c r="F1192" s="2" t="s">
        <v>3</v>
      </c>
      <c r="G1192" s="4">
        <v>7200</v>
      </c>
      <c r="H1192" s="5">
        <v>4.6800000000000001E-2</v>
      </c>
      <c r="I1192" s="2">
        <v>60</v>
      </c>
      <c r="J1192" s="2" t="s">
        <v>186</v>
      </c>
      <c r="K1192" s="2" t="s">
        <v>45</v>
      </c>
      <c r="L1192" s="3">
        <v>46276</v>
      </c>
      <c r="M1192" s="2" t="str">
        <f>_xlfn.XLOOKUP(Deals[[#This Row],[CustomerID]],Customers!A:A,Customers!F:F)</f>
        <v>Mass</v>
      </c>
      <c r="N1192" s="2" t="str">
        <f>_xlfn.XLOOKUP(Deals[[#This Row],[CustomerID]],Customers!A:A,Customers!E:E)</f>
        <v>Non-Kuwaiti</v>
      </c>
      <c r="O1192" s="2">
        <f>2026-_xlfn.XLOOKUP(Deals[[#This Row],[CustomerID]],Customers!A:A,Customers!D:D)</f>
        <v>28</v>
      </c>
      <c r="P1192" s="2" t="str" cm="1">
        <f t="array" ref="P1192">_xlfn.IFS(Deals[[#This Row],[Age]]&lt;30,"Under 30",Deals[[#This Row],[Age]]&lt;45,"30-44",TRUE,"45+")</f>
        <v>Under 30</v>
      </c>
      <c r="Q1192" s="21">
        <f>IF(Deals[[#This Row],[Status]]="Pending","",Deals[[#This Row],[DecisionDate]]-Deals[[#This Row],[ApplicationDate]])</f>
        <v>1</v>
      </c>
      <c r="R1192" s="21">
        <f>IF(Deals[[#This Row],[Status]]="Approved",1,0)</f>
        <v>0</v>
      </c>
      <c r="S1192" s="21">
        <f>IF(Deals[[#This Row],[IsApproved]]=1,Deals[[#This Row],[Amount]],0)</f>
        <v>0</v>
      </c>
      <c r="T1192" s="21">
        <f>Deals[[#This Row],[ApprovedAmount]]*Deals[[#This Row],[ProfitRate]]</f>
        <v>0</v>
      </c>
    </row>
    <row r="1193" spans="1:20">
      <c r="A1193" s="2" t="s">
        <v>1978</v>
      </c>
      <c r="B1193" s="3">
        <v>46275</v>
      </c>
      <c r="C1193" s="2" t="s">
        <v>274</v>
      </c>
      <c r="D1193" s="2" t="s">
        <v>29</v>
      </c>
      <c r="E1193" s="2" t="s">
        <v>43</v>
      </c>
      <c r="F1193" s="2" t="s">
        <v>31</v>
      </c>
      <c r="G1193" s="4">
        <v>123900</v>
      </c>
      <c r="H1193" s="5">
        <v>7.0699999999999999E-2</v>
      </c>
      <c r="I1193" s="2">
        <v>36</v>
      </c>
      <c r="J1193" s="2" t="s">
        <v>123</v>
      </c>
      <c r="K1193" s="2" t="s">
        <v>17</v>
      </c>
      <c r="L1193" s="3">
        <v>46294</v>
      </c>
      <c r="M1193" s="2" t="str">
        <f>_xlfn.XLOOKUP(Deals[[#This Row],[CustomerID]],Customers!A:A,Customers!F:F)</f>
        <v>Mass</v>
      </c>
      <c r="N1193" s="2" t="str">
        <f>_xlfn.XLOOKUP(Deals[[#This Row],[CustomerID]],Customers!A:A,Customers!E:E)</f>
        <v>Kuwaiti</v>
      </c>
      <c r="O1193" s="2">
        <f>2026-_xlfn.XLOOKUP(Deals[[#This Row],[CustomerID]],Customers!A:A,Customers!D:D)</f>
        <v>53</v>
      </c>
      <c r="P1193" s="2" t="str" cm="1">
        <f t="array" ref="P1193">_xlfn.IFS(Deals[[#This Row],[Age]]&lt;30,"Under 30",Deals[[#This Row],[Age]]&lt;45,"30-44",TRUE,"45+")</f>
        <v>45+</v>
      </c>
      <c r="Q1193" s="21">
        <f>IF(Deals[[#This Row],[Status]]="Pending","",Deals[[#This Row],[DecisionDate]]-Deals[[#This Row],[ApplicationDate]])</f>
        <v>19</v>
      </c>
      <c r="R1193" s="21">
        <f>IF(Deals[[#This Row],[Status]]="Approved",1,0)</f>
        <v>1</v>
      </c>
      <c r="S1193" s="21">
        <f>IF(Deals[[#This Row],[IsApproved]]=1,Deals[[#This Row],[Amount]],0)</f>
        <v>123900</v>
      </c>
      <c r="T1193" s="21">
        <f>Deals[[#This Row],[ApprovedAmount]]*Deals[[#This Row],[ProfitRate]]</f>
        <v>8759.73</v>
      </c>
    </row>
    <row r="1194" spans="1:20">
      <c r="A1194" s="2" t="s">
        <v>1979</v>
      </c>
      <c r="B1194" s="3">
        <v>46275</v>
      </c>
      <c r="C1194" s="2" t="s">
        <v>264</v>
      </c>
      <c r="D1194" s="2" t="s">
        <v>25</v>
      </c>
      <c r="E1194" s="2" t="s">
        <v>30</v>
      </c>
      <c r="F1194" s="2" t="s">
        <v>3</v>
      </c>
      <c r="G1194" s="4">
        <v>7300</v>
      </c>
      <c r="H1194" s="5">
        <v>3.5200000000000002E-2</v>
      </c>
      <c r="I1194" s="2">
        <v>36</v>
      </c>
      <c r="J1194" s="2" t="s">
        <v>181</v>
      </c>
      <c r="K1194" s="2" t="s">
        <v>17</v>
      </c>
      <c r="L1194" s="3">
        <v>46276</v>
      </c>
      <c r="M1194" s="2" t="str">
        <f>_xlfn.XLOOKUP(Deals[[#This Row],[CustomerID]],Customers!A:A,Customers!F:F)</f>
        <v>Mass</v>
      </c>
      <c r="N1194" s="2" t="str">
        <f>_xlfn.XLOOKUP(Deals[[#This Row],[CustomerID]],Customers!A:A,Customers!E:E)</f>
        <v>Non-Kuwaiti</v>
      </c>
      <c r="O1194" s="2">
        <f>2026-_xlfn.XLOOKUP(Deals[[#This Row],[CustomerID]],Customers!A:A,Customers!D:D)</f>
        <v>29</v>
      </c>
      <c r="P1194" s="2" t="str" cm="1">
        <f t="array" ref="P1194">_xlfn.IFS(Deals[[#This Row],[Age]]&lt;30,"Under 30",Deals[[#This Row],[Age]]&lt;45,"30-44",TRUE,"45+")</f>
        <v>Under 30</v>
      </c>
      <c r="Q1194" s="21">
        <f>IF(Deals[[#This Row],[Status]]="Pending","",Deals[[#This Row],[DecisionDate]]-Deals[[#This Row],[ApplicationDate]])</f>
        <v>1</v>
      </c>
      <c r="R1194" s="21">
        <f>IF(Deals[[#This Row],[Status]]="Approved",1,0)</f>
        <v>1</v>
      </c>
      <c r="S1194" s="21">
        <f>IF(Deals[[#This Row],[IsApproved]]=1,Deals[[#This Row],[Amount]],0)</f>
        <v>7300</v>
      </c>
      <c r="T1194" s="21">
        <f>Deals[[#This Row],[ApprovedAmount]]*Deals[[#This Row],[ProfitRate]]</f>
        <v>256.96000000000004</v>
      </c>
    </row>
    <row r="1195" spans="1:20">
      <c r="A1195" s="2" t="s">
        <v>1980</v>
      </c>
      <c r="B1195" s="3">
        <v>46275</v>
      </c>
      <c r="C1195" s="2" t="s">
        <v>870</v>
      </c>
      <c r="D1195" s="2" t="s">
        <v>71</v>
      </c>
      <c r="E1195" s="2" t="s">
        <v>21</v>
      </c>
      <c r="F1195" s="2" t="s">
        <v>31</v>
      </c>
      <c r="G1195" s="4">
        <v>168200</v>
      </c>
      <c r="H1195" s="5">
        <v>3.5499999999999997E-2</v>
      </c>
      <c r="I1195" s="2">
        <v>120</v>
      </c>
      <c r="J1195" s="2" t="s">
        <v>72</v>
      </c>
      <c r="K1195" s="2" t="s">
        <v>17</v>
      </c>
      <c r="L1195" s="3">
        <v>46298</v>
      </c>
      <c r="M1195" s="2" t="str">
        <f>_xlfn.XLOOKUP(Deals[[#This Row],[CustomerID]],Customers!A:A,Customers!F:F)</f>
        <v>Mass</v>
      </c>
      <c r="N1195" s="2" t="str">
        <f>_xlfn.XLOOKUP(Deals[[#This Row],[CustomerID]],Customers!A:A,Customers!E:E)</f>
        <v>Non-Kuwaiti</v>
      </c>
      <c r="O1195" s="2">
        <f>2026-_xlfn.XLOOKUP(Deals[[#This Row],[CustomerID]],Customers!A:A,Customers!D:D)</f>
        <v>51</v>
      </c>
      <c r="P1195" s="2" t="str" cm="1">
        <f t="array" ref="P1195">_xlfn.IFS(Deals[[#This Row],[Age]]&lt;30,"Under 30",Deals[[#This Row],[Age]]&lt;45,"30-44",TRUE,"45+")</f>
        <v>45+</v>
      </c>
      <c r="Q1195" s="21">
        <f>IF(Deals[[#This Row],[Status]]="Pending","",Deals[[#This Row],[DecisionDate]]-Deals[[#This Row],[ApplicationDate]])</f>
        <v>23</v>
      </c>
      <c r="R1195" s="21">
        <f>IF(Deals[[#This Row],[Status]]="Approved",1,0)</f>
        <v>1</v>
      </c>
      <c r="S1195" s="21">
        <f>IF(Deals[[#This Row],[IsApproved]]=1,Deals[[#This Row],[Amount]],0)</f>
        <v>168200</v>
      </c>
      <c r="T1195" s="21">
        <f>Deals[[#This Row],[ApprovedAmount]]*Deals[[#This Row],[ProfitRate]]</f>
        <v>5971.0999999999995</v>
      </c>
    </row>
    <row r="1196" spans="1:20">
      <c r="A1196" s="2" t="s">
        <v>1981</v>
      </c>
      <c r="B1196" s="3">
        <v>46275</v>
      </c>
      <c r="C1196" s="2" t="s">
        <v>1982</v>
      </c>
      <c r="D1196" s="2" t="s">
        <v>20</v>
      </c>
      <c r="E1196" s="2" t="s">
        <v>43</v>
      </c>
      <c r="F1196" s="2" t="s">
        <v>31</v>
      </c>
      <c r="G1196" s="4">
        <v>20400</v>
      </c>
      <c r="H1196" s="5">
        <v>6.8599999999999994E-2</v>
      </c>
      <c r="I1196" s="2">
        <v>60</v>
      </c>
      <c r="J1196" s="2" t="s">
        <v>22</v>
      </c>
      <c r="K1196" s="2" t="s">
        <v>17</v>
      </c>
      <c r="L1196" s="3">
        <v>46286</v>
      </c>
      <c r="M1196" s="2" t="str">
        <f>_xlfn.XLOOKUP(Deals[[#This Row],[CustomerID]],Customers!A:A,Customers!F:F)</f>
        <v>Mass</v>
      </c>
      <c r="N1196" s="2" t="str">
        <f>_xlfn.XLOOKUP(Deals[[#This Row],[CustomerID]],Customers!A:A,Customers!E:E)</f>
        <v>Kuwaiti</v>
      </c>
      <c r="O1196" s="2">
        <f>2026-_xlfn.XLOOKUP(Deals[[#This Row],[CustomerID]],Customers!A:A,Customers!D:D)</f>
        <v>25</v>
      </c>
      <c r="P1196" s="2" t="str" cm="1">
        <f t="array" ref="P1196">_xlfn.IFS(Deals[[#This Row],[Age]]&lt;30,"Under 30",Deals[[#This Row],[Age]]&lt;45,"30-44",TRUE,"45+")</f>
        <v>Under 30</v>
      </c>
      <c r="Q1196" s="21">
        <f>IF(Deals[[#This Row],[Status]]="Pending","",Deals[[#This Row],[DecisionDate]]-Deals[[#This Row],[ApplicationDate]])</f>
        <v>11</v>
      </c>
      <c r="R1196" s="21">
        <f>IF(Deals[[#This Row],[Status]]="Approved",1,0)</f>
        <v>1</v>
      </c>
      <c r="S1196" s="21">
        <f>IF(Deals[[#This Row],[IsApproved]]=1,Deals[[#This Row],[Amount]],0)</f>
        <v>20400</v>
      </c>
      <c r="T1196" s="21">
        <f>Deals[[#This Row],[ApprovedAmount]]*Deals[[#This Row],[ProfitRate]]</f>
        <v>1399.4399999999998</v>
      </c>
    </row>
    <row r="1197" spans="1:20">
      <c r="A1197" s="2" t="s">
        <v>1983</v>
      </c>
      <c r="B1197" s="3">
        <v>46276</v>
      </c>
      <c r="C1197" s="2" t="s">
        <v>1593</v>
      </c>
      <c r="D1197" s="2" t="s">
        <v>20</v>
      </c>
      <c r="E1197" s="2" t="s">
        <v>43</v>
      </c>
      <c r="F1197" s="2" t="s">
        <v>31</v>
      </c>
      <c r="G1197" s="4">
        <v>65000</v>
      </c>
      <c r="H1197" s="5">
        <v>7.7299999999999994E-2</v>
      </c>
      <c r="I1197" s="2">
        <v>60</v>
      </c>
      <c r="J1197" s="2" t="s">
        <v>37</v>
      </c>
      <c r="K1197" s="2" t="s">
        <v>17</v>
      </c>
      <c r="L1197" s="3">
        <v>46286</v>
      </c>
      <c r="M1197" s="2" t="str">
        <f>_xlfn.XLOOKUP(Deals[[#This Row],[CustomerID]],Customers!A:A,Customers!F:F)</f>
        <v>Affluent</v>
      </c>
      <c r="N1197" s="2" t="str">
        <f>_xlfn.XLOOKUP(Deals[[#This Row],[CustomerID]],Customers!A:A,Customers!E:E)</f>
        <v>Kuwaiti</v>
      </c>
      <c r="O1197" s="2">
        <f>2026-_xlfn.XLOOKUP(Deals[[#This Row],[CustomerID]],Customers!A:A,Customers!D:D)</f>
        <v>29</v>
      </c>
      <c r="P1197" s="2" t="str" cm="1">
        <f t="array" ref="P1197">_xlfn.IFS(Deals[[#This Row],[Age]]&lt;30,"Under 30",Deals[[#This Row],[Age]]&lt;45,"30-44",TRUE,"45+")</f>
        <v>Under 30</v>
      </c>
      <c r="Q1197" s="21">
        <f>IF(Deals[[#This Row],[Status]]="Pending","",Deals[[#This Row],[DecisionDate]]-Deals[[#This Row],[ApplicationDate]])</f>
        <v>10</v>
      </c>
      <c r="R1197" s="21">
        <f>IF(Deals[[#This Row],[Status]]="Approved",1,0)</f>
        <v>1</v>
      </c>
      <c r="S1197" s="21">
        <f>IF(Deals[[#This Row],[IsApproved]]=1,Deals[[#This Row],[Amount]],0)</f>
        <v>65000</v>
      </c>
      <c r="T1197" s="21">
        <f>Deals[[#This Row],[ApprovedAmount]]*Deals[[#This Row],[ProfitRate]]</f>
        <v>5024.5</v>
      </c>
    </row>
    <row r="1198" spans="1:20">
      <c r="A1198" s="2" t="s">
        <v>1984</v>
      </c>
      <c r="B1198" s="3">
        <v>46276</v>
      </c>
      <c r="C1198" s="2" t="s">
        <v>1323</v>
      </c>
      <c r="D1198" s="2" t="s">
        <v>25</v>
      </c>
      <c r="E1198" s="2" t="s">
        <v>15</v>
      </c>
      <c r="F1198" s="2" t="s">
        <v>3</v>
      </c>
      <c r="G1198" s="4">
        <v>14000</v>
      </c>
      <c r="H1198" s="5">
        <v>5.5100000000000003E-2</v>
      </c>
      <c r="I1198" s="2">
        <v>60</v>
      </c>
      <c r="J1198" s="2" t="s">
        <v>26</v>
      </c>
      <c r="K1198" s="2" t="s">
        <v>17</v>
      </c>
      <c r="L1198" s="3">
        <v>46277</v>
      </c>
      <c r="M1198" s="2" t="str">
        <f>_xlfn.XLOOKUP(Deals[[#This Row],[CustomerID]],Customers!A:A,Customers!F:F)</f>
        <v>Mass</v>
      </c>
      <c r="N1198" s="2" t="str">
        <f>_xlfn.XLOOKUP(Deals[[#This Row],[CustomerID]],Customers!A:A,Customers!E:E)</f>
        <v>Kuwaiti</v>
      </c>
      <c r="O1198" s="2">
        <f>2026-_xlfn.XLOOKUP(Deals[[#This Row],[CustomerID]],Customers!A:A,Customers!D:D)</f>
        <v>54</v>
      </c>
      <c r="P1198" s="2" t="str" cm="1">
        <f t="array" ref="P1198">_xlfn.IFS(Deals[[#This Row],[Age]]&lt;30,"Under 30",Deals[[#This Row],[Age]]&lt;45,"30-44",TRUE,"45+")</f>
        <v>45+</v>
      </c>
      <c r="Q1198" s="21">
        <f>IF(Deals[[#This Row],[Status]]="Pending","",Deals[[#This Row],[DecisionDate]]-Deals[[#This Row],[ApplicationDate]])</f>
        <v>1</v>
      </c>
      <c r="R1198" s="21">
        <f>IF(Deals[[#This Row],[Status]]="Approved",1,0)</f>
        <v>1</v>
      </c>
      <c r="S1198" s="21">
        <f>IF(Deals[[#This Row],[IsApproved]]=1,Deals[[#This Row],[Amount]],0)</f>
        <v>14000</v>
      </c>
      <c r="T1198" s="21">
        <f>Deals[[#This Row],[ApprovedAmount]]*Deals[[#This Row],[ProfitRate]]</f>
        <v>771.40000000000009</v>
      </c>
    </row>
    <row r="1199" spans="1:20">
      <c r="A1199" s="2" t="s">
        <v>1985</v>
      </c>
      <c r="B1199" s="3">
        <v>46276</v>
      </c>
      <c r="C1199" s="2" t="s">
        <v>1986</v>
      </c>
      <c r="D1199" s="2" t="s">
        <v>29</v>
      </c>
      <c r="E1199" s="2" t="s">
        <v>21</v>
      </c>
      <c r="F1199" s="2" t="s">
        <v>55</v>
      </c>
      <c r="G1199" s="4">
        <v>186400</v>
      </c>
      <c r="H1199" s="5">
        <v>4.0899999999999999E-2</v>
      </c>
      <c r="I1199" s="2">
        <v>180</v>
      </c>
      <c r="J1199" s="2" t="s">
        <v>123</v>
      </c>
      <c r="K1199" s="2" t="s">
        <v>45</v>
      </c>
      <c r="L1199" s="3">
        <v>46297</v>
      </c>
      <c r="M1199" s="2" t="str">
        <f>_xlfn.XLOOKUP(Deals[[#This Row],[CustomerID]],Customers!A:A,Customers!F:F)</f>
        <v>Mass</v>
      </c>
      <c r="N1199" s="2" t="str">
        <f>_xlfn.XLOOKUP(Deals[[#This Row],[CustomerID]],Customers!A:A,Customers!E:E)</f>
        <v>Non-Kuwaiti</v>
      </c>
      <c r="O1199" s="2">
        <f>2026-_xlfn.XLOOKUP(Deals[[#This Row],[CustomerID]],Customers!A:A,Customers!D:D)</f>
        <v>30</v>
      </c>
      <c r="P1199" s="2" t="str" cm="1">
        <f t="array" ref="P1199">_xlfn.IFS(Deals[[#This Row],[Age]]&lt;30,"Under 30",Deals[[#This Row],[Age]]&lt;45,"30-44",TRUE,"45+")</f>
        <v>30-44</v>
      </c>
      <c r="Q1199" s="21">
        <f>IF(Deals[[#This Row],[Status]]="Pending","",Deals[[#This Row],[DecisionDate]]-Deals[[#This Row],[ApplicationDate]])</f>
        <v>21</v>
      </c>
      <c r="R1199" s="21">
        <f>IF(Deals[[#This Row],[Status]]="Approved",1,0)</f>
        <v>0</v>
      </c>
      <c r="S1199" s="21">
        <f>IF(Deals[[#This Row],[IsApproved]]=1,Deals[[#This Row],[Amount]],0)</f>
        <v>0</v>
      </c>
      <c r="T1199" s="21">
        <f>Deals[[#This Row],[ApprovedAmount]]*Deals[[#This Row],[ProfitRate]]</f>
        <v>0</v>
      </c>
    </row>
    <row r="1200" spans="1:20">
      <c r="A1200" s="2" t="s">
        <v>1987</v>
      </c>
      <c r="B1200" s="3">
        <v>46276</v>
      </c>
      <c r="C1200" s="2" t="s">
        <v>1988</v>
      </c>
      <c r="D1200" s="2" t="s">
        <v>71</v>
      </c>
      <c r="E1200" s="2" t="s">
        <v>30</v>
      </c>
      <c r="F1200" s="2" t="s">
        <v>3</v>
      </c>
      <c r="G1200" s="4">
        <v>6100</v>
      </c>
      <c r="H1200" s="5">
        <v>4.8099999999999997E-2</v>
      </c>
      <c r="I1200" s="2">
        <v>36</v>
      </c>
      <c r="J1200" s="2" t="s">
        <v>72</v>
      </c>
      <c r="K1200" s="2" t="s">
        <v>45</v>
      </c>
      <c r="L1200" s="3">
        <v>46285</v>
      </c>
      <c r="M1200" s="2" t="str">
        <f>_xlfn.XLOOKUP(Deals[[#This Row],[CustomerID]],Customers!A:A,Customers!F:F)</f>
        <v>Mass</v>
      </c>
      <c r="N1200" s="2" t="str">
        <f>_xlfn.XLOOKUP(Deals[[#This Row],[CustomerID]],Customers!A:A,Customers!E:E)</f>
        <v>Non-Kuwaiti</v>
      </c>
      <c r="O1200" s="2">
        <f>2026-_xlfn.XLOOKUP(Deals[[#This Row],[CustomerID]],Customers!A:A,Customers!D:D)</f>
        <v>38</v>
      </c>
      <c r="P1200" s="2" t="str" cm="1">
        <f t="array" ref="P1200">_xlfn.IFS(Deals[[#This Row],[Age]]&lt;30,"Under 30",Deals[[#This Row],[Age]]&lt;45,"30-44",TRUE,"45+")</f>
        <v>30-44</v>
      </c>
      <c r="Q1200" s="21">
        <f>IF(Deals[[#This Row],[Status]]="Pending","",Deals[[#This Row],[DecisionDate]]-Deals[[#This Row],[ApplicationDate]])</f>
        <v>9</v>
      </c>
      <c r="R1200" s="21">
        <f>IF(Deals[[#This Row],[Status]]="Approved",1,0)</f>
        <v>0</v>
      </c>
      <c r="S1200" s="21">
        <f>IF(Deals[[#This Row],[IsApproved]]=1,Deals[[#This Row],[Amount]],0)</f>
        <v>0</v>
      </c>
      <c r="T1200" s="21">
        <f>Deals[[#This Row],[ApprovedAmount]]*Deals[[#This Row],[ProfitRate]]</f>
        <v>0</v>
      </c>
    </row>
    <row r="1201" spans="1:20">
      <c r="A1201" s="2" t="s">
        <v>1989</v>
      </c>
      <c r="B1201" s="3">
        <v>46276</v>
      </c>
      <c r="C1201" s="2" t="s">
        <v>671</v>
      </c>
      <c r="D1201" s="2" t="s">
        <v>71</v>
      </c>
      <c r="E1201" s="2" t="s">
        <v>15</v>
      </c>
      <c r="F1201" s="2" t="s">
        <v>55</v>
      </c>
      <c r="G1201" s="4">
        <v>10300</v>
      </c>
      <c r="H1201" s="5">
        <v>6.3E-2</v>
      </c>
      <c r="I1201" s="2">
        <v>48</v>
      </c>
      <c r="J1201" s="2" t="s">
        <v>94</v>
      </c>
      <c r="K1201" s="2" t="s">
        <v>45</v>
      </c>
      <c r="L1201" s="3">
        <v>46285</v>
      </c>
      <c r="M1201" s="2" t="str">
        <f>_xlfn.XLOOKUP(Deals[[#This Row],[CustomerID]],Customers!A:A,Customers!F:F)</f>
        <v>Mass</v>
      </c>
      <c r="N1201" s="2" t="str">
        <f>_xlfn.XLOOKUP(Deals[[#This Row],[CustomerID]],Customers!A:A,Customers!E:E)</f>
        <v>Kuwaiti</v>
      </c>
      <c r="O1201" s="2">
        <f>2026-_xlfn.XLOOKUP(Deals[[#This Row],[CustomerID]],Customers!A:A,Customers!D:D)</f>
        <v>23</v>
      </c>
      <c r="P1201" s="2" t="str" cm="1">
        <f t="array" ref="P1201">_xlfn.IFS(Deals[[#This Row],[Age]]&lt;30,"Under 30",Deals[[#This Row],[Age]]&lt;45,"30-44",TRUE,"45+")</f>
        <v>Under 30</v>
      </c>
      <c r="Q1201" s="21">
        <f>IF(Deals[[#This Row],[Status]]="Pending","",Deals[[#This Row],[DecisionDate]]-Deals[[#This Row],[ApplicationDate]])</f>
        <v>9</v>
      </c>
      <c r="R1201" s="21">
        <f>IF(Deals[[#This Row],[Status]]="Approved",1,0)</f>
        <v>0</v>
      </c>
      <c r="S1201" s="21">
        <f>IF(Deals[[#This Row],[IsApproved]]=1,Deals[[#This Row],[Amount]],0)</f>
        <v>0</v>
      </c>
      <c r="T1201" s="21">
        <f>Deals[[#This Row],[ApprovedAmount]]*Deals[[#This Row],[ProfitRate]]</f>
        <v>0</v>
      </c>
    </row>
    <row r="1202" spans="1:20">
      <c r="A1202" s="2" t="s">
        <v>1990</v>
      </c>
      <c r="B1202" s="3">
        <v>46277</v>
      </c>
      <c r="C1202" s="2" t="s">
        <v>868</v>
      </c>
      <c r="D1202" s="2" t="s">
        <v>20</v>
      </c>
      <c r="E1202" s="2" t="s">
        <v>30</v>
      </c>
      <c r="F1202" s="2" t="s">
        <v>55</v>
      </c>
      <c r="G1202" s="4">
        <v>13600</v>
      </c>
      <c r="H1202" s="5">
        <v>4.3700000000000003E-2</v>
      </c>
      <c r="I1202" s="2">
        <v>36</v>
      </c>
      <c r="J1202" s="2" t="s">
        <v>22</v>
      </c>
      <c r="K1202" s="2" t="s">
        <v>17</v>
      </c>
      <c r="L1202" s="3">
        <v>46280</v>
      </c>
      <c r="M1202" s="2" t="str">
        <f>_xlfn.XLOOKUP(Deals[[#This Row],[CustomerID]],Customers!A:A,Customers!F:F)</f>
        <v>Mass</v>
      </c>
      <c r="N1202" s="2" t="str">
        <f>_xlfn.XLOOKUP(Deals[[#This Row],[CustomerID]],Customers!A:A,Customers!E:E)</f>
        <v>Kuwaiti</v>
      </c>
      <c r="O1202" s="2">
        <f>2026-_xlfn.XLOOKUP(Deals[[#This Row],[CustomerID]],Customers!A:A,Customers!D:D)</f>
        <v>55</v>
      </c>
      <c r="P1202" s="2" t="str" cm="1">
        <f t="array" ref="P1202">_xlfn.IFS(Deals[[#This Row],[Age]]&lt;30,"Under 30",Deals[[#This Row],[Age]]&lt;45,"30-44",TRUE,"45+")</f>
        <v>45+</v>
      </c>
      <c r="Q1202" s="21">
        <f>IF(Deals[[#This Row],[Status]]="Pending","",Deals[[#This Row],[DecisionDate]]-Deals[[#This Row],[ApplicationDate]])</f>
        <v>3</v>
      </c>
      <c r="R1202" s="21">
        <f>IF(Deals[[#This Row],[Status]]="Approved",1,0)</f>
        <v>1</v>
      </c>
      <c r="S1202" s="21">
        <f>IF(Deals[[#This Row],[IsApproved]]=1,Deals[[#This Row],[Amount]],0)</f>
        <v>13600</v>
      </c>
      <c r="T1202" s="21">
        <f>Deals[[#This Row],[ApprovedAmount]]*Deals[[#This Row],[ProfitRate]]</f>
        <v>594.32000000000005</v>
      </c>
    </row>
    <row r="1203" spans="1:20">
      <c r="A1203" s="2" t="s">
        <v>1991</v>
      </c>
      <c r="B1203" s="3">
        <v>46277</v>
      </c>
      <c r="C1203" s="2" t="s">
        <v>1575</v>
      </c>
      <c r="D1203" s="2" t="s">
        <v>14</v>
      </c>
      <c r="E1203" s="2" t="s">
        <v>30</v>
      </c>
      <c r="F1203" s="2" t="s">
        <v>55</v>
      </c>
      <c r="G1203" s="4">
        <v>5600</v>
      </c>
      <c r="H1203" s="5">
        <v>3.9399999999999998E-2</v>
      </c>
      <c r="I1203" s="2">
        <v>60</v>
      </c>
      <c r="J1203" s="2" t="s">
        <v>40</v>
      </c>
      <c r="K1203" s="2" t="s">
        <v>17</v>
      </c>
      <c r="L1203" s="3">
        <v>46280</v>
      </c>
      <c r="M1203" s="2" t="str">
        <f>_xlfn.XLOOKUP(Deals[[#This Row],[CustomerID]],Customers!A:A,Customers!F:F)</f>
        <v>Affluent</v>
      </c>
      <c r="N1203" s="2" t="str">
        <f>_xlfn.XLOOKUP(Deals[[#This Row],[CustomerID]],Customers!A:A,Customers!E:E)</f>
        <v>Kuwaiti</v>
      </c>
      <c r="O1203" s="2">
        <f>2026-_xlfn.XLOOKUP(Deals[[#This Row],[CustomerID]],Customers!A:A,Customers!D:D)</f>
        <v>56</v>
      </c>
      <c r="P1203" s="2" t="str" cm="1">
        <f t="array" ref="P1203">_xlfn.IFS(Deals[[#This Row],[Age]]&lt;30,"Under 30",Deals[[#This Row],[Age]]&lt;45,"30-44",TRUE,"45+")</f>
        <v>45+</v>
      </c>
      <c r="Q1203" s="21">
        <f>IF(Deals[[#This Row],[Status]]="Pending","",Deals[[#This Row],[DecisionDate]]-Deals[[#This Row],[ApplicationDate]])</f>
        <v>3</v>
      </c>
      <c r="R1203" s="21">
        <f>IF(Deals[[#This Row],[Status]]="Approved",1,0)</f>
        <v>1</v>
      </c>
      <c r="S1203" s="21">
        <f>IF(Deals[[#This Row],[IsApproved]]=1,Deals[[#This Row],[Amount]],0)</f>
        <v>5600</v>
      </c>
      <c r="T1203" s="21">
        <f>Deals[[#This Row],[ApprovedAmount]]*Deals[[#This Row],[ProfitRate]]</f>
        <v>220.64</v>
      </c>
    </row>
    <row r="1204" spans="1:20">
      <c r="A1204" s="2" t="s">
        <v>1992</v>
      </c>
      <c r="B1204" s="3">
        <v>46277</v>
      </c>
      <c r="C1204" s="2" t="s">
        <v>603</v>
      </c>
      <c r="D1204" s="2" t="s">
        <v>25</v>
      </c>
      <c r="E1204" s="2" t="s">
        <v>43</v>
      </c>
      <c r="F1204" s="2" t="s">
        <v>31</v>
      </c>
      <c r="G1204" s="4">
        <v>128600</v>
      </c>
      <c r="H1204" s="5">
        <v>5.6000000000000001E-2</v>
      </c>
      <c r="I1204" s="2">
        <v>84</v>
      </c>
      <c r="J1204" s="2" t="s">
        <v>66</v>
      </c>
      <c r="K1204" s="2" t="s">
        <v>45</v>
      </c>
      <c r="L1204" s="3">
        <v>46294</v>
      </c>
      <c r="M1204" s="2" t="str">
        <f>_xlfn.XLOOKUP(Deals[[#This Row],[CustomerID]],Customers!A:A,Customers!F:F)</f>
        <v>Mass</v>
      </c>
      <c r="N1204" s="2" t="str">
        <f>_xlfn.XLOOKUP(Deals[[#This Row],[CustomerID]],Customers!A:A,Customers!E:E)</f>
        <v>Kuwaiti</v>
      </c>
      <c r="O1204" s="2">
        <f>2026-_xlfn.XLOOKUP(Deals[[#This Row],[CustomerID]],Customers!A:A,Customers!D:D)</f>
        <v>42</v>
      </c>
      <c r="P1204" s="2" t="str" cm="1">
        <f t="array" ref="P1204">_xlfn.IFS(Deals[[#This Row],[Age]]&lt;30,"Under 30",Deals[[#This Row],[Age]]&lt;45,"30-44",TRUE,"45+")</f>
        <v>30-44</v>
      </c>
      <c r="Q1204" s="21">
        <f>IF(Deals[[#This Row],[Status]]="Pending","",Deals[[#This Row],[DecisionDate]]-Deals[[#This Row],[ApplicationDate]])</f>
        <v>17</v>
      </c>
      <c r="R1204" s="21">
        <f>IF(Deals[[#This Row],[Status]]="Approved",1,0)</f>
        <v>0</v>
      </c>
      <c r="S1204" s="21">
        <f>IF(Deals[[#This Row],[IsApproved]]=1,Deals[[#This Row],[Amount]],0)</f>
        <v>0</v>
      </c>
      <c r="T1204" s="21">
        <f>Deals[[#This Row],[ApprovedAmount]]*Deals[[#This Row],[ProfitRate]]</f>
        <v>0</v>
      </c>
    </row>
    <row r="1205" spans="1:20">
      <c r="A1205" s="2" t="s">
        <v>1993</v>
      </c>
      <c r="B1205" s="3">
        <v>46278</v>
      </c>
      <c r="C1205" s="2" t="s">
        <v>1994</v>
      </c>
      <c r="D1205" s="2" t="s">
        <v>29</v>
      </c>
      <c r="E1205" s="2" t="s">
        <v>15</v>
      </c>
      <c r="F1205" s="2" t="s">
        <v>3</v>
      </c>
      <c r="G1205" s="4">
        <v>14100</v>
      </c>
      <c r="H1205" s="5">
        <v>6.2100000000000002E-2</v>
      </c>
      <c r="I1205" s="2">
        <v>60</v>
      </c>
      <c r="J1205" s="2" t="s">
        <v>32</v>
      </c>
      <c r="K1205" s="2" t="s">
        <v>1916</v>
      </c>
      <c r="L1205" s="2"/>
      <c r="M1205" s="2" t="str">
        <f>_xlfn.XLOOKUP(Deals[[#This Row],[CustomerID]],Customers!A:A,Customers!F:F)</f>
        <v>Affluent</v>
      </c>
      <c r="N1205" s="2" t="str">
        <f>_xlfn.XLOOKUP(Deals[[#This Row],[CustomerID]],Customers!A:A,Customers!E:E)</f>
        <v>Kuwaiti</v>
      </c>
      <c r="O1205" s="2">
        <f>2026-_xlfn.XLOOKUP(Deals[[#This Row],[CustomerID]],Customers!A:A,Customers!D:D)</f>
        <v>63</v>
      </c>
      <c r="P1205" s="2" t="str" cm="1">
        <f t="array" ref="P1205">_xlfn.IFS(Deals[[#This Row],[Age]]&lt;30,"Under 30",Deals[[#This Row],[Age]]&lt;45,"30-44",TRUE,"45+")</f>
        <v>45+</v>
      </c>
      <c r="Q1205" s="21" t="str">
        <f>IF(Deals[[#This Row],[Status]]="Pending","",Deals[[#This Row],[DecisionDate]]-Deals[[#This Row],[ApplicationDate]])</f>
        <v/>
      </c>
      <c r="R1205" s="21">
        <f>IF(Deals[[#This Row],[Status]]="Approved",1,0)</f>
        <v>0</v>
      </c>
      <c r="S1205" s="21">
        <f>IF(Deals[[#This Row],[IsApproved]]=1,Deals[[#This Row],[Amount]],0)</f>
        <v>0</v>
      </c>
      <c r="T1205" s="21">
        <f>Deals[[#This Row],[ApprovedAmount]]*Deals[[#This Row],[ProfitRate]]</f>
        <v>0</v>
      </c>
    </row>
    <row r="1206" spans="1:20">
      <c r="A1206" s="2" t="s">
        <v>1995</v>
      </c>
      <c r="B1206" s="3">
        <v>46278</v>
      </c>
      <c r="C1206" s="2" t="s">
        <v>1440</v>
      </c>
      <c r="D1206" s="2" t="s">
        <v>25</v>
      </c>
      <c r="E1206" s="2" t="s">
        <v>30</v>
      </c>
      <c r="F1206" s="2" t="s">
        <v>31</v>
      </c>
      <c r="G1206" s="4">
        <v>9500</v>
      </c>
      <c r="H1206" s="5">
        <v>4.8899999999999999E-2</v>
      </c>
      <c r="I1206" s="2">
        <v>60</v>
      </c>
      <c r="J1206" s="2" t="s">
        <v>26</v>
      </c>
      <c r="K1206" s="2" t="s">
        <v>17</v>
      </c>
      <c r="L1206" s="3">
        <v>46279</v>
      </c>
      <c r="M1206" s="2" t="str">
        <f>_xlfn.XLOOKUP(Deals[[#This Row],[CustomerID]],Customers!A:A,Customers!F:F)</f>
        <v>Mass</v>
      </c>
      <c r="N1206" s="2" t="str">
        <f>_xlfn.XLOOKUP(Deals[[#This Row],[CustomerID]],Customers!A:A,Customers!E:E)</f>
        <v>Kuwaiti</v>
      </c>
      <c r="O1206" s="2">
        <f>2026-_xlfn.XLOOKUP(Deals[[#This Row],[CustomerID]],Customers!A:A,Customers!D:D)</f>
        <v>24</v>
      </c>
      <c r="P1206" s="2" t="str" cm="1">
        <f t="array" ref="P1206">_xlfn.IFS(Deals[[#This Row],[Age]]&lt;30,"Under 30",Deals[[#This Row],[Age]]&lt;45,"30-44",TRUE,"45+")</f>
        <v>Under 30</v>
      </c>
      <c r="Q1206" s="21">
        <f>IF(Deals[[#This Row],[Status]]="Pending","",Deals[[#This Row],[DecisionDate]]-Deals[[#This Row],[ApplicationDate]])</f>
        <v>1</v>
      </c>
      <c r="R1206" s="21">
        <f>IF(Deals[[#This Row],[Status]]="Approved",1,0)</f>
        <v>1</v>
      </c>
      <c r="S1206" s="21">
        <f>IF(Deals[[#This Row],[IsApproved]]=1,Deals[[#This Row],[Amount]],0)</f>
        <v>9500</v>
      </c>
      <c r="T1206" s="21">
        <f>Deals[[#This Row],[ApprovedAmount]]*Deals[[#This Row],[ProfitRate]]</f>
        <v>464.55</v>
      </c>
    </row>
    <row r="1207" spans="1:20">
      <c r="A1207" s="2" t="s">
        <v>1996</v>
      </c>
      <c r="B1207" s="3">
        <v>46278</v>
      </c>
      <c r="C1207" s="2" t="s">
        <v>1997</v>
      </c>
      <c r="D1207" s="2" t="s">
        <v>71</v>
      </c>
      <c r="E1207" s="2" t="s">
        <v>43</v>
      </c>
      <c r="F1207" s="2" t="s">
        <v>55</v>
      </c>
      <c r="G1207" s="4">
        <v>134500</v>
      </c>
      <c r="H1207" s="5">
        <v>7.9200000000000007E-2</v>
      </c>
      <c r="I1207" s="2">
        <v>24</v>
      </c>
      <c r="J1207" s="2" t="s">
        <v>101</v>
      </c>
      <c r="K1207" s="2" t="s">
        <v>45</v>
      </c>
      <c r="L1207" s="3">
        <v>46300</v>
      </c>
      <c r="M1207" s="2" t="str">
        <f>_xlfn.XLOOKUP(Deals[[#This Row],[CustomerID]],Customers!A:A,Customers!F:F)</f>
        <v>Affluent</v>
      </c>
      <c r="N1207" s="2" t="str">
        <f>_xlfn.XLOOKUP(Deals[[#This Row],[CustomerID]],Customers!A:A,Customers!E:E)</f>
        <v>Non-Kuwaiti</v>
      </c>
      <c r="O1207" s="2">
        <f>2026-_xlfn.XLOOKUP(Deals[[#This Row],[CustomerID]],Customers!A:A,Customers!D:D)</f>
        <v>39</v>
      </c>
      <c r="P1207" s="2" t="str" cm="1">
        <f t="array" ref="P1207">_xlfn.IFS(Deals[[#This Row],[Age]]&lt;30,"Under 30",Deals[[#This Row],[Age]]&lt;45,"30-44",TRUE,"45+")</f>
        <v>30-44</v>
      </c>
      <c r="Q1207" s="21">
        <f>IF(Deals[[#This Row],[Status]]="Pending","",Deals[[#This Row],[DecisionDate]]-Deals[[#This Row],[ApplicationDate]])</f>
        <v>22</v>
      </c>
      <c r="R1207" s="21">
        <f>IF(Deals[[#This Row],[Status]]="Approved",1,0)</f>
        <v>0</v>
      </c>
      <c r="S1207" s="21">
        <f>IF(Deals[[#This Row],[IsApproved]]=1,Deals[[#This Row],[Amount]],0)</f>
        <v>0</v>
      </c>
      <c r="T1207" s="21">
        <f>Deals[[#This Row],[ApprovedAmount]]*Deals[[#This Row],[ProfitRate]]</f>
        <v>0</v>
      </c>
    </row>
    <row r="1208" spans="1:20">
      <c r="A1208" s="2" t="s">
        <v>1998</v>
      </c>
      <c r="B1208" s="3">
        <v>46278</v>
      </c>
      <c r="C1208" s="2" t="s">
        <v>1531</v>
      </c>
      <c r="D1208" s="2" t="s">
        <v>29</v>
      </c>
      <c r="E1208" s="2" t="s">
        <v>21</v>
      </c>
      <c r="F1208" s="2" t="s">
        <v>31</v>
      </c>
      <c r="G1208" s="4">
        <v>85700</v>
      </c>
      <c r="H1208" s="5">
        <v>4.0800000000000003E-2</v>
      </c>
      <c r="I1208" s="2">
        <v>120</v>
      </c>
      <c r="J1208" s="2" t="s">
        <v>32</v>
      </c>
      <c r="K1208" s="2" t="s">
        <v>45</v>
      </c>
      <c r="L1208" s="3">
        <v>46293</v>
      </c>
      <c r="M1208" s="2" t="str">
        <f>_xlfn.XLOOKUP(Deals[[#This Row],[CustomerID]],Customers!A:A,Customers!F:F)</f>
        <v>Affluent</v>
      </c>
      <c r="N1208" s="2" t="str">
        <f>_xlfn.XLOOKUP(Deals[[#This Row],[CustomerID]],Customers!A:A,Customers!E:E)</f>
        <v>Kuwaiti</v>
      </c>
      <c r="O1208" s="2">
        <f>2026-_xlfn.XLOOKUP(Deals[[#This Row],[CustomerID]],Customers!A:A,Customers!D:D)</f>
        <v>47</v>
      </c>
      <c r="P1208" s="2" t="str" cm="1">
        <f t="array" ref="P1208">_xlfn.IFS(Deals[[#This Row],[Age]]&lt;30,"Under 30",Deals[[#This Row],[Age]]&lt;45,"30-44",TRUE,"45+")</f>
        <v>45+</v>
      </c>
      <c r="Q1208" s="21">
        <f>IF(Deals[[#This Row],[Status]]="Pending","",Deals[[#This Row],[DecisionDate]]-Deals[[#This Row],[ApplicationDate]])</f>
        <v>15</v>
      </c>
      <c r="R1208" s="21">
        <f>IF(Deals[[#This Row],[Status]]="Approved",1,0)</f>
        <v>0</v>
      </c>
      <c r="S1208" s="21">
        <f>IF(Deals[[#This Row],[IsApproved]]=1,Deals[[#This Row],[Amount]],0)</f>
        <v>0</v>
      </c>
      <c r="T1208" s="21">
        <f>Deals[[#This Row],[ApprovedAmount]]*Deals[[#This Row],[ProfitRate]]</f>
        <v>0</v>
      </c>
    </row>
    <row r="1209" spans="1:20">
      <c r="A1209" s="2" t="s">
        <v>1999</v>
      </c>
      <c r="B1209" s="3">
        <v>46278</v>
      </c>
      <c r="C1209" s="2" t="s">
        <v>734</v>
      </c>
      <c r="D1209" s="2" t="s">
        <v>25</v>
      </c>
      <c r="E1209" s="2" t="s">
        <v>15</v>
      </c>
      <c r="F1209" s="2" t="s">
        <v>31</v>
      </c>
      <c r="G1209" s="4">
        <v>8400</v>
      </c>
      <c r="H1209" s="5">
        <v>5.8000000000000003E-2</v>
      </c>
      <c r="I1209" s="2">
        <v>60</v>
      </c>
      <c r="J1209" s="2" t="s">
        <v>181</v>
      </c>
      <c r="K1209" s="2" t="s">
        <v>1916</v>
      </c>
      <c r="L1209" s="2"/>
      <c r="M1209" s="2" t="str">
        <f>_xlfn.XLOOKUP(Deals[[#This Row],[CustomerID]],Customers!A:A,Customers!F:F)</f>
        <v>Mass</v>
      </c>
      <c r="N1209" s="2" t="str">
        <f>_xlfn.XLOOKUP(Deals[[#This Row],[CustomerID]],Customers!A:A,Customers!E:E)</f>
        <v>Non-Kuwaiti</v>
      </c>
      <c r="O1209" s="2">
        <f>2026-_xlfn.XLOOKUP(Deals[[#This Row],[CustomerID]],Customers!A:A,Customers!D:D)</f>
        <v>34</v>
      </c>
      <c r="P1209" s="2" t="str" cm="1">
        <f t="array" ref="P1209">_xlfn.IFS(Deals[[#This Row],[Age]]&lt;30,"Under 30",Deals[[#This Row],[Age]]&lt;45,"30-44",TRUE,"45+")</f>
        <v>30-44</v>
      </c>
      <c r="Q1209" s="21" t="str">
        <f>IF(Deals[[#This Row],[Status]]="Pending","",Deals[[#This Row],[DecisionDate]]-Deals[[#This Row],[ApplicationDate]])</f>
        <v/>
      </c>
      <c r="R1209" s="21">
        <f>IF(Deals[[#This Row],[Status]]="Approved",1,0)</f>
        <v>0</v>
      </c>
      <c r="S1209" s="21">
        <f>IF(Deals[[#This Row],[IsApproved]]=1,Deals[[#This Row],[Amount]],0)</f>
        <v>0</v>
      </c>
      <c r="T1209" s="21">
        <f>Deals[[#This Row],[ApprovedAmount]]*Deals[[#This Row],[ProfitRate]]</f>
        <v>0</v>
      </c>
    </row>
    <row r="1210" spans="1:20">
      <c r="A1210" s="2" t="s">
        <v>2000</v>
      </c>
      <c r="B1210" s="3">
        <v>46278</v>
      </c>
      <c r="C1210" s="2" t="s">
        <v>908</v>
      </c>
      <c r="D1210" s="2" t="s">
        <v>14</v>
      </c>
      <c r="E1210" s="2" t="s">
        <v>15</v>
      </c>
      <c r="F1210" s="2" t="s">
        <v>31</v>
      </c>
      <c r="G1210" s="4">
        <v>9300</v>
      </c>
      <c r="H1210" s="5">
        <v>5.6399999999999999E-2</v>
      </c>
      <c r="I1210" s="2">
        <v>48</v>
      </c>
      <c r="J1210" s="2" t="s">
        <v>40</v>
      </c>
      <c r="K1210" s="2" t="s">
        <v>45</v>
      </c>
      <c r="L1210" s="3">
        <v>46281</v>
      </c>
      <c r="M1210" s="2" t="str">
        <f>_xlfn.XLOOKUP(Deals[[#This Row],[CustomerID]],Customers!A:A,Customers!F:F)</f>
        <v>Mass</v>
      </c>
      <c r="N1210" s="2" t="str">
        <f>_xlfn.XLOOKUP(Deals[[#This Row],[CustomerID]],Customers!A:A,Customers!E:E)</f>
        <v>Non-Kuwaiti</v>
      </c>
      <c r="O1210" s="2">
        <f>2026-_xlfn.XLOOKUP(Deals[[#This Row],[CustomerID]],Customers!A:A,Customers!D:D)</f>
        <v>24</v>
      </c>
      <c r="P1210" s="2" t="str" cm="1">
        <f t="array" ref="P1210">_xlfn.IFS(Deals[[#This Row],[Age]]&lt;30,"Under 30",Deals[[#This Row],[Age]]&lt;45,"30-44",TRUE,"45+")</f>
        <v>Under 30</v>
      </c>
      <c r="Q1210" s="21">
        <f>IF(Deals[[#This Row],[Status]]="Pending","",Deals[[#This Row],[DecisionDate]]-Deals[[#This Row],[ApplicationDate]])</f>
        <v>3</v>
      </c>
      <c r="R1210" s="21">
        <f>IF(Deals[[#This Row],[Status]]="Approved",1,0)</f>
        <v>0</v>
      </c>
      <c r="S1210" s="21">
        <f>IF(Deals[[#This Row],[IsApproved]]=1,Deals[[#This Row],[Amount]],0)</f>
        <v>0</v>
      </c>
      <c r="T1210" s="21">
        <f>Deals[[#This Row],[ApprovedAmount]]*Deals[[#This Row],[ProfitRate]]</f>
        <v>0</v>
      </c>
    </row>
    <row r="1211" spans="1:20">
      <c r="A1211" s="2" t="s">
        <v>2001</v>
      </c>
      <c r="B1211" s="3">
        <v>46278</v>
      </c>
      <c r="C1211" s="2" t="s">
        <v>164</v>
      </c>
      <c r="D1211" s="2" t="s">
        <v>54</v>
      </c>
      <c r="E1211" s="2" t="s">
        <v>15</v>
      </c>
      <c r="F1211" s="2" t="s">
        <v>3</v>
      </c>
      <c r="G1211" s="4">
        <v>25000</v>
      </c>
      <c r="H1211" s="5">
        <v>5.2200000000000003E-2</v>
      </c>
      <c r="I1211" s="2">
        <v>36</v>
      </c>
      <c r="J1211" s="2" t="s">
        <v>148</v>
      </c>
      <c r="K1211" s="2" t="s">
        <v>17</v>
      </c>
      <c r="L1211" s="3">
        <v>46281</v>
      </c>
      <c r="M1211" s="2" t="str">
        <f>_xlfn.XLOOKUP(Deals[[#This Row],[CustomerID]],Customers!A:A,Customers!F:F)</f>
        <v>Premium</v>
      </c>
      <c r="N1211" s="2" t="str">
        <f>_xlfn.XLOOKUP(Deals[[#This Row],[CustomerID]],Customers!A:A,Customers!E:E)</f>
        <v>Non-Kuwaiti</v>
      </c>
      <c r="O1211" s="2">
        <f>2026-_xlfn.XLOOKUP(Deals[[#This Row],[CustomerID]],Customers!A:A,Customers!D:D)</f>
        <v>64</v>
      </c>
      <c r="P1211" s="2" t="str" cm="1">
        <f t="array" ref="P1211">_xlfn.IFS(Deals[[#This Row],[Age]]&lt;30,"Under 30",Deals[[#This Row],[Age]]&lt;45,"30-44",TRUE,"45+")</f>
        <v>45+</v>
      </c>
      <c r="Q1211" s="21">
        <f>IF(Deals[[#This Row],[Status]]="Pending","",Deals[[#This Row],[DecisionDate]]-Deals[[#This Row],[ApplicationDate]])</f>
        <v>3</v>
      </c>
      <c r="R1211" s="21">
        <f>IF(Deals[[#This Row],[Status]]="Approved",1,0)</f>
        <v>1</v>
      </c>
      <c r="S1211" s="21">
        <f>IF(Deals[[#This Row],[IsApproved]]=1,Deals[[#This Row],[Amount]],0)</f>
        <v>25000</v>
      </c>
      <c r="T1211" s="21">
        <f>Deals[[#This Row],[ApprovedAmount]]*Deals[[#This Row],[ProfitRate]]</f>
        <v>1305</v>
      </c>
    </row>
    <row r="1212" spans="1:20">
      <c r="A1212" s="2" t="s">
        <v>2002</v>
      </c>
      <c r="B1212" s="3">
        <v>46278</v>
      </c>
      <c r="C1212" s="2" t="s">
        <v>2003</v>
      </c>
      <c r="D1212" s="2" t="s">
        <v>20</v>
      </c>
      <c r="E1212" s="2" t="s">
        <v>15</v>
      </c>
      <c r="F1212" s="2" t="s">
        <v>3</v>
      </c>
      <c r="G1212" s="4">
        <v>18000</v>
      </c>
      <c r="H1212" s="5">
        <v>5.6399999999999999E-2</v>
      </c>
      <c r="I1212" s="2">
        <v>12</v>
      </c>
      <c r="J1212" s="2" t="s">
        <v>22</v>
      </c>
      <c r="K1212" s="2" t="s">
        <v>1916</v>
      </c>
      <c r="L1212" s="2"/>
      <c r="M1212" s="2" t="str">
        <f>_xlfn.XLOOKUP(Deals[[#This Row],[CustomerID]],Customers!A:A,Customers!F:F)</f>
        <v>Mass</v>
      </c>
      <c r="N1212" s="2" t="str">
        <f>_xlfn.XLOOKUP(Deals[[#This Row],[CustomerID]],Customers!A:A,Customers!E:E)</f>
        <v>Kuwaiti</v>
      </c>
      <c r="O1212" s="2">
        <f>2026-_xlfn.XLOOKUP(Deals[[#This Row],[CustomerID]],Customers!A:A,Customers!D:D)</f>
        <v>51</v>
      </c>
      <c r="P1212" s="2" t="str" cm="1">
        <f t="array" ref="P1212">_xlfn.IFS(Deals[[#This Row],[Age]]&lt;30,"Under 30",Deals[[#This Row],[Age]]&lt;45,"30-44",TRUE,"45+")</f>
        <v>45+</v>
      </c>
      <c r="Q1212" s="21" t="str">
        <f>IF(Deals[[#This Row],[Status]]="Pending","",Deals[[#This Row],[DecisionDate]]-Deals[[#This Row],[ApplicationDate]])</f>
        <v/>
      </c>
      <c r="R1212" s="21">
        <f>IF(Deals[[#This Row],[Status]]="Approved",1,0)</f>
        <v>0</v>
      </c>
      <c r="S1212" s="21">
        <f>IF(Deals[[#This Row],[IsApproved]]=1,Deals[[#This Row],[Amount]],0)</f>
        <v>0</v>
      </c>
      <c r="T1212" s="21">
        <f>Deals[[#This Row],[ApprovedAmount]]*Deals[[#This Row],[ProfitRate]]</f>
        <v>0</v>
      </c>
    </row>
    <row r="1213" spans="1:20">
      <c r="A1213" s="2" t="s">
        <v>2004</v>
      </c>
      <c r="B1213" s="3">
        <v>46278</v>
      </c>
      <c r="C1213" s="2" t="s">
        <v>1079</v>
      </c>
      <c r="D1213" s="2" t="s">
        <v>20</v>
      </c>
      <c r="E1213" s="2" t="s">
        <v>43</v>
      </c>
      <c r="F1213" s="2" t="s">
        <v>31</v>
      </c>
      <c r="G1213" s="4">
        <v>87600</v>
      </c>
      <c r="H1213" s="5">
        <v>7.0900000000000005E-2</v>
      </c>
      <c r="I1213" s="2">
        <v>24</v>
      </c>
      <c r="J1213" s="2" t="s">
        <v>44</v>
      </c>
      <c r="K1213" s="2" t="s">
        <v>17</v>
      </c>
      <c r="L1213" s="3">
        <v>46295</v>
      </c>
      <c r="M1213" s="2" t="str">
        <f>_xlfn.XLOOKUP(Deals[[#This Row],[CustomerID]],Customers!A:A,Customers!F:F)</f>
        <v>Mass</v>
      </c>
      <c r="N1213" s="2" t="str">
        <f>_xlfn.XLOOKUP(Deals[[#This Row],[CustomerID]],Customers!A:A,Customers!E:E)</f>
        <v>Kuwaiti</v>
      </c>
      <c r="O1213" s="2">
        <f>2026-_xlfn.XLOOKUP(Deals[[#This Row],[CustomerID]],Customers!A:A,Customers!D:D)</f>
        <v>63</v>
      </c>
      <c r="P1213" s="2" t="str" cm="1">
        <f t="array" ref="P1213">_xlfn.IFS(Deals[[#This Row],[Age]]&lt;30,"Under 30",Deals[[#This Row],[Age]]&lt;45,"30-44",TRUE,"45+")</f>
        <v>45+</v>
      </c>
      <c r="Q1213" s="21">
        <f>IF(Deals[[#This Row],[Status]]="Pending","",Deals[[#This Row],[DecisionDate]]-Deals[[#This Row],[ApplicationDate]])</f>
        <v>17</v>
      </c>
      <c r="R1213" s="21">
        <f>IF(Deals[[#This Row],[Status]]="Approved",1,0)</f>
        <v>1</v>
      </c>
      <c r="S1213" s="21">
        <f>IF(Deals[[#This Row],[IsApproved]]=1,Deals[[#This Row],[Amount]],0)</f>
        <v>87600</v>
      </c>
      <c r="T1213" s="21">
        <f>Deals[[#This Row],[ApprovedAmount]]*Deals[[#This Row],[ProfitRate]]</f>
        <v>6210.84</v>
      </c>
    </row>
    <row r="1214" spans="1:20">
      <c r="A1214" s="2" t="s">
        <v>2005</v>
      </c>
      <c r="B1214" s="3">
        <v>46279</v>
      </c>
      <c r="C1214" s="2" t="s">
        <v>1713</v>
      </c>
      <c r="D1214" s="2" t="s">
        <v>29</v>
      </c>
      <c r="E1214" s="2" t="s">
        <v>15</v>
      </c>
      <c r="F1214" s="2" t="s">
        <v>3</v>
      </c>
      <c r="G1214" s="4">
        <v>9000</v>
      </c>
      <c r="H1214" s="5">
        <v>6.6100000000000006E-2</v>
      </c>
      <c r="I1214" s="2">
        <v>60</v>
      </c>
      <c r="J1214" s="2" t="s">
        <v>32</v>
      </c>
      <c r="K1214" s="2" t="s">
        <v>17</v>
      </c>
      <c r="L1214" s="3">
        <v>46282</v>
      </c>
      <c r="M1214" s="2" t="str">
        <f>_xlfn.XLOOKUP(Deals[[#This Row],[CustomerID]],Customers!A:A,Customers!F:F)</f>
        <v>Mass</v>
      </c>
      <c r="N1214" s="2" t="str">
        <f>_xlfn.XLOOKUP(Deals[[#This Row],[CustomerID]],Customers!A:A,Customers!E:E)</f>
        <v>Kuwaiti</v>
      </c>
      <c r="O1214" s="2">
        <f>2026-_xlfn.XLOOKUP(Deals[[#This Row],[CustomerID]],Customers!A:A,Customers!D:D)</f>
        <v>64</v>
      </c>
      <c r="P1214" s="2" t="str" cm="1">
        <f t="array" ref="P1214">_xlfn.IFS(Deals[[#This Row],[Age]]&lt;30,"Under 30",Deals[[#This Row],[Age]]&lt;45,"30-44",TRUE,"45+")</f>
        <v>45+</v>
      </c>
      <c r="Q1214" s="21">
        <f>IF(Deals[[#This Row],[Status]]="Pending","",Deals[[#This Row],[DecisionDate]]-Deals[[#This Row],[ApplicationDate]])</f>
        <v>3</v>
      </c>
      <c r="R1214" s="21">
        <f>IF(Deals[[#This Row],[Status]]="Approved",1,0)</f>
        <v>1</v>
      </c>
      <c r="S1214" s="21">
        <f>IF(Deals[[#This Row],[IsApproved]]=1,Deals[[#This Row],[Amount]],0)</f>
        <v>9000</v>
      </c>
      <c r="T1214" s="21">
        <f>Deals[[#This Row],[ApprovedAmount]]*Deals[[#This Row],[ProfitRate]]</f>
        <v>594.90000000000009</v>
      </c>
    </row>
    <row r="1215" spans="1:20">
      <c r="A1215" s="2" t="s">
        <v>2006</v>
      </c>
      <c r="B1215" s="3">
        <v>46279</v>
      </c>
      <c r="C1215" s="2" t="s">
        <v>2007</v>
      </c>
      <c r="D1215" s="2" t="s">
        <v>71</v>
      </c>
      <c r="E1215" s="2" t="s">
        <v>15</v>
      </c>
      <c r="F1215" s="2" t="s">
        <v>31</v>
      </c>
      <c r="G1215" s="4">
        <v>25000</v>
      </c>
      <c r="H1215" s="5">
        <v>6.3399999999999998E-2</v>
      </c>
      <c r="I1215" s="2">
        <v>60</v>
      </c>
      <c r="J1215" s="2" t="s">
        <v>72</v>
      </c>
      <c r="K1215" s="2" t="s">
        <v>45</v>
      </c>
      <c r="L1215" s="3">
        <v>46286</v>
      </c>
      <c r="M1215" s="2" t="str">
        <f>_xlfn.XLOOKUP(Deals[[#This Row],[CustomerID]],Customers!A:A,Customers!F:F)</f>
        <v>Affluent</v>
      </c>
      <c r="N1215" s="2" t="str">
        <f>_xlfn.XLOOKUP(Deals[[#This Row],[CustomerID]],Customers!A:A,Customers!E:E)</f>
        <v>Non-Kuwaiti</v>
      </c>
      <c r="O1215" s="2">
        <f>2026-_xlfn.XLOOKUP(Deals[[#This Row],[CustomerID]],Customers!A:A,Customers!D:D)</f>
        <v>29</v>
      </c>
      <c r="P1215" s="2" t="str" cm="1">
        <f t="array" ref="P1215">_xlfn.IFS(Deals[[#This Row],[Age]]&lt;30,"Under 30",Deals[[#This Row],[Age]]&lt;45,"30-44",TRUE,"45+")</f>
        <v>Under 30</v>
      </c>
      <c r="Q1215" s="21">
        <f>IF(Deals[[#This Row],[Status]]="Pending","",Deals[[#This Row],[DecisionDate]]-Deals[[#This Row],[ApplicationDate]])</f>
        <v>7</v>
      </c>
      <c r="R1215" s="21">
        <f>IF(Deals[[#This Row],[Status]]="Approved",1,0)</f>
        <v>0</v>
      </c>
      <c r="S1215" s="21">
        <f>IF(Deals[[#This Row],[IsApproved]]=1,Deals[[#This Row],[Amount]],0)</f>
        <v>0</v>
      </c>
      <c r="T1215" s="21">
        <f>Deals[[#This Row],[ApprovedAmount]]*Deals[[#This Row],[ProfitRate]]</f>
        <v>0</v>
      </c>
    </row>
    <row r="1216" spans="1:20">
      <c r="A1216" s="2" t="s">
        <v>2008</v>
      </c>
      <c r="B1216" s="3">
        <v>46279</v>
      </c>
      <c r="C1216" s="2" t="s">
        <v>28</v>
      </c>
      <c r="D1216" s="2" t="s">
        <v>14</v>
      </c>
      <c r="E1216" s="2" t="s">
        <v>21</v>
      </c>
      <c r="F1216" s="2" t="s">
        <v>3</v>
      </c>
      <c r="G1216" s="4">
        <v>164800</v>
      </c>
      <c r="H1216" s="5">
        <v>3.9800000000000002E-2</v>
      </c>
      <c r="I1216" s="2">
        <v>300</v>
      </c>
      <c r="J1216" s="2" t="s">
        <v>16</v>
      </c>
      <c r="K1216" s="2" t="s">
        <v>17</v>
      </c>
      <c r="L1216" s="3">
        <v>46306</v>
      </c>
      <c r="M1216" s="2" t="str">
        <f>_xlfn.XLOOKUP(Deals[[#This Row],[CustomerID]],Customers!A:A,Customers!F:F)</f>
        <v>Affluent</v>
      </c>
      <c r="N1216" s="2" t="str">
        <f>_xlfn.XLOOKUP(Deals[[#This Row],[CustomerID]],Customers!A:A,Customers!E:E)</f>
        <v>Kuwaiti</v>
      </c>
      <c r="O1216" s="2">
        <f>2026-_xlfn.XLOOKUP(Deals[[#This Row],[CustomerID]],Customers!A:A,Customers!D:D)</f>
        <v>41</v>
      </c>
      <c r="P1216" s="2" t="str" cm="1">
        <f t="array" ref="P1216">_xlfn.IFS(Deals[[#This Row],[Age]]&lt;30,"Under 30",Deals[[#This Row],[Age]]&lt;45,"30-44",TRUE,"45+")</f>
        <v>30-44</v>
      </c>
      <c r="Q1216" s="21">
        <f>IF(Deals[[#This Row],[Status]]="Pending","",Deals[[#This Row],[DecisionDate]]-Deals[[#This Row],[ApplicationDate]])</f>
        <v>27</v>
      </c>
      <c r="R1216" s="21">
        <f>IF(Deals[[#This Row],[Status]]="Approved",1,0)</f>
        <v>1</v>
      </c>
      <c r="S1216" s="21">
        <f>IF(Deals[[#This Row],[IsApproved]]=1,Deals[[#This Row],[Amount]],0)</f>
        <v>164800</v>
      </c>
      <c r="T1216" s="21">
        <f>Deals[[#This Row],[ApprovedAmount]]*Deals[[#This Row],[ProfitRate]]</f>
        <v>6559.04</v>
      </c>
    </row>
    <row r="1217" spans="1:20">
      <c r="A1217" s="2" t="s">
        <v>2009</v>
      </c>
      <c r="B1217" s="3">
        <v>46279</v>
      </c>
      <c r="C1217" s="2" t="s">
        <v>2010</v>
      </c>
      <c r="D1217" s="2" t="s">
        <v>29</v>
      </c>
      <c r="E1217" s="2" t="s">
        <v>15</v>
      </c>
      <c r="F1217" s="2" t="s">
        <v>3</v>
      </c>
      <c r="G1217" s="4">
        <v>15300</v>
      </c>
      <c r="H1217" s="5">
        <v>6.8500000000000005E-2</v>
      </c>
      <c r="I1217" s="2">
        <v>36</v>
      </c>
      <c r="J1217" s="2" t="s">
        <v>123</v>
      </c>
      <c r="K1217" s="2" t="s">
        <v>45</v>
      </c>
      <c r="L1217" s="3">
        <v>46281</v>
      </c>
      <c r="M1217" s="2" t="str">
        <f>_xlfn.XLOOKUP(Deals[[#This Row],[CustomerID]],Customers!A:A,Customers!F:F)</f>
        <v>Mass</v>
      </c>
      <c r="N1217" s="2" t="str">
        <f>_xlfn.XLOOKUP(Deals[[#This Row],[CustomerID]],Customers!A:A,Customers!E:E)</f>
        <v>Kuwaiti</v>
      </c>
      <c r="O1217" s="2">
        <f>2026-_xlfn.XLOOKUP(Deals[[#This Row],[CustomerID]],Customers!A:A,Customers!D:D)</f>
        <v>40</v>
      </c>
      <c r="P1217" s="2" t="str" cm="1">
        <f t="array" ref="P1217">_xlfn.IFS(Deals[[#This Row],[Age]]&lt;30,"Under 30",Deals[[#This Row],[Age]]&lt;45,"30-44",TRUE,"45+")</f>
        <v>30-44</v>
      </c>
      <c r="Q1217" s="21">
        <f>IF(Deals[[#This Row],[Status]]="Pending","",Deals[[#This Row],[DecisionDate]]-Deals[[#This Row],[ApplicationDate]])</f>
        <v>2</v>
      </c>
      <c r="R1217" s="21">
        <f>IF(Deals[[#This Row],[Status]]="Approved",1,0)</f>
        <v>0</v>
      </c>
      <c r="S1217" s="21">
        <f>IF(Deals[[#This Row],[IsApproved]]=1,Deals[[#This Row],[Amount]],0)</f>
        <v>0</v>
      </c>
      <c r="T1217" s="21">
        <f>Deals[[#This Row],[ApprovedAmount]]*Deals[[#This Row],[ProfitRate]]</f>
        <v>0</v>
      </c>
    </row>
    <row r="1218" spans="1:20">
      <c r="A1218" s="2" t="s">
        <v>2011</v>
      </c>
      <c r="B1218" s="3">
        <v>46279</v>
      </c>
      <c r="C1218" s="2" t="s">
        <v>1339</v>
      </c>
      <c r="D1218" s="2" t="s">
        <v>71</v>
      </c>
      <c r="E1218" s="2" t="s">
        <v>21</v>
      </c>
      <c r="F1218" s="2" t="s">
        <v>3</v>
      </c>
      <c r="G1218" s="4">
        <v>97200</v>
      </c>
      <c r="H1218" s="5">
        <v>3.7499999999999999E-2</v>
      </c>
      <c r="I1218" s="2">
        <v>180</v>
      </c>
      <c r="J1218" s="2" t="s">
        <v>101</v>
      </c>
      <c r="K1218" s="2" t="s">
        <v>45</v>
      </c>
      <c r="L1218" s="3">
        <v>46299</v>
      </c>
      <c r="M1218" s="2" t="str">
        <f>_xlfn.XLOOKUP(Deals[[#This Row],[CustomerID]],Customers!A:A,Customers!F:F)</f>
        <v>Mass</v>
      </c>
      <c r="N1218" s="2" t="str">
        <f>_xlfn.XLOOKUP(Deals[[#This Row],[CustomerID]],Customers!A:A,Customers!E:E)</f>
        <v>Kuwaiti</v>
      </c>
      <c r="O1218" s="2">
        <f>2026-_xlfn.XLOOKUP(Deals[[#This Row],[CustomerID]],Customers!A:A,Customers!D:D)</f>
        <v>26</v>
      </c>
      <c r="P1218" s="2" t="str" cm="1">
        <f t="array" ref="P1218">_xlfn.IFS(Deals[[#This Row],[Age]]&lt;30,"Under 30",Deals[[#This Row],[Age]]&lt;45,"30-44",TRUE,"45+")</f>
        <v>Under 30</v>
      </c>
      <c r="Q1218" s="21">
        <f>IF(Deals[[#This Row],[Status]]="Pending","",Deals[[#This Row],[DecisionDate]]-Deals[[#This Row],[ApplicationDate]])</f>
        <v>20</v>
      </c>
      <c r="R1218" s="21">
        <f>IF(Deals[[#This Row],[Status]]="Approved",1,0)</f>
        <v>0</v>
      </c>
      <c r="S1218" s="21">
        <f>IF(Deals[[#This Row],[IsApproved]]=1,Deals[[#This Row],[Amount]],0)</f>
        <v>0</v>
      </c>
      <c r="T1218" s="21">
        <f>Deals[[#This Row],[ApprovedAmount]]*Deals[[#This Row],[ProfitRate]]</f>
        <v>0</v>
      </c>
    </row>
    <row r="1219" spans="1:20">
      <c r="A1219" s="2" t="s">
        <v>2012</v>
      </c>
      <c r="B1219" s="3">
        <v>46279</v>
      </c>
      <c r="C1219" s="2" t="s">
        <v>2013</v>
      </c>
      <c r="D1219" s="2" t="s">
        <v>71</v>
      </c>
      <c r="E1219" s="2" t="s">
        <v>30</v>
      </c>
      <c r="F1219" s="2" t="s">
        <v>31</v>
      </c>
      <c r="G1219" s="4">
        <v>13700</v>
      </c>
      <c r="H1219" s="5">
        <v>4.58E-2</v>
      </c>
      <c r="I1219" s="2">
        <v>60</v>
      </c>
      <c r="J1219" s="2" t="s">
        <v>101</v>
      </c>
      <c r="K1219" s="2" t="s">
        <v>17</v>
      </c>
      <c r="L1219" s="3">
        <v>46283</v>
      </c>
      <c r="M1219" s="2" t="str">
        <f>_xlfn.XLOOKUP(Deals[[#This Row],[CustomerID]],Customers!A:A,Customers!F:F)</f>
        <v>Mass</v>
      </c>
      <c r="N1219" s="2" t="str">
        <f>_xlfn.XLOOKUP(Deals[[#This Row],[CustomerID]],Customers!A:A,Customers!E:E)</f>
        <v>Kuwaiti</v>
      </c>
      <c r="O1219" s="2">
        <f>2026-_xlfn.XLOOKUP(Deals[[#This Row],[CustomerID]],Customers!A:A,Customers!D:D)</f>
        <v>51</v>
      </c>
      <c r="P1219" s="2" t="str" cm="1">
        <f t="array" ref="P1219">_xlfn.IFS(Deals[[#This Row],[Age]]&lt;30,"Under 30",Deals[[#This Row],[Age]]&lt;45,"30-44",TRUE,"45+")</f>
        <v>45+</v>
      </c>
      <c r="Q1219" s="21">
        <f>IF(Deals[[#This Row],[Status]]="Pending","",Deals[[#This Row],[DecisionDate]]-Deals[[#This Row],[ApplicationDate]])</f>
        <v>4</v>
      </c>
      <c r="R1219" s="21">
        <f>IF(Deals[[#This Row],[Status]]="Approved",1,0)</f>
        <v>1</v>
      </c>
      <c r="S1219" s="21">
        <f>IF(Deals[[#This Row],[IsApproved]]=1,Deals[[#This Row],[Amount]],0)</f>
        <v>13700</v>
      </c>
      <c r="T1219" s="21">
        <f>Deals[[#This Row],[ApprovedAmount]]*Deals[[#This Row],[ProfitRate]]</f>
        <v>627.46</v>
      </c>
    </row>
    <row r="1220" spans="1:20">
      <c r="A1220" s="2" t="s">
        <v>2014</v>
      </c>
      <c r="B1220" s="3">
        <v>46279</v>
      </c>
      <c r="C1220" s="2" t="s">
        <v>1030</v>
      </c>
      <c r="D1220" s="2" t="s">
        <v>20</v>
      </c>
      <c r="E1220" s="2" t="s">
        <v>30</v>
      </c>
      <c r="F1220" s="2" t="s">
        <v>3</v>
      </c>
      <c r="G1220" s="4">
        <v>21400</v>
      </c>
      <c r="H1220" s="5">
        <v>4.7E-2</v>
      </c>
      <c r="I1220" s="2">
        <v>60</v>
      </c>
      <c r="J1220" s="2" t="s">
        <v>22</v>
      </c>
      <c r="K1220" s="2" t="s">
        <v>17</v>
      </c>
      <c r="L1220" s="3">
        <v>46283</v>
      </c>
      <c r="M1220" s="2" t="str">
        <f>_xlfn.XLOOKUP(Deals[[#This Row],[CustomerID]],Customers!A:A,Customers!F:F)</f>
        <v>Premium</v>
      </c>
      <c r="N1220" s="2" t="str">
        <f>_xlfn.XLOOKUP(Deals[[#This Row],[CustomerID]],Customers!A:A,Customers!E:E)</f>
        <v>Kuwaiti</v>
      </c>
      <c r="O1220" s="2">
        <f>2026-_xlfn.XLOOKUP(Deals[[#This Row],[CustomerID]],Customers!A:A,Customers!D:D)</f>
        <v>32</v>
      </c>
      <c r="P1220" s="2" t="str" cm="1">
        <f t="array" ref="P1220">_xlfn.IFS(Deals[[#This Row],[Age]]&lt;30,"Under 30",Deals[[#This Row],[Age]]&lt;45,"30-44",TRUE,"45+")</f>
        <v>30-44</v>
      </c>
      <c r="Q1220" s="21">
        <f>IF(Deals[[#This Row],[Status]]="Pending","",Deals[[#This Row],[DecisionDate]]-Deals[[#This Row],[ApplicationDate]])</f>
        <v>4</v>
      </c>
      <c r="R1220" s="21">
        <f>IF(Deals[[#This Row],[Status]]="Approved",1,0)</f>
        <v>1</v>
      </c>
      <c r="S1220" s="21">
        <f>IF(Deals[[#This Row],[IsApproved]]=1,Deals[[#This Row],[Amount]],0)</f>
        <v>21400</v>
      </c>
      <c r="T1220" s="21">
        <f>Deals[[#This Row],[ApprovedAmount]]*Deals[[#This Row],[ProfitRate]]</f>
        <v>1005.8</v>
      </c>
    </row>
    <row r="1221" spans="1:20">
      <c r="A1221" s="2" t="s">
        <v>2015</v>
      </c>
      <c r="B1221" s="3">
        <v>46280</v>
      </c>
      <c r="C1221" s="2" t="s">
        <v>346</v>
      </c>
      <c r="D1221" s="2" t="s">
        <v>54</v>
      </c>
      <c r="E1221" s="2" t="s">
        <v>30</v>
      </c>
      <c r="F1221" s="2" t="s">
        <v>3</v>
      </c>
      <c r="G1221" s="4">
        <v>13300</v>
      </c>
      <c r="H1221" s="5">
        <v>3.9300000000000002E-2</v>
      </c>
      <c r="I1221" s="2">
        <v>48</v>
      </c>
      <c r="J1221" s="2" t="s">
        <v>186</v>
      </c>
      <c r="K1221" s="2" t="s">
        <v>1916</v>
      </c>
      <c r="L1221" s="2"/>
      <c r="M1221" s="2" t="str">
        <f>_xlfn.XLOOKUP(Deals[[#This Row],[CustomerID]],Customers!A:A,Customers!F:F)</f>
        <v>Affluent</v>
      </c>
      <c r="N1221" s="2" t="str">
        <f>_xlfn.XLOOKUP(Deals[[#This Row],[CustomerID]],Customers!A:A,Customers!E:E)</f>
        <v>Kuwaiti</v>
      </c>
      <c r="O1221" s="2">
        <f>2026-_xlfn.XLOOKUP(Deals[[#This Row],[CustomerID]],Customers!A:A,Customers!D:D)</f>
        <v>39</v>
      </c>
      <c r="P1221" s="2" t="str" cm="1">
        <f t="array" ref="P1221">_xlfn.IFS(Deals[[#This Row],[Age]]&lt;30,"Under 30",Deals[[#This Row],[Age]]&lt;45,"30-44",TRUE,"45+")</f>
        <v>30-44</v>
      </c>
      <c r="Q1221" s="21" t="str">
        <f>IF(Deals[[#This Row],[Status]]="Pending","",Deals[[#This Row],[DecisionDate]]-Deals[[#This Row],[ApplicationDate]])</f>
        <v/>
      </c>
      <c r="R1221" s="21">
        <f>IF(Deals[[#This Row],[Status]]="Approved",1,0)</f>
        <v>0</v>
      </c>
      <c r="S1221" s="21">
        <f>IF(Deals[[#This Row],[IsApproved]]=1,Deals[[#This Row],[Amount]],0)</f>
        <v>0</v>
      </c>
      <c r="T1221" s="21">
        <f>Deals[[#This Row],[ApprovedAmount]]*Deals[[#This Row],[ProfitRate]]</f>
        <v>0</v>
      </c>
    </row>
    <row r="1222" spans="1:20">
      <c r="A1222" s="2" t="s">
        <v>2016</v>
      </c>
      <c r="B1222" s="3">
        <v>46280</v>
      </c>
      <c r="C1222" s="2" t="s">
        <v>640</v>
      </c>
      <c r="D1222" s="2" t="s">
        <v>20</v>
      </c>
      <c r="E1222" s="2" t="s">
        <v>15</v>
      </c>
      <c r="F1222" s="2" t="s">
        <v>3</v>
      </c>
      <c r="G1222" s="4">
        <v>21000</v>
      </c>
      <c r="H1222" s="5">
        <v>5.4300000000000001E-2</v>
      </c>
      <c r="I1222" s="2">
        <v>12</v>
      </c>
      <c r="J1222" s="2" t="s">
        <v>44</v>
      </c>
      <c r="K1222" s="2" t="s">
        <v>1916</v>
      </c>
      <c r="L1222" s="2"/>
      <c r="M1222" s="2" t="str">
        <f>_xlfn.XLOOKUP(Deals[[#This Row],[CustomerID]],Customers!A:A,Customers!F:F)</f>
        <v>Affluent</v>
      </c>
      <c r="N1222" s="2" t="str">
        <f>_xlfn.XLOOKUP(Deals[[#This Row],[CustomerID]],Customers!A:A,Customers!E:E)</f>
        <v>Kuwaiti</v>
      </c>
      <c r="O1222" s="2">
        <f>2026-_xlfn.XLOOKUP(Deals[[#This Row],[CustomerID]],Customers!A:A,Customers!D:D)</f>
        <v>42</v>
      </c>
      <c r="P1222" s="2" t="str" cm="1">
        <f t="array" ref="P1222">_xlfn.IFS(Deals[[#This Row],[Age]]&lt;30,"Under 30",Deals[[#This Row],[Age]]&lt;45,"30-44",TRUE,"45+")</f>
        <v>30-44</v>
      </c>
      <c r="Q1222" s="21" t="str">
        <f>IF(Deals[[#This Row],[Status]]="Pending","",Deals[[#This Row],[DecisionDate]]-Deals[[#This Row],[ApplicationDate]])</f>
        <v/>
      </c>
      <c r="R1222" s="21">
        <f>IF(Deals[[#This Row],[Status]]="Approved",1,0)</f>
        <v>0</v>
      </c>
      <c r="S1222" s="21">
        <f>IF(Deals[[#This Row],[IsApproved]]=1,Deals[[#This Row],[Amount]],0)</f>
        <v>0</v>
      </c>
      <c r="T1222" s="21">
        <f>Deals[[#This Row],[ApprovedAmount]]*Deals[[#This Row],[ProfitRate]]</f>
        <v>0</v>
      </c>
    </row>
    <row r="1223" spans="1:20">
      <c r="A1223" s="2" t="s">
        <v>2017</v>
      </c>
      <c r="B1223" s="3">
        <v>46280</v>
      </c>
      <c r="C1223" s="2" t="s">
        <v>242</v>
      </c>
      <c r="D1223" s="2" t="s">
        <v>71</v>
      </c>
      <c r="E1223" s="2" t="s">
        <v>15</v>
      </c>
      <c r="F1223" s="2" t="s">
        <v>3</v>
      </c>
      <c r="G1223" s="4">
        <v>16600</v>
      </c>
      <c r="H1223" s="5">
        <v>0.06</v>
      </c>
      <c r="I1223" s="2">
        <v>24</v>
      </c>
      <c r="J1223" s="2" t="s">
        <v>101</v>
      </c>
      <c r="K1223" s="2" t="s">
        <v>45</v>
      </c>
      <c r="L1223" s="3">
        <v>46287</v>
      </c>
      <c r="M1223" s="2" t="str">
        <f>_xlfn.XLOOKUP(Deals[[#This Row],[CustomerID]],Customers!A:A,Customers!F:F)</f>
        <v>Mass</v>
      </c>
      <c r="N1223" s="2" t="str">
        <f>_xlfn.XLOOKUP(Deals[[#This Row],[CustomerID]],Customers!A:A,Customers!E:E)</f>
        <v>Kuwaiti</v>
      </c>
      <c r="O1223" s="2">
        <f>2026-_xlfn.XLOOKUP(Deals[[#This Row],[CustomerID]],Customers!A:A,Customers!D:D)</f>
        <v>25</v>
      </c>
      <c r="P1223" s="2" t="str" cm="1">
        <f t="array" ref="P1223">_xlfn.IFS(Deals[[#This Row],[Age]]&lt;30,"Under 30",Deals[[#This Row],[Age]]&lt;45,"30-44",TRUE,"45+")</f>
        <v>Under 30</v>
      </c>
      <c r="Q1223" s="21">
        <f>IF(Deals[[#This Row],[Status]]="Pending","",Deals[[#This Row],[DecisionDate]]-Deals[[#This Row],[ApplicationDate]])</f>
        <v>7</v>
      </c>
      <c r="R1223" s="21">
        <f>IF(Deals[[#This Row],[Status]]="Approved",1,0)</f>
        <v>0</v>
      </c>
      <c r="S1223" s="21">
        <f>IF(Deals[[#This Row],[IsApproved]]=1,Deals[[#This Row],[Amount]],0)</f>
        <v>0</v>
      </c>
      <c r="T1223" s="21">
        <f>Deals[[#This Row],[ApprovedAmount]]*Deals[[#This Row],[ProfitRate]]</f>
        <v>0</v>
      </c>
    </row>
    <row r="1224" spans="1:20">
      <c r="A1224" s="2" t="s">
        <v>2018</v>
      </c>
      <c r="B1224" s="3">
        <v>46280</v>
      </c>
      <c r="C1224" s="2" t="s">
        <v>50</v>
      </c>
      <c r="D1224" s="2" t="s">
        <v>14</v>
      </c>
      <c r="E1224" s="2" t="s">
        <v>15</v>
      </c>
      <c r="F1224" s="2" t="s">
        <v>3</v>
      </c>
      <c r="G1224" s="4">
        <v>21000</v>
      </c>
      <c r="H1224" s="5">
        <v>5.1799999999999999E-2</v>
      </c>
      <c r="I1224" s="2">
        <v>24</v>
      </c>
      <c r="J1224" s="2" t="s">
        <v>48</v>
      </c>
      <c r="K1224" s="2" t="s">
        <v>1916</v>
      </c>
      <c r="L1224" s="2"/>
      <c r="M1224" s="2" t="str">
        <f>_xlfn.XLOOKUP(Deals[[#This Row],[CustomerID]],Customers!A:A,Customers!F:F)</f>
        <v>Affluent</v>
      </c>
      <c r="N1224" s="2" t="str">
        <f>_xlfn.XLOOKUP(Deals[[#This Row],[CustomerID]],Customers!A:A,Customers!E:E)</f>
        <v>Kuwaiti</v>
      </c>
      <c r="O1224" s="2">
        <f>2026-_xlfn.XLOOKUP(Deals[[#This Row],[CustomerID]],Customers!A:A,Customers!D:D)</f>
        <v>45</v>
      </c>
      <c r="P1224" s="2" t="str" cm="1">
        <f t="array" ref="P1224">_xlfn.IFS(Deals[[#This Row],[Age]]&lt;30,"Under 30",Deals[[#This Row],[Age]]&lt;45,"30-44",TRUE,"45+")</f>
        <v>45+</v>
      </c>
      <c r="Q1224" s="21" t="str">
        <f>IF(Deals[[#This Row],[Status]]="Pending","",Deals[[#This Row],[DecisionDate]]-Deals[[#This Row],[ApplicationDate]])</f>
        <v/>
      </c>
      <c r="R1224" s="21">
        <f>IF(Deals[[#This Row],[Status]]="Approved",1,0)</f>
        <v>0</v>
      </c>
      <c r="S1224" s="21">
        <f>IF(Deals[[#This Row],[IsApproved]]=1,Deals[[#This Row],[Amount]],0)</f>
        <v>0</v>
      </c>
      <c r="T1224" s="21">
        <f>Deals[[#This Row],[ApprovedAmount]]*Deals[[#This Row],[ProfitRate]]</f>
        <v>0</v>
      </c>
    </row>
    <row r="1225" spans="1:20">
      <c r="A1225" s="2" t="s">
        <v>2019</v>
      </c>
      <c r="B1225" s="3">
        <v>46280</v>
      </c>
      <c r="C1225" s="2" t="s">
        <v>793</v>
      </c>
      <c r="D1225" s="2" t="s">
        <v>25</v>
      </c>
      <c r="E1225" s="2" t="s">
        <v>43</v>
      </c>
      <c r="F1225" s="2" t="s">
        <v>3</v>
      </c>
      <c r="G1225" s="4">
        <v>82900</v>
      </c>
      <c r="H1225" s="5">
        <v>7.1800000000000003E-2</v>
      </c>
      <c r="I1225" s="2">
        <v>24</v>
      </c>
      <c r="J1225" s="2" t="s">
        <v>26</v>
      </c>
      <c r="K1225" s="2" t="s">
        <v>1916</v>
      </c>
      <c r="L1225" s="2"/>
      <c r="M1225" s="2" t="str">
        <f>_xlfn.XLOOKUP(Deals[[#This Row],[CustomerID]],Customers!A:A,Customers!F:F)</f>
        <v>Mass</v>
      </c>
      <c r="N1225" s="2" t="str">
        <f>_xlfn.XLOOKUP(Deals[[#This Row],[CustomerID]],Customers!A:A,Customers!E:E)</f>
        <v>Non-Kuwaiti</v>
      </c>
      <c r="O1225" s="2">
        <f>2026-_xlfn.XLOOKUP(Deals[[#This Row],[CustomerID]],Customers!A:A,Customers!D:D)</f>
        <v>22</v>
      </c>
      <c r="P1225" s="2" t="str" cm="1">
        <f t="array" ref="P1225">_xlfn.IFS(Deals[[#This Row],[Age]]&lt;30,"Under 30",Deals[[#This Row],[Age]]&lt;45,"30-44",TRUE,"45+")</f>
        <v>Under 30</v>
      </c>
      <c r="Q1225" s="21" t="str">
        <f>IF(Deals[[#This Row],[Status]]="Pending","",Deals[[#This Row],[DecisionDate]]-Deals[[#This Row],[ApplicationDate]])</f>
        <v/>
      </c>
      <c r="R1225" s="21">
        <f>IF(Deals[[#This Row],[Status]]="Approved",1,0)</f>
        <v>0</v>
      </c>
      <c r="S1225" s="21">
        <f>IF(Deals[[#This Row],[IsApproved]]=1,Deals[[#This Row],[Amount]],0)</f>
        <v>0</v>
      </c>
      <c r="T1225" s="21">
        <f>Deals[[#This Row],[ApprovedAmount]]*Deals[[#This Row],[ProfitRate]]</f>
        <v>0</v>
      </c>
    </row>
    <row r="1226" spans="1:20">
      <c r="A1226" s="2" t="s">
        <v>2020</v>
      </c>
      <c r="B1226" s="3">
        <v>46281</v>
      </c>
      <c r="C1226" s="2" t="s">
        <v>2021</v>
      </c>
      <c r="D1226" s="2" t="s">
        <v>20</v>
      </c>
      <c r="E1226" s="2" t="s">
        <v>30</v>
      </c>
      <c r="F1226" s="2" t="s">
        <v>3</v>
      </c>
      <c r="G1226" s="4">
        <v>14200</v>
      </c>
      <c r="H1226" s="5">
        <v>3.8600000000000002E-2</v>
      </c>
      <c r="I1226" s="2">
        <v>60</v>
      </c>
      <c r="J1226" s="2" t="s">
        <v>37</v>
      </c>
      <c r="K1226" s="2" t="s">
        <v>17</v>
      </c>
      <c r="L1226" s="3">
        <v>46286</v>
      </c>
      <c r="M1226" s="2" t="str">
        <f>_xlfn.XLOOKUP(Deals[[#This Row],[CustomerID]],Customers!A:A,Customers!F:F)</f>
        <v>Affluent</v>
      </c>
      <c r="N1226" s="2" t="str">
        <f>_xlfn.XLOOKUP(Deals[[#This Row],[CustomerID]],Customers!A:A,Customers!E:E)</f>
        <v>Kuwaiti</v>
      </c>
      <c r="O1226" s="2">
        <f>2026-_xlfn.XLOOKUP(Deals[[#This Row],[CustomerID]],Customers!A:A,Customers!D:D)</f>
        <v>30</v>
      </c>
      <c r="P1226" s="2" t="str" cm="1">
        <f t="array" ref="P1226">_xlfn.IFS(Deals[[#This Row],[Age]]&lt;30,"Under 30",Deals[[#This Row],[Age]]&lt;45,"30-44",TRUE,"45+")</f>
        <v>30-44</v>
      </c>
      <c r="Q1226" s="21">
        <f>IF(Deals[[#This Row],[Status]]="Pending","",Deals[[#This Row],[DecisionDate]]-Deals[[#This Row],[ApplicationDate]])</f>
        <v>5</v>
      </c>
      <c r="R1226" s="21">
        <f>IF(Deals[[#This Row],[Status]]="Approved",1,0)</f>
        <v>1</v>
      </c>
      <c r="S1226" s="21">
        <f>IF(Deals[[#This Row],[IsApproved]]=1,Deals[[#This Row],[Amount]],0)</f>
        <v>14200</v>
      </c>
      <c r="T1226" s="21">
        <f>Deals[[#This Row],[ApprovedAmount]]*Deals[[#This Row],[ProfitRate]]</f>
        <v>548.12</v>
      </c>
    </row>
    <row r="1227" spans="1:20">
      <c r="A1227" s="2" t="s">
        <v>2022</v>
      </c>
      <c r="B1227" s="3">
        <v>46281</v>
      </c>
      <c r="C1227" s="2" t="s">
        <v>1314</v>
      </c>
      <c r="D1227" s="2" t="s">
        <v>14</v>
      </c>
      <c r="E1227" s="2" t="s">
        <v>15</v>
      </c>
      <c r="F1227" s="2" t="s">
        <v>3</v>
      </c>
      <c r="G1227" s="4">
        <v>11600</v>
      </c>
      <c r="H1227" s="5">
        <v>6.25E-2</v>
      </c>
      <c r="I1227" s="2">
        <v>36</v>
      </c>
      <c r="J1227" s="2" t="s">
        <v>16</v>
      </c>
      <c r="K1227" s="2" t="s">
        <v>1916</v>
      </c>
      <c r="L1227" s="2"/>
      <c r="M1227" s="2" t="str">
        <f>_xlfn.XLOOKUP(Deals[[#This Row],[CustomerID]],Customers!A:A,Customers!F:F)</f>
        <v>Affluent</v>
      </c>
      <c r="N1227" s="2" t="str">
        <f>_xlfn.XLOOKUP(Deals[[#This Row],[CustomerID]],Customers!A:A,Customers!E:E)</f>
        <v>Kuwaiti</v>
      </c>
      <c r="O1227" s="2">
        <f>2026-_xlfn.XLOOKUP(Deals[[#This Row],[CustomerID]],Customers!A:A,Customers!D:D)</f>
        <v>36</v>
      </c>
      <c r="P1227" s="2" t="str" cm="1">
        <f t="array" ref="P1227">_xlfn.IFS(Deals[[#This Row],[Age]]&lt;30,"Under 30",Deals[[#This Row],[Age]]&lt;45,"30-44",TRUE,"45+")</f>
        <v>30-44</v>
      </c>
      <c r="Q1227" s="21" t="str">
        <f>IF(Deals[[#This Row],[Status]]="Pending","",Deals[[#This Row],[DecisionDate]]-Deals[[#This Row],[ApplicationDate]])</f>
        <v/>
      </c>
      <c r="R1227" s="21">
        <f>IF(Deals[[#This Row],[Status]]="Approved",1,0)</f>
        <v>0</v>
      </c>
      <c r="S1227" s="21">
        <f>IF(Deals[[#This Row],[IsApproved]]=1,Deals[[#This Row],[Amount]],0)</f>
        <v>0</v>
      </c>
      <c r="T1227" s="21">
        <f>Deals[[#This Row],[ApprovedAmount]]*Deals[[#This Row],[ProfitRate]]</f>
        <v>0</v>
      </c>
    </row>
    <row r="1228" spans="1:20">
      <c r="A1228" s="2" t="s">
        <v>2023</v>
      </c>
      <c r="B1228" s="3">
        <v>46281</v>
      </c>
      <c r="C1228" s="2" t="s">
        <v>236</v>
      </c>
      <c r="D1228" s="2" t="s">
        <v>14</v>
      </c>
      <c r="E1228" s="2" t="s">
        <v>43</v>
      </c>
      <c r="F1228" s="2" t="s">
        <v>3</v>
      </c>
      <c r="G1228" s="4">
        <v>52800</v>
      </c>
      <c r="H1228" s="5">
        <v>6.1899999999999997E-2</v>
      </c>
      <c r="I1228" s="2">
        <v>60</v>
      </c>
      <c r="J1228" s="2" t="s">
        <v>16</v>
      </c>
      <c r="K1228" s="2" t="s">
        <v>1916</v>
      </c>
      <c r="L1228" s="2"/>
      <c r="M1228" s="2" t="str">
        <f>_xlfn.XLOOKUP(Deals[[#This Row],[CustomerID]],Customers!A:A,Customers!F:F)</f>
        <v>Mass</v>
      </c>
      <c r="N1228" s="2" t="str">
        <f>_xlfn.XLOOKUP(Deals[[#This Row],[CustomerID]],Customers!A:A,Customers!E:E)</f>
        <v>Kuwaiti</v>
      </c>
      <c r="O1228" s="2">
        <f>2026-_xlfn.XLOOKUP(Deals[[#This Row],[CustomerID]],Customers!A:A,Customers!D:D)</f>
        <v>37</v>
      </c>
      <c r="P1228" s="2" t="str" cm="1">
        <f t="array" ref="P1228">_xlfn.IFS(Deals[[#This Row],[Age]]&lt;30,"Under 30",Deals[[#This Row],[Age]]&lt;45,"30-44",TRUE,"45+")</f>
        <v>30-44</v>
      </c>
      <c r="Q1228" s="21" t="str">
        <f>IF(Deals[[#This Row],[Status]]="Pending","",Deals[[#This Row],[DecisionDate]]-Deals[[#This Row],[ApplicationDate]])</f>
        <v/>
      </c>
      <c r="R1228" s="21">
        <f>IF(Deals[[#This Row],[Status]]="Approved",1,0)</f>
        <v>0</v>
      </c>
      <c r="S1228" s="21">
        <f>IF(Deals[[#This Row],[IsApproved]]=1,Deals[[#This Row],[Amount]],0)</f>
        <v>0</v>
      </c>
      <c r="T1228" s="21">
        <f>Deals[[#This Row],[ApprovedAmount]]*Deals[[#This Row],[ProfitRate]]</f>
        <v>0</v>
      </c>
    </row>
    <row r="1229" spans="1:20">
      <c r="A1229" s="2" t="s">
        <v>2025</v>
      </c>
      <c r="B1229" s="3">
        <v>46281</v>
      </c>
      <c r="C1229" s="2" t="s">
        <v>1206</v>
      </c>
      <c r="D1229" s="2" t="s">
        <v>20</v>
      </c>
      <c r="E1229" s="2" t="s">
        <v>43</v>
      </c>
      <c r="F1229" s="2" t="s">
        <v>3</v>
      </c>
      <c r="G1229" s="4">
        <v>145500</v>
      </c>
      <c r="H1229" s="5">
        <v>6.5299999999999997E-2</v>
      </c>
      <c r="I1229" s="2">
        <v>36</v>
      </c>
      <c r="J1229" s="2" t="s">
        <v>37</v>
      </c>
      <c r="K1229" s="2" t="s">
        <v>1916</v>
      </c>
      <c r="L1229" s="2"/>
      <c r="M1229" s="2" t="str">
        <f>_xlfn.XLOOKUP(Deals[[#This Row],[CustomerID]],Customers!A:A,Customers!F:F)</f>
        <v>Mass</v>
      </c>
      <c r="N1229" s="2" t="str">
        <f>_xlfn.XLOOKUP(Deals[[#This Row],[CustomerID]],Customers!A:A,Customers!E:E)</f>
        <v>Kuwaiti</v>
      </c>
      <c r="O1229" s="2">
        <f>2026-_xlfn.XLOOKUP(Deals[[#This Row],[CustomerID]],Customers!A:A,Customers!D:D)</f>
        <v>59</v>
      </c>
      <c r="P1229" s="2" t="str" cm="1">
        <f t="array" ref="P1229">_xlfn.IFS(Deals[[#This Row],[Age]]&lt;30,"Under 30",Deals[[#This Row],[Age]]&lt;45,"30-44",TRUE,"45+")</f>
        <v>45+</v>
      </c>
      <c r="Q1229" s="21" t="str">
        <f>IF(Deals[[#This Row],[Status]]="Pending","",Deals[[#This Row],[DecisionDate]]-Deals[[#This Row],[ApplicationDate]])</f>
        <v/>
      </c>
      <c r="R1229" s="21">
        <f>IF(Deals[[#This Row],[Status]]="Approved",1,0)</f>
        <v>0</v>
      </c>
      <c r="S1229" s="21">
        <f>IF(Deals[[#This Row],[IsApproved]]=1,Deals[[#This Row],[Amount]],0)</f>
        <v>0</v>
      </c>
      <c r="T1229" s="21">
        <f>Deals[[#This Row],[ApprovedAmount]]*Deals[[#This Row],[ProfitRate]]</f>
        <v>0</v>
      </c>
    </row>
    <row r="1230" spans="1:20">
      <c r="A1230" s="2" t="s">
        <v>2026</v>
      </c>
      <c r="B1230" s="3">
        <v>46281</v>
      </c>
      <c r="C1230" s="2" t="s">
        <v>2027</v>
      </c>
      <c r="D1230" s="2" t="s">
        <v>54</v>
      </c>
      <c r="E1230" s="2" t="s">
        <v>15</v>
      </c>
      <c r="F1230" s="2" t="s">
        <v>3</v>
      </c>
      <c r="G1230" s="4">
        <v>23900</v>
      </c>
      <c r="H1230" s="5">
        <v>6.4899999999999999E-2</v>
      </c>
      <c r="I1230" s="2">
        <v>60</v>
      </c>
      <c r="J1230" s="2" t="s">
        <v>56</v>
      </c>
      <c r="K1230" s="2" t="s">
        <v>1916</v>
      </c>
      <c r="L1230" s="2"/>
      <c r="M1230" s="2" t="str">
        <f>_xlfn.XLOOKUP(Deals[[#This Row],[CustomerID]],Customers!A:A,Customers!F:F)</f>
        <v>Mass</v>
      </c>
      <c r="N1230" s="2" t="str">
        <f>_xlfn.XLOOKUP(Deals[[#This Row],[CustomerID]],Customers!A:A,Customers!E:E)</f>
        <v>Kuwaiti</v>
      </c>
      <c r="O1230" s="2">
        <f>2026-_xlfn.XLOOKUP(Deals[[#This Row],[CustomerID]],Customers!A:A,Customers!D:D)</f>
        <v>34</v>
      </c>
      <c r="P1230" s="2" t="str" cm="1">
        <f t="array" ref="P1230">_xlfn.IFS(Deals[[#This Row],[Age]]&lt;30,"Under 30",Deals[[#This Row],[Age]]&lt;45,"30-44",TRUE,"45+")</f>
        <v>30-44</v>
      </c>
      <c r="Q1230" s="21" t="str">
        <f>IF(Deals[[#This Row],[Status]]="Pending","",Deals[[#This Row],[DecisionDate]]-Deals[[#This Row],[ApplicationDate]])</f>
        <v/>
      </c>
      <c r="R1230" s="21">
        <f>IF(Deals[[#This Row],[Status]]="Approved",1,0)</f>
        <v>0</v>
      </c>
      <c r="S1230" s="21">
        <f>IF(Deals[[#This Row],[IsApproved]]=1,Deals[[#This Row],[Amount]],0)</f>
        <v>0</v>
      </c>
      <c r="T1230" s="21">
        <f>Deals[[#This Row],[ApprovedAmount]]*Deals[[#This Row],[ProfitRate]]</f>
        <v>0</v>
      </c>
    </row>
    <row r="1231" spans="1:20">
      <c r="A1231" s="2" t="s">
        <v>2028</v>
      </c>
      <c r="B1231" s="3">
        <v>46282</v>
      </c>
      <c r="C1231" s="2" t="s">
        <v>2029</v>
      </c>
      <c r="D1231" s="2" t="s">
        <v>71</v>
      </c>
      <c r="E1231" s="2" t="s">
        <v>15</v>
      </c>
      <c r="F1231" s="2" t="s">
        <v>31</v>
      </c>
      <c r="G1231" s="4">
        <v>22600</v>
      </c>
      <c r="H1231" s="5">
        <v>6.0999999999999999E-2</v>
      </c>
      <c r="I1231" s="2">
        <v>36</v>
      </c>
      <c r="J1231" s="2" t="s">
        <v>94</v>
      </c>
      <c r="K1231" s="2" t="s">
        <v>1916</v>
      </c>
      <c r="L1231" s="2"/>
      <c r="M1231" s="2" t="str">
        <f>_xlfn.XLOOKUP(Deals[[#This Row],[CustomerID]],Customers!A:A,Customers!F:F)</f>
        <v>Mass</v>
      </c>
      <c r="N1231" s="2" t="str">
        <f>_xlfn.XLOOKUP(Deals[[#This Row],[CustomerID]],Customers!A:A,Customers!E:E)</f>
        <v>Kuwaiti</v>
      </c>
      <c r="O1231" s="2">
        <f>2026-_xlfn.XLOOKUP(Deals[[#This Row],[CustomerID]],Customers!A:A,Customers!D:D)</f>
        <v>34</v>
      </c>
      <c r="P1231" s="2" t="str" cm="1">
        <f t="array" ref="P1231">_xlfn.IFS(Deals[[#This Row],[Age]]&lt;30,"Under 30",Deals[[#This Row],[Age]]&lt;45,"30-44",TRUE,"45+")</f>
        <v>30-44</v>
      </c>
      <c r="Q1231" s="21" t="str">
        <f>IF(Deals[[#This Row],[Status]]="Pending","",Deals[[#This Row],[DecisionDate]]-Deals[[#This Row],[ApplicationDate]])</f>
        <v/>
      </c>
      <c r="R1231" s="21">
        <f>IF(Deals[[#This Row],[Status]]="Approved",1,0)</f>
        <v>0</v>
      </c>
      <c r="S1231" s="21">
        <f>IF(Deals[[#This Row],[IsApproved]]=1,Deals[[#This Row],[Amount]],0)</f>
        <v>0</v>
      </c>
      <c r="T1231" s="21">
        <f>Deals[[#This Row],[ApprovedAmount]]*Deals[[#This Row],[ProfitRate]]</f>
        <v>0</v>
      </c>
    </row>
    <row r="1232" spans="1:20">
      <c r="A1232" s="2" t="s">
        <v>2030</v>
      </c>
      <c r="B1232" s="3">
        <v>46282</v>
      </c>
      <c r="C1232" s="2" t="s">
        <v>1168</v>
      </c>
      <c r="D1232" s="2" t="s">
        <v>54</v>
      </c>
      <c r="E1232" s="2" t="s">
        <v>43</v>
      </c>
      <c r="F1232" s="2" t="s">
        <v>31</v>
      </c>
      <c r="G1232" s="4">
        <v>53800</v>
      </c>
      <c r="H1232" s="5">
        <v>6.0499999999999998E-2</v>
      </c>
      <c r="I1232" s="2">
        <v>60</v>
      </c>
      <c r="J1232" s="2" t="s">
        <v>56</v>
      </c>
      <c r="K1232" s="2" t="s">
        <v>1916</v>
      </c>
      <c r="L1232" s="2"/>
      <c r="M1232" s="2" t="str">
        <f>_xlfn.XLOOKUP(Deals[[#This Row],[CustomerID]],Customers!A:A,Customers!F:F)</f>
        <v>Mass</v>
      </c>
      <c r="N1232" s="2" t="str">
        <f>_xlfn.XLOOKUP(Deals[[#This Row],[CustomerID]],Customers!A:A,Customers!E:E)</f>
        <v>Kuwaiti</v>
      </c>
      <c r="O1232" s="2">
        <f>2026-_xlfn.XLOOKUP(Deals[[#This Row],[CustomerID]],Customers!A:A,Customers!D:D)</f>
        <v>27</v>
      </c>
      <c r="P1232" s="2" t="str" cm="1">
        <f t="array" ref="P1232">_xlfn.IFS(Deals[[#This Row],[Age]]&lt;30,"Under 30",Deals[[#This Row],[Age]]&lt;45,"30-44",TRUE,"45+")</f>
        <v>Under 30</v>
      </c>
      <c r="Q1232" s="21" t="str">
        <f>IF(Deals[[#This Row],[Status]]="Pending","",Deals[[#This Row],[DecisionDate]]-Deals[[#This Row],[ApplicationDate]])</f>
        <v/>
      </c>
      <c r="R1232" s="21">
        <f>IF(Deals[[#This Row],[Status]]="Approved",1,0)</f>
        <v>0</v>
      </c>
      <c r="S1232" s="21">
        <f>IF(Deals[[#This Row],[IsApproved]]=1,Deals[[#This Row],[Amount]],0)</f>
        <v>0</v>
      </c>
      <c r="T1232" s="21">
        <f>Deals[[#This Row],[ApprovedAmount]]*Deals[[#This Row],[ProfitRate]]</f>
        <v>0</v>
      </c>
    </row>
    <row r="1233" spans="1:20">
      <c r="A1233" s="2" t="s">
        <v>2031</v>
      </c>
      <c r="B1233" s="3">
        <v>46283</v>
      </c>
      <c r="C1233" s="2" t="s">
        <v>713</v>
      </c>
      <c r="D1233" s="2" t="s">
        <v>14</v>
      </c>
      <c r="E1233" s="2" t="s">
        <v>43</v>
      </c>
      <c r="F1233" s="2" t="s">
        <v>3</v>
      </c>
      <c r="G1233" s="4">
        <v>31800</v>
      </c>
      <c r="H1233" s="5">
        <v>5.67E-2</v>
      </c>
      <c r="I1233" s="2">
        <v>36</v>
      </c>
      <c r="J1233" s="2" t="s">
        <v>40</v>
      </c>
      <c r="K1233" s="2" t="s">
        <v>17</v>
      </c>
      <c r="L1233" s="3">
        <v>46301</v>
      </c>
      <c r="M1233" s="2" t="str">
        <f>_xlfn.XLOOKUP(Deals[[#This Row],[CustomerID]],Customers!A:A,Customers!F:F)</f>
        <v>Mass</v>
      </c>
      <c r="N1233" s="2" t="str">
        <f>_xlfn.XLOOKUP(Deals[[#This Row],[CustomerID]],Customers!A:A,Customers!E:E)</f>
        <v>Kuwaiti</v>
      </c>
      <c r="O1233" s="2">
        <f>2026-_xlfn.XLOOKUP(Deals[[#This Row],[CustomerID]],Customers!A:A,Customers!D:D)</f>
        <v>27</v>
      </c>
      <c r="P1233" s="2" t="str" cm="1">
        <f t="array" ref="P1233">_xlfn.IFS(Deals[[#This Row],[Age]]&lt;30,"Under 30",Deals[[#This Row],[Age]]&lt;45,"30-44",TRUE,"45+")</f>
        <v>Under 30</v>
      </c>
      <c r="Q1233" s="21">
        <f>IF(Deals[[#This Row],[Status]]="Pending","",Deals[[#This Row],[DecisionDate]]-Deals[[#This Row],[ApplicationDate]])</f>
        <v>18</v>
      </c>
      <c r="R1233" s="21">
        <f>IF(Deals[[#This Row],[Status]]="Approved",1,0)</f>
        <v>1</v>
      </c>
      <c r="S1233" s="21">
        <f>IF(Deals[[#This Row],[IsApproved]]=1,Deals[[#This Row],[Amount]],0)</f>
        <v>31800</v>
      </c>
      <c r="T1233" s="21">
        <f>Deals[[#This Row],[ApprovedAmount]]*Deals[[#This Row],[ProfitRate]]</f>
        <v>1803.06</v>
      </c>
    </row>
    <row r="1234" spans="1:20">
      <c r="A1234" s="2" t="s">
        <v>2032</v>
      </c>
      <c r="B1234" s="3">
        <v>46283</v>
      </c>
      <c r="C1234" s="2" t="s">
        <v>1470</v>
      </c>
      <c r="D1234" s="2" t="s">
        <v>71</v>
      </c>
      <c r="E1234" s="2" t="s">
        <v>30</v>
      </c>
      <c r="F1234" s="2" t="s">
        <v>55</v>
      </c>
      <c r="G1234" s="4">
        <v>6200</v>
      </c>
      <c r="H1234" s="5">
        <v>4.7E-2</v>
      </c>
      <c r="I1234" s="2">
        <v>60</v>
      </c>
      <c r="J1234" s="2" t="s">
        <v>101</v>
      </c>
      <c r="K1234" s="2" t="s">
        <v>1916</v>
      </c>
      <c r="L1234" s="2"/>
      <c r="M1234" s="2" t="str">
        <f>_xlfn.XLOOKUP(Deals[[#This Row],[CustomerID]],Customers!A:A,Customers!F:F)</f>
        <v>Premium</v>
      </c>
      <c r="N1234" s="2" t="str">
        <f>_xlfn.XLOOKUP(Deals[[#This Row],[CustomerID]],Customers!A:A,Customers!E:E)</f>
        <v>Non-Kuwaiti</v>
      </c>
      <c r="O1234" s="2">
        <f>2026-_xlfn.XLOOKUP(Deals[[#This Row],[CustomerID]],Customers!A:A,Customers!D:D)</f>
        <v>55</v>
      </c>
      <c r="P1234" s="2" t="str" cm="1">
        <f t="array" ref="P1234">_xlfn.IFS(Deals[[#This Row],[Age]]&lt;30,"Under 30",Deals[[#This Row],[Age]]&lt;45,"30-44",TRUE,"45+")</f>
        <v>45+</v>
      </c>
      <c r="Q1234" s="21" t="str">
        <f>IF(Deals[[#This Row],[Status]]="Pending","",Deals[[#This Row],[DecisionDate]]-Deals[[#This Row],[ApplicationDate]])</f>
        <v/>
      </c>
      <c r="R1234" s="21">
        <f>IF(Deals[[#This Row],[Status]]="Approved",1,0)</f>
        <v>0</v>
      </c>
      <c r="S1234" s="21">
        <f>IF(Deals[[#This Row],[IsApproved]]=1,Deals[[#This Row],[Amount]],0)</f>
        <v>0</v>
      </c>
      <c r="T1234" s="21">
        <f>Deals[[#This Row],[ApprovedAmount]]*Deals[[#This Row],[ProfitRate]]</f>
        <v>0</v>
      </c>
    </row>
    <row r="1235" spans="1:20">
      <c r="A1235" s="2" t="s">
        <v>2033</v>
      </c>
      <c r="B1235" s="3">
        <v>46283</v>
      </c>
      <c r="C1235" s="2" t="s">
        <v>2034</v>
      </c>
      <c r="D1235" s="2" t="s">
        <v>29</v>
      </c>
      <c r="E1235" s="2" t="s">
        <v>30</v>
      </c>
      <c r="F1235" s="2" t="s">
        <v>3</v>
      </c>
      <c r="G1235" s="4">
        <v>21500</v>
      </c>
      <c r="H1235" s="5">
        <v>4.0899999999999999E-2</v>
      </c>
      <c r="I1235" s="2">
        <v>60</v>
      </c>
      <c r="J1235" s="2" t="s">
        <v>32</v>
      </c>
      <c r="K1235" s="2" t="s">
        <v>17</v>
      </c>
      <c r="L1235" s="3">
        <v>46286</v>
      </c>
      <c r="M1235" s="2" t="str">
        <f>_xlfn.XLOOKUP(Deals[[#This Row],[CustomerID]],Customers!A:A,Customers!F:F)</f>
        <v>Premium</v>
      </c>
      <c r="N1235" s="2" t="str">
        <f>_xlfn.XLOOKUP(Deals[[#This Row],[CustomerID]],Customers!A:A,Customers!E:E)</f>
        <v>Kuwaiti</v>
      </c>
      <c r="O1235" s="2">
        <f>2026-_xlfn.XLOOKUP(Deals[[#This Row],[CustomerID]],Customers!A:A,Customers!D:D)</f>
        <v>32</v>
      </c>
      <c r="P1235" s="2" t="str" cm="1">
        <f t="array" ref="P1235">_xlfn.IFS(Deals[[#This Row],[Age]]&lt;30,"Under 30",Deals[[#This Row],[Age]]&lt;45,"30-44",TRUE,"45+")</f>
        <v>30-44</v>
      </c>
      <c r="Q1235" s="21">
        <f>IF(Deals[[#This Row],[Status]]="Pending","",Deals[[#This Row],[DecisionDate]]-Deals[[#This Row],[ApplicationDate]])</f>
        <v>3</v>
      </c>
      <c r="R1235" s="21">
        <f>IF(Deals[[#This Row],[Status]]="Approved",1,0)</f>
        <v>1</v>
      </c>
      <c r="S1235" s="21">
        <f>IF(Deals[[#This Row],[IsApproved]]=1,Deals[[#This Row],[Amount]],0)</f>
        <v>21500</v>
      </c>
      <c r="T1235" s="21">
        <f>Deals[[#This Row],[ApprovedAmount]]*Deals[[#This Row],[ProfitRate]]</f>
        <v>879.35</v>
      </c>
    </row>
    <row r="1236" spans="1:20">
      <c r="A1236" s="2" t="s">
        <v>2035</v>
      </c>
      <c r="B1236" s="3">
        <v>46284</v>
      </c>
      <c r="C1236" s="2" t="s">
        <v>1382</v>
      </c>
      <c r="D1236" s="2" t="s">
        <v>54</v>
      </c>
      <c r="E1236" s="2" t="s">
        <v>15</v>
      </c>
      <c r="F1236" s="2" t="s">
        <v>3</v>
      </c>
      <c r="G1236" s="4">
        <v>22700</v>
      </c>
      <c r="H1236" s="5">
        <v>6.93E-2</v>
      </c>
      <c r="I1236" s="2">
        <v>36</v>
      </c>
      <c r="J1236" s="2" t="s">
        <v>186</v>
      </c>
      <c r="K1236" s="2" t="s">
        <v>17</v>
      </c>
      <c r="L1236" s="3">
        <v>46291</v>
      </c>
      <c r="M1236" s="2" t="str">
        <f>_xlfn.XLOOKUP(Deals[[#This Row],[CustomerID]],Customers!A:A,Customers!F:F)</f>
        <v>Affluent</v>
      </c>
      <c r="N1236" s="2" t="str">
        <f>_xlfn.XLOOKUP(Deals[[#This Row],[CustomerID]],Customers!A:A,Customers!E:E)</f>
        <v>Kuwaiti</v>
      </c>
      <c r="O1236" s="2">
        <f>2026-_xlfn.XLOOKUP(Deals[[#This Row],[CustomerID]],Customers!A:A,Customers!D:D)</f>
        <v>67</v>
      </c>
      <c r="P1236" s="2" t="str" cm="1">
        <f t="array" ref="P1236">_xlfn.IFS(Deals[[#This Row],[Age]]&lt;30,"Under 30",Deals[[#This Row],[Age]]&lt;45,"30-44",TRUE,"45+")</f>
        <v>45+</v>
      </c>
      <c r="Q1236" s="21">
        <f>IF(Deals[[#This Row],[Status]]="Pending","",Deals[[#This Row],[DecisionDate]]-Deals[[#This Row],[ApplicationDate]])</f>
        <v>7</v>
      </c>
      <c r="R1236" s="21">
        <f>IF(Deals[[#This Row],[Status]]="Approved",1,0)</f>
        <v>1</v>
      </c>
      <c r="S1236" s="21">
        <f>IF(Deals[[#This Row],[IsApproved]]=1,Deals[[#This Row],[Amount]],0)</f>
        <v>22700</v>
      </c>
      <c r="T1236" s="21">
        <f>Deals[[#This Row],[ApprovedAmount]]*Deals[[#This Row],[ProfitRate]]</f>
        <v>1573.11</v>
      </c>
    </row>
    <row r="1237" spans="1:20">
      <c r="A1237" s="2" t="s">
        <v>2036</v>
      </c>
      <c r="B1237" s="3">
        <v>46284</v>
      </c>
      <c r="C1237" s="2" t="s">
        <v>445</v>
      </c>
      <c r="D1237" s="2" t="s">
        <v>25</v>
      </c>
      <c r="E1237" s="2" t="s">
        <v>30</v>
      </c>
      <c r="F1237" s="2" t="s">
        <v>3</v>
      </c>
      <c r="G1237" s="4">
        <v>10000</v>
      </c>
      <c r="H1237" s="5">
        <v>3.5000000000000003E-2</v>
      </c>
      <c r="I1237" s="2">
        <v>36</v>
      </c>
      <c r="J1237" s="2" t="s">
        <v>66</v>
      </c>
      <c r="K1237" s="2" t="s">
        <v>1916</v>
      </c>
      <c r="L1237" s="2"/>
      <c r="M1237" s="2" t="str">
        <f>_xlfn.XLOOKUP(Deals[[#This Row],[CustomerID]],Customers!A:A,Customers!F:F)</f>
        <v>Mass</v>
      </c>
      <c r="N1237" s="2" t="str">
        <f>_xlfn.XLOOKUP(Deals[[#This Row],[CustomerID]],Customers!A:A,Customers!E:E)</f>
        <v>Kuwaiti</v>
      </c>
      <c r="O1237" s="2">
        <f>2026-_xlfn.XLOOKUP(Deals[[#This Row],[CustomerID]],Customers!A:A,Customers!D:D)</f>
        <v>43</v>
      </c>
      <c r="P1237" s="2" t="str" cm="1">
        <f t="array" ref="P1237">_xlfn.IFS(Deals[[#This Row],[Age]]&lt;30,"Under 30",Deals[[#This Row],[Age]]&lt;45,"30-44",TRUE,"45+")</f>
        <v>30-44</v>
      </c>
      <c r="Q1237" s="21" t="str">
        <f>IF(Deals[[#This Row],[Status]]="Pending","",Deals[[#This Row],[DecisionDate]]-Deals[[#This Row],[ApplicationDate]])</f>
        <v/>
      </c>
      <c r="R1237" s="21">
        <f>IF(Deals[[#This Row],[Status]]="Approved",1,0)</f>
        <v>0</v>
      </c>
      <c r="S1237" s="21">
        <f>IF(Deals[[#This Row],[IsApproved]]=1,Deals[[#This Row],[Amount]],0)</f>
        <v>0</v>
      </c>
      <c r="T1237" s="21">
        <f>Deals[[#This Row],[ApprovedAmount]]*Deals[[#This Row],[ProfitRate]]</f>
        <v>0</v>
      </c>
    </row>
    <row r="1238" spans="1:20">
      <c r="A1238" s="2" t="s">
        <v>2037</v>
      </c>
      <c r="B1238" s="3">
        <v>46284</v>
      </c>
      <c r="C1238" s="2" t="s">
        <v>979</v>
      </c>
      <c r="D1238" s="2" t="s">
        <v>14</v>
      </c>
      <c r="E1238" s="2" t="s">
        <v>15</v>
      </c>
      <c r="F1238" s="2" t="s">
        <v>31</v>
      </c>
      <c r="G1238" s="4">
        <v>22700</v>
      </c>
      <c r="H1238" s="5">
        <v>6.5000000000000002E-2</v>
      </c>
      <c r="I1238" s="2">
        <v>48</v>
      </c>
      <c r="J1238" s="2" t="s">
        <v>40</v>
      </c>
      <c r="K1238" s="2" t="s">
        <v>45</v>
      </c>
      <c r="L1238" s="3">
        <v>46286</v>
      </c>
      <c r="M1238" s="2" t="str">
        <f>_xlfn.XLOOKUP(Deals[[#This Row],[CustomerID]],Customers!A:A,Customers!F:F)</f>
        <v>Mass</v>
      </c>
      <c r="N1238" s="2" t="str">
        <f>_xlfn.XLOOKUP(Deals[[#This Row],[CustomerID]],Customers!A:A,Customers!E:E)</f>
        <v>Kuwaiti</v>
      </c>
      <c r="O1238" s="2">
        <f>2026-_xlfn.XLOOKUP(Deals[[#This Row],[CustomerID]],Customers!A:A,Customers!D:D)</f>
        <v>66</v>
      </c>
      <c r="P1238" s="2" t="str" cm="1">
        <f t="array" ref="P1238">_xlfn.IFS(Deals[[#This Row],[Age]]&lt;30,"Under 30",Deals[[#This Row],[Age]]&lt;45,"30-44",TRUE,"45+")</f>
        <v>45+</v>
      </c>
      <c r="Q1238" s="21">
        <f>IF(Deals[[#This Row],[Status]]="Pending","",Deals[[#This Row],[DecisionDate]]-Deals[[#This Row],[ApplicationDate]])</f>
        <v>2</v>
      </c>
      <c r="R1238" s="21">
        <f>IF(Deals[[#This Row],[Status]]="Approved",1,0)</f>
        <v>0</v>
      </c>
      <c r="S1238" s="21">
        <f>IF(Deals[[#This Row],[IsApproved]]=1,Deals[[#This Row],[Amount]],0)</f>
        <v>0</v>
      </c>
      <c r="T1238" s="21">
        <f>Deals[[#This Row],[ApprovedAmount]]*Deals[[#This Row],[ProfitRate]]</f>
        <v>0</v>
      </c>
    </row>
    <row r="1239" spans="1:20">
      <c r="A1239" s="2" t="s">
        <v>2038</v>
      </c>
      <c r="B1239" s="3">
        <v>46285</v>
      </c>
      <c r="C1239" s="2" t="s">
        <v>2039</v>
      </c>
      <c r="D1239" s="2" t="s">
        <v>29</v>
      </c>
      <c r="E1239" s="2" t="s">
        <v>43</v>
      </c>
      <c r="F1239" s="2" t="s">
        <v>55</v>
      </c>
      <c r="G1239" s="4">
        <v>104700</v>
      </c>
      <c r="H1239" s="5">
        <v>7.3099999999999998E-2</v>
      </c>
      <c r="I1239" s="2">
        <v>60</v>
      </c>
      <c r="J1239" s="2" t="s">
        <v>32</v>
      </c>
      <c r="K1239" s="2" t="s">
        <v>1916</v>
      </c>
      <c r="L1239" s="2"/>
      <c r="M1239" s="2" t="str">
        <f>_xlfn.XLOOKUP(Deals[[#This Row],[CustomerID]],Customers!A:A,Customers!F:F)</f>
        <v>Mass</v>
      </c>
      <c r="N1239" s="2" t="str">
        <f>_xlfn.XLOOKUP(Deals[[#This Row],[CustomerID]],Customers!A:A,Customers!E:E)</f>
        <v>Non-Kuwaiti</v>
      </c>
      <c r="O1239" s="2">
        <f>2026-_xlfn.XLOOKUP(Deals[[#This Row],[CustomerID]],Customers!A:A,Customers!D:D)</f>
        <v>28</v>
      </c>
      <c r="P1239" s="2" t="str" cm="1">
        <f t="array" ref="P1239">_xlfn.IFS(Deals[[#This Row],[Age]]&lt;30,"Under 30",Deals[[#This Row],[Age]]&lt;45,"30-44",TRUE,"45+")</f>
        <v>Under 30</v>
      </c>
      <c r="Q1239" s="21" t="str">
        <f>IF(Deals[[#This Row],[Status]]="Pending","",Deals[[#This Row],[DecisionDate]]-Deals[[#This Row],[ApplicationDate]])</f>
        <v/>
      </c>
      <c r="R1239" s="21">
        <f>IF(Deals[[#This Row],[Status]]="Approved",1,0)</f>
        <v>0</v>
      </c>
      <c r="S1239" s="21">
        <f>IF(Deals[[#This Row],[IsApproved]]=1,Deals[[#This Row],[Amount]],0)</f>
        <v>0</v>
      </c>
      <c r="T1239" s="21">
        <f>Deals[[#This Row],[ApprovedAmount]]*Deals[[#This Row],[ProfitRate]]</f>
        <v>0</v>
      </c>
    </row>
    <row r="1240" spans="1:20">
      <c r="A1240" s="2" t="s">
        <v>2040</v>
      </c>
      <c r="B1240" s="3">
        <v>46285</v>
      </c>
      <c r="C1240" s="2" t="s">
        <v>2041</v>
      </c>
      <c r="D1240" s="2" t="s">
        <v>25</v>
      </c>
      <c r="E1240" s="2" t="s">
        <v>43</v>
      </c>
      <c r="F1240" s="2" t="s">
        <v>31</v>
      </c>
      <c r="G1240" s="4">
        <v>86700</v>
      </c>
      <c r="H1240" s="5">
        <v>5.9799999999999999E-2</v>
      </c>
      <c r="I1240" s="2">
        <v>84</v>
      </c>
      <c r="J1240" s="2" t="s">
        <v>181</v>
      </c>
      <c r="K1240" s="2" t="s">
        <v>1916</v>
      </c>
      <c r="L1240" s="2"/>
      <c r="M1240" s="2" t="str">
        <f>_xlfn.XLOOKUP(Deals[[#This Row],[CustomerID]],Customers!A:A,Customers!F:F)</f>
        <v>Mass</v>
      </c>
      <c r="N1240" s="2" t="str">
        <f>_xlfn.XLOOKUP(Deals[[#This Row],[CustomerID]],Customers!A:A,Customers!E:E)</f>
        <v>Kuwaiti</v>
      </c>
      <c r="O1240" s="2">
        <f>2026-_xlfn.XLOOKUP(Deals[[#This Row],[CustomerID]],Customers!A:A,Customers!D:D)</f>
        <v>41</v>
      </c>
      <c r="P1240" s="2" t="str" cm="1">
        <f t="array" ref="P1240">_xlfn.IFS(Deals[[#This Row],[Age]]&lt;30,"Under 30",Deals[[#This Row],[Age]]&lt;45,"30-44",TRUE,"45+")</f>
        <v>30-44</v>
      </c>
      <c r="Q1240" s="21" t="str">
        <f>IF(Deals[[#This Row],[Status]]="Pending","",Deals[[#This Row],[DecisionDate]]-Deals[[#This Row],[ApplicationDate]])</f>
        <v/>
      </c>
      <c r="R1240" s="21">
        <f>IF(Deals[[#This Row],[Status]]="Approved",1,0)</f>
        <v>0</v>
      </c>
      <c r="S1240" s="21">
        <f>IF(Deals[[#This Row],[IsApproved]]=1,Deals[[#This Row],[Amount]],0)</f>
        <v>0</v>
      </c>
      <c r="T1240" s="21">
        <f>Deals[[#This Row],[ApprovedAmount]]*Deals[[#This Row],[ProfitRate]]</f>
        <v>0</v>
      </c>
    </row>
    <row r="1241" spans="1:20">
      <c r="A1241" s="2" t="s">
        <v>2042</v>
      </c>
      <c r="B1241" s="3">
        <v>46286</v>
      </c>
      <c r="C1241" s="2" t="s">
        <v>2043</v>
      </c>
      <c r="D1241" s="2" t="s">
        <v>54</v>
      </c>
      <c r="E1241" s="2" t="s">
        <v>30</v>
      </c>
      <c r="F1241" s="2" t="s">
        <v>3</v>
      </c>
      <c r="G1241" s="4">
        <v>14200</v>
      </c>
      <c r="H1241" s="5">
        <v>4.3499999999999997E-2</v>
      </c>
      <c r="I1241" s="2">
        <v>60</v>
      </c>
      <c r="J1241" s="2" t="s">
        <v>56</v>
      </c>
      <c r="K1241" s="2" t="s">
        <v>1916</v>
      </c>
      <c r="L1241" s="2"/>
      <c r="M1241" s="2" t="str">
        <f>_xlfn.XLOOKUP(Deals[[#This Row],[CustomerID]],Customers!A:A,Customers!F:F)</f>
        <v>Premium</v>
      </c>
      <c r="N1241" s="2" t="str">
        <f>_xlfn.XLOOKUP(Deals[[#This Row],[CustomerID]],Customers!A:A,Customers!E:E)</f>
        <v>Kuwaiti</v>
      </c>
      <c r="O1241" s="2">
        <f>2026-_xlfn.XLOOKUP(Deals[[#This Row],[CustomerID]],Customers!A:A,Customers!D:D)</f>
        <v>36</v>
      </c>
      <c r="P1241" s="2" t="str" cm="1">
        <f t="array" ref="P1241">_xlfn.IFS(Deals[[#This Row],[Age]]&lt;30,"Under 30",Deals[[#This Row],[Age]]&lt;45,"30-44",TRUE,"45+")</f>
        <v>30-44</v>
      </c>
      <c r="Q1241" s="21" t="str">
        <f>IF(Deals[[#This Row],[Status]]="Pending","",Deals[[#This Row],[DecisionDate]]-Deals[[#This Row],[ApplicationDate]])</f>
        <v/>
      </c>
      <c r="R1241" s="21">
        <f>IF(Deals[[#This Row],[Status]]="Approved",1,0)</f>
        <v>0</v>
      </c>
      <c r="S1241" s="21">
        <f>IF(Deals[[#This Row],[IsApproved]]=1,Deals[[#This Row],[Amount]],0)</f>
        <v>0</v>
      </c>
      <c r="T1241" s="21">
        <f>Deals[[#This Row],[ApprovedAmount]]*Deals[[#This Row],[ProfitRate]]</f>
        <v>0</v>
      </c>
    </row>
    <row r="1242" spans="1:20">
      <c r="A1242" s="2" t="s">
        <v>2044</v>
      </c>
      <c r="B1242" s="3">
        <v>46286</v>
      </c>
      <c r="C1242" s="2" t="s">
        <v>940</v>
      </c>
      <c r="D1242" s="2" t="s">
        <v>29</v>
      </c>
      <c r="E1242" s="2" t="s">
        <v>15</v>
      </c>
      <c r="F1242" s="2" t="s">
        <v>3</v>
      </c>
      <c r="G1242" s="4">
        <v>5700</v>
      </c>
      <c r="H1242" s="5">
        <v>6.7599999999999993E-2</v>
      </c>
      <c r="I1242" s="2">
        <v>24</v>
      </c>
      <c r="J1242" s="2" t="s">
        <v>61</v>
      </c>
      <c r="K1242" s="2" t="s">
        <v>1916</v>
      </c>
      <c r="L1242" s="2"/>
      <c r="M1242" s="2" t="str">
        <f>_xlfn.XLOOKUP(Deals[[#This Row],[CustomerID]],Customers!A:A,Customers!F:F)</f>
        <v>Mass</v>
      </c>
      <c r="N1242" s="2" t="str">
        <f>_xlfn.XLOOKUP(Deals[[#This Row],[CustomerID]],Customers!A:A,Customers!E:E)</f>
        <v>Non-Kuwaiti</v>
      </c>
      <c r="O1242" s="2">
        <f>2026-_xlfn.XLOOKUP(Deals[[#This Row],[CustomerID]],Customers!A:A,Customers!D:D)</f>
        <v>25</v>
      </c>
      <c r="P1242" s="2" t="str" cm="1">
        <f t="array" ref="P1242">_xlfn.IFS(Deals[[#This Row],[Age]]&lt;30,"Under 30",Deals[[#This Row],[Age]]&lt;45,"30-44",TRUE,"45+")</f>
        <v>Under 30</v>
      </c>
      <c r="Q1242" s="21" t="str">
        <f>IF(Deals[[#This Row],[Status]]="Pending","",Deals[[#This Row],[DecisionDate]]-Deals[[#This Row],[ApplicationDate]])</f>
        <v/>
      </c>
      <c r="R1242" s="21">
        <f>IF(Deals[[#This Row],[Status]]="Approved",1,0)</f>
        <v>0</v>
      </c>
      <c r="S1242" s="21">
        <f>IF(Deals[[#This Row],[IsApproved]]=1,Deals[[#This Row],[Amount]],0)</f>
        <v>0</v>
      </c>
      <c r="T1242" s="21">
        <f>Deals[[#This Row],[ApprovedAmount]]*Deals[[#This Row],[ProfitRate]]</f>
        <v>0</v>
      </c>
    </row>
    <row r="1243" spans="1:20">
      <c r="A1243" s="2" t="s">
        <v>2045</v>
      </c>
      <c r="B1243" s="3">
        <v>46287</v>
      </c>
      <c r="C1243" s="2" t="s">
        <v>399</v>
      </c>
      <c r="D1243" s="2" t="s">
        <v>20</v>
      </c>
      <c r="E1243" s="2" t="s">
        <v>30</v>
      </c>
      <c r="F1243" s="2" t="s">
        <v>3</v>
      </c>
      <c r="G1243" s="4">
        <v>10500</v>
      </c>
      <c r="H1243" s="5">
        <v>4.4999999999999998E-2</v>
      </c>
      <c r="I1243" s="2">
        <v>48</v>
      </c>
      <c r="J1243" s="2" t="s">
        <v>22</v>
      </c>
      <c r="K1243" s="2" t="s">
        <v>45</v>
      </c>
      <c r="L1243" s="3">
        <v>46290</v>
      </c>
      <c r="M1243" s="2" t="str">
        <f>_xlfn.XLOOKUP(Deals[[#This Row],[CustomerID]],Customers!A:A,Customers!F:F)</f>
        <v>Mass</v>
      </c>
      <c r="N1243" s="2" t="str">
        <f>_xlfn.XLOOKUP(Deals[[#This Row],[CustomerID]],Customers!A:A,Customers!E:E)</f>
        <v>Non-Kuwaiti</v>
      </c>
      <c r="O1243" s="2">
        <f>2026-_xlfn.XLOOKUP(Deals[[#This Row],[CustomerID]],Customers!A:A,Customers!D:D)</f>
        <v>28</v>
      </c>
      <c r="P1243" s="2" t="str" cm="1">
        <f t="array" ref="P1243">_xlfn.IFS(Deals[[#This Row],[Age]]&lt;30,"Under 30",Deals[[#This Row],[Age]]&lt;45,"30-44",TRUE,"45+")</f>
        <v>Under 30</v>
      </c>
      <c r="Q1243" s="21">
        <f>IF(Deals[[#This Row],[Status]]="Pending","",Deals[[#This Row],[DecisionDate]]-Deals[[#This Row],[ApplicationDate]])</f>
        <v>3</v>
      </c>
      <c r="R1243" s="21">
        <f>IF(Deals[[#This Row],[Status]]="Approved",1,0)</f>
        <v>0</v>
      </c>
      <c r="S1243" s="21">
        <f>IF(Deals[[#This Row],[IsApproved]]=1,Deals[[#This Row],[Amount]],0)</f>
        <v>0</v>
      </c>
      <c r="T1243" s="21">
        <f>Deals[[#This Row],[ApprovedAmount]]*Deals[[#This Row],[ProfitRate]]</f>
        <v>0</v>
      </c>
    </row>
    <row r="1244" spans="1:20">
      <c r="A1244" s="2" t="s">
        <v>2046</v>
      </c>
      <c r="B1244" s="3">
        <v>46287</v>
      </c>
      <c r="C1244" s="2" t="s">
        <v>1305</v>
      </c>
      <c r="D1244" s="2" t="s">
        <v>14</v>
      </c>
      <c r="E1244" s="2" t="s">
        <v>30</v>
      </c>
      <c r="F1244" s="2" t="s">
        <v>3</v>
      </c>
      <c r="G1244" s="4">
        <v>7000</v>
      </c>
      <c r="H1244" s="5">
        <v>4.2799999999999998E-2</v>
      </c>
      <c r="I1244" s="2">
        <v>48</v>
      </c>
      <c r="J1244" s="2" t="s">
        <v>40</v>
      </c>
      <c r="K1244" s="2" t="s">
        <v>1916</v>
      </c>
      <c r="L1244" s="2"/>
      <c r="M1244" s="2" t="str">
        <f>_xlfn.XLOOKUP(Deals[[#This Row],[CustomerID]],Customers!A:A,Customers!F:F)</f>
        <v>Mass</v>
      </c>
      <c r="N1244" s="2" t="str">
        <f>_xlfn.XLOOKUP(Deals[[#This Row],[CustomerID]],Customers!A:A,Customers!E:E)</f>
        <v>Kuwaiti</v>
      </c>
      <c r="O1244" s="2">
        <f>2026-_xlfn.XLOOKUP(Deals[[#This Row],[CustomerID]],Customers!A:A,Customers!D:D)</f>
        <v>43</v>
      </c>
      <c r="P1244" s="2" t="str" cm="1">
        <f t="array" ref="P1244">_xlfn.IFS(Deals[[#This Row],[Age]]&lt;30,"Under 30",Deals[[#This Row],[Age]]&lt;45,"30-44",TRUE,"45+")</f>
        <v>30-44</v>
      </c>
      <c r="Q1244" s="21" t="str">
        <f>IF(Deals[[#This Row],[Status]]="Pending","",Deals[[#This Row],[DecisionDate]]-Deals[[#This Row],[ApplicationDate]])</f>
        <v/>
      </c>
      <c r="R1244" s="21">
        <f>IF(Deals[[#This Row],[Status]]="Approved",1,0)</f>
        <v>0</v>
      </c>
      <c r="S1244" s="21">
        <f>IF(Deals[[#This Row],[IsApproved]]=1,Deals[[#This Row],[Amount]],0)</f>
        <v>0</v>
      </c>
      <c r="T1244" s="21">
        <f>Deals[[#This Row],[ApprovedAmount]]*Deals[[#This Row],[ProfitRate]]</f>
        <v>0</v>
      </c>
    </row>
    <row r="1245" spans="1:20">
      <c r="A1245" s="2" t="s">
        <v>2047</v>
      </c>
      <c r="B1245" s="3">
        <v>46287</v>
      </c>
      <c r="C1245" s="2" t="s">
        <v>473</v>
      </c>
      <c r="D1245" s="2" t="s">
        <v>20</v>
      </c>
      <c r="E1245" s="2" t="s">
        <v>43</v>
      </c>
      <c r="F1245" s="2" t="s">
        <v>55</v>
      </c>
      <c r="G1245" s="4">
        <v>96200</v>
      </c>
      <c r="H1245" s="5">
        <v>6.8699999999999997E-2</v>
      </c>
      <c r="I1245" s="2">
        <v>84</v>
      </c>
      <c r="J1245" s="2" t="s">
        <v>22</v>
      </c>
      <c r="K1245" s="2" t="s">
        <v>1916</v>
      </c>
      <c r="L1245" s="2"/>
      <c r="M1245" s="2" t="str">
        <f>_xlfn.XLOOKUP(Deals[[#This Row],[CustomerID]],Customers!A:A,Customers!F:F)</f>
        <v>Mass</v>
      </c>
      <c r="N1245" s="2" t="str">
        <f>_xlfn.XLOOKUP(Deals[[#This Row],[CustomerID]],Customers!A:A,Customers!E:E)</f>
        <v>Kuwaiti</v>
      </c>
      <c r="O1245" s="2">
        <f>2026-_xlfn.XLOOKUP(Deals[[#This Row],[CustomerID]],Customers!A:A,Customers!D:D)</f>
        <v>38</v>
      </c>
      <c r="P1245" s="2" t="str" cm="1">
        <f t="array" ref="P1245">_xlfn.IFS(Deals[[#This Row],[Age]]&lt;30,"Under 30",Deals[[#This Row],[Age]]&lt;45,"30-44",TRUE,"45+")</f>
        <v>30-44</v>
      </c>
      <c r="Q1245" s="21" t="str">
        <f>IF(Deals[[#This Row],[Status]]="Pending","",Deals[[#This Row],[DecisionDate]]-Deals[[#This Row],[ApplicationDate]])</f>
        <v/>
      </c>
      <c r="R1245" s="21">
        <f>IF(Deals[[#This Row],[Status]]="Approved",1,0)</f>
        <v>0</v>
      </c>
      <c r="S1245" s="21">
        <f>IF(Deals[[#This Row],[IsApproved]]=1,Deals[[#This Row],[Amount]],0)</f>
        <v>0</v>
      </c>
      <c r="T1245" s="21">
        <f>Deals[[#This Row],[ApprovedAmount]]*Deals[[#This Row],[ProfitRate]]</f>
        <v>0</v>
      </c>
    </row>
    <row r="1246" spans="1:20">
      <c r="A1246" s="2" t="s">
        <v>2048</v>
      </c>
      <c r="B1246" s="3">
        <v>46287</v>
      </c>
      <c r="C1246" s="2" t="s">
        <v>244</v>
      </c>
      <c r="D1246" s="2" t="s">
        <v>14</v>
      </c>
      <c r="E1246" s="2" t="s">
        <v>15</v>
      </c>
      <c r="F1246" s="2" t="s">
        <v>31</v>
      </c>
      <c r="G1246" s="4">
        <v>25000</v>
      </c>
      <c r="H1246" s="5">
        <v>6.0699999999999997E-2</v>
      </c>
      <c r="I1246" s="2">
        <v>60</v>
      </c>
      <c r="J1246" s="2" t="s">
        <v>16</v>
      </c>
      <c r="K1246" s="2" t="s">
        <v>17</v>
      </c>
      <c r="L1246" s="3">
        <v>46289</v>
      </c>
      <c r="M1246" s="2" t="str">
        <f>_xlfn.XLOOKUP(Deals[[#This Row],[CustomerID]],Customers!A:A,Customers!F:F)</f>
        <v>Premium</v>
      </c>
      <c r="N1246" s="2" t="str">
        <f>_xlfn.XLOOKUP(Deals[[#This Row],[CustomerID]],Customers!A:A,Customers!E:E)</f>
        <v>Kuwaiti</v>
      </c>
      <c r="O1246" s="2">
        <f>2026-_xlfn.XLOOKUP(Deals[[#This Row],[CustomerID]],Customers!A:A,Customers!D:D)</f>
        <v>65</v>
      </c>
      <c r="P1246" s="2" t="str" cm="1">
        <f t="array" ref="P1246">_xlfn.IFS(Deals[[#This Row],[Age]]&lt;30,"Under 30",Deals[[#This Row],[Age]]&lt;45,"30-44",TRUE,"45+")</f>
        <v>45+</v>
      </c>
      <c r="Q1246" s="21">
        <f>IF(Deals[[#This Row],[Status]]="Pending","",Deals[[#This Row],[DecisionDate]]-Deals[[#This Row],[ApplicationDate]])</f>
        <v>2</v>
      </c>
      <c r="R1246" s="21">
        <f>IF(Deals[[#This Row],[Status]]="Approved",1,0)</f>
        <v>1</v>
      </c>
      <c r="S1246" s="21">
        <f>IF(Deals[[#This Row],[IsApproved]]=1,Deals[[#This Row],[Amount]],0)</f>
        <v>25000</v>
      </c>
      <c r="T1246" s="21">
        <f>Deals[[#This Row],[ApprovedAmount]]*Deals[[#This Row],[ProfitRate]]</f>
        <v>1517.5</v>
      </c>
    </row>
    <row r="1247" spans="1:20">
      <c r="A1247" s="2" t="s">
        <v>2049</v>
      </c>
      <c r="B1247" s="3">
        <v>46287</v>
      </c>
      <c r="C1247" s="2" t="s">
        <v>493</v>
      </c>
      <c r="D1247" s="2" t="s">
        <v>54</v>
      </c>
      <c r="E1247" s="2" t="s">
        <v>43</v>
      </c>
      <c r="F1247" s="2" t="s">
        <v>31</v>
      </c>
      <c r="G1247" s="4">
        <v>172300</v>
      </c>
      <c r="H1247" s="5">
        <v>5.7299999999999997E-2</v>
      </c>
      <c r="I1247" s="2">
        <v>36</v>
      </c>
      <c r="J1247" s="2" t="s">
        <v>186</v>
      </c>
      <c r="K1247" s="2" t="s">
        <v>45</v>
      </c>
      <c r="L1247" s="3">
        <v>46296</v>
      </c>
      <c r="M1247" s="2" t="str">
        <f>_xlfn.XLOOKUP(Deals[[#This Row],[CustomerID]],Customers!A:A,Customers!F:F)</f>
        <v>Affluent</v>
      </c>
      <c r="N1247" s="2" t="str">
        <f>_xlfn.XLOOKUP(Deals[[#This Row],[CustomerID]],Customers!A:A,Customers!E:E)</f>
        <v>Kuwaiti</v>
      </c>
      <c r="O1247" s="2">
        <f>2026-_xlfn.XLOOKUP(Deals[[#This Row],[CustomerID]],Customers!A:A,Customers!D:D)</f>
        <v>50</v>
      </c>
      <c r="P1247" s="2" t="str" cm="1">
        <f t="array" ref="P1247">_xlfn.IFS(Deals[[#This Row],[Age]]&lt;30,"Under 30",Deals[[#This Row],[Age]]&lt;45,"30-44",TRUE,"45+")</f>
        <v>45+</v>
      </c>
      <c r="Q1247" s="21">
        <f>IF(Deals[[#This Row],[Status]]="Pending","",Deals[[#This Row],[DecisionDate]]-Deals[[#This Row],[ApplicationDate]])</f>
        <v>9</v>
      </c>
      <c r="R1247" s="21">
        <f>IF(Deals[[#This Row],[Status]]="Approved",1,0)</f>
        <v>0</v>
      </c>
      <c r="S1247" s="21">
        <f>IF(Deals[[#This Row],[IsApproved]]=1,Deals[[#This Row],[Amount]],0)</f>
        <v>0</v>
      </c>
      <c r="T1247" s="21">
        <f>Deals[[#This Row],[ApprovedAmount]]*Deals[[#This Row],[ProfitRate]]</f>
        <v>0</v>
      </c>
    </row>
    <row r="1248" spans="1:20">
      <c r="A1248" s="2" t="s">
        <v>2050</v>
      </c>
      <c r="B1248" s="3">
        <v>46287</v>
      </c>
      <c r="C1248" s="2" t="s">
        <v>2051</v>
      </c>
      <c r="D1248" s="2" t="s">
        <v>29</v>
      </c>
      <c r="E1248" s="2" t="s">
        <v>30</v>
      </c>
      <c r="F1248" s="2" t="s">
        <v>3</v>
      </c>
      <c r="G1248" s="4">
        <v>8800</v>
      </c>
      <c r="H1248" s="5">
        <v>4.3900000000000002E-2</v>
      </c>
      <c r="I1248" s="2">
        <v>60</v>
      </c>
      <c r="J1248" s="2" t="s">
        <v>61</v>
      </c>
      <c r="K1248" s="2" t="s">
        <v>17</v>
      </c>
      <c r="L1248" s="3">
        <v>46288</v>
      </c>
      <c r="M1248" s="2" t="str">
        <f>_xlfn.XLOOKUP(Deals[[#This Row],[CustomerID]],Customers!A:A,Customers!F:F)</f>
        <v>Mass</v>
      </c>
      <c r="N1248" s="2" t="str">
        <f>_xlfn.XLOOKUP(Deals[[#This Row],[CustomerID]],Customers!A:A,Customers!E:E)</f>
        <v>Kuwaiti</v>
      </c>
      <c r="O1248" s="2">
        <f>2026-_xlfn.XLOOKUP(Deals[[#This Row],[CustomerID]],Customers!A:A,Customers!D:D)</f>
        <v>36</v>
      </c>
      <c r="P1248" s="2" t="str" cm="1">
        <f t="array" ref="P1248">_xlfn.IFS(Deals[[#This Row],[Age]]&lt;30,"Under 30",Deals[[#This Row],[Age]]&lt;45,"30-44",TRUE,"45+")</f>
        <v>30-44</v>
      </c>
      <c r="Q1248" s="21">
        <f>IF(Deals[[#This Row],[Status]]="Pending","",Deals[[#This Row],[DecisionDate]]-Deals[[#This Row],[ApplicationDate]])</f>
        <v>1</v>
      </c>
      <c r="R1248" s="21">
        <f>IF(Deals[[#This Row],[Status]]="Approved",1,0)</f>
        <v>1</v>
      </c>
      <c r="S1248" s="21">
        <f>IF(Deals[[#This Row],[IsApproved]]=1,Deals[[#This Row],[Amount]],0)</f>
        <v>8800</v>
      </c>
      <c r="T1248" s="21">
        <f>Deals[[#This Row],[ApprovedAmount]]*Deals[[#This Row],[ProfitRate]]</f>
        <v>386.32</v>
      </c>
    </row>
    <row r="1249" spans="1:20">
      <c r="A1249" s="2" t="s">
        <v>2052</v>
      </c>
      <c r="B1249" s="3">
        <v>46287</v>
      </c>
      <c r="C1249" s="2" t="s">
        <v>1154</v>
      </c>
      <c r="D1249" s="2" t="s">
        <v>54</v>
      </c>
      <c r="E1249" s="2" t="s">
        <v>15</v>
      </c>
      <c r="F1249" s="2" t="s">
        <v>31</v>
      </c>
      <c r="G1249" s="4">
        <v>24200</v>
      </c>
      <c r="H1249" s="5">
        <v>5.6800000000000003E-2</v>
      </c>
      <c r="I1249" s="2">
        <v>48</v>
      </c>
      <c r="J1249" s="2" t="s">
        <v>148</v>
      </c>
      <c r="K1249" s="2" t="s">
        <v>1916</v>
      </c>
      <c r="L1249" s="2"/>
      <c r="M1249" s="2" t="str">
        <f>_xlfn.XLOOKUP(Deals[[#This Row],[CustomerID]],Customers!A:A,Customers!F:F)</f>
        <v>Premium</v>
      </c>
      <c r="N1249" s="2" t="str">
        <f>_xlfn.XLOOKUP(Deals[[#This Row],[CustomerID]],Customers!A:A,Customers!E:E)</f>
        <v>Kuwaiti</v>
      </c>
      <c r="O1249" s="2">
        <f>2026-_xlfn.XLOOKUP(Deals[[#This Row],[CustomerID]],Customers!A:A,Customers!D:D)</f>
        <v>59</v>
      </c>
      <c r="P1249" s="2" t="str" cm="1">
        <f t="array" ref="P1249">_xlfn.IFS(Deals[[#This Row],[Age]]&lt;30,"Under 30",Deals[[#This Row],[Age]]&lt;45,"30-44",TRUE,"45+")</f>
        <v>45+</v>
      </c>
      <c r="Q1249" s="21" t="str">
        <f>IF(Deals[[#This Row],[Status]]="Pending","",Deals[[#This Row],[DecisionDate]]-Deals[[#This Row],[ApplicationDate]])</f>
        <v/>
      </c>
      <c r="R1249" s="21">
        <f>IF(Deals[[#This Row],[Status]]="Approved",1,0)</f>
        <v>0</v>
      </c>
      <c r="S1249" s="21">
        <f>IF(Deals[[#This Row],[IsApproved]]=1,Deals[[#This Row],[Amount]],0)</f>
        <v>0</v>
      </c>
      <c r="T1249" s="21">
        <f>Deals[[#This Row],[ApprovedAmount]]*Deals[[#This Row],[ProfitRate]]</f>
        <v>0</v>
      </c>
    </row>
    <row r="1250" spans="1:20">
      <c r="A1250" s="2" t="s">
        <v>2053</v>
      </c>
      <c r="B1250" s="3">
        <v>46288</v>
      </c>
      <c r="C1250" s="2" t="s">
        <v>2054</v>
      </c>
      <c r="D1250" s="2" t="s">
        <v>14</v>
      </c>
      <c r="E1250" s="2" t="s">
        <v>15</v>
      </c>
      <c r="F1250" s="2" t="s">
        <v>31</v>
      </c>
      <c r="G1250" s="4">
        <v>10700</v>
      </c>
      <c r="H1250" s="5">
        <v>6.0499999999999998E-2</v>
      </c>
      <c r="I1250" s="2">
        <v>24</v>
      </c>
      <c r="J1250" s="2" t="s">
        <v>16</v>
      </c>
      <c r="K1250" s="2" t="s">
        <v>45</v>
      </c>
      <c r="L1250" s="3">
        <v>46292</v>
      </c>
      <c r="M1250" s="2" t="str">
        <f>_xlfn.XLOOKUP(Deals[[#This Row],[CustomerID]],Customers!A:A,Customers!F:F)</f>
        <v>Premium</v>
      </c>
      <c r="N1250" s="2" t="str">
        <f>_xlfn.XLOOKUP(Deals[[#This Row],[CustomerID]],Customers!A:A,Customers!E:E)</f>
        <v>Non-Kuwaiti</v>
      </c>
      <c r="O1250" s="2">
        <f>2026-_xlfn.XLOOKUP(Deals[[#This Row],[CustomerID]],Customers!A:A,Customers!D:D)</f>
        <v>34</v>
      </c>
      <c r="P1250" s="2" t="str" cm="1">
        <f t="array" ref="P1250">_xlfn.IFS(Deals[[#This Row],[Age]]&lt;30,"Under 30",Deals[[#This Row],[Age]]&lt;45,"30-44",TRUE,"45+")</f>
        <v>30-44</v>
      </c>
      <c r="Q1250" s="21">
        <f>IF(Deals[[#This Row],[Status]]="Pending","",Deals[[#This Row],[DecisionDate]]-Deals[[#This Row],[ApplicationDate]])</f>
        <v>4</v>
      </c>
      <c r="R1250" s="21">
        <f>IF(Deals[[#This Row],[Status]]="Approved",1,0)</f>
        <v>0</v>
      </c>
      <c r="S1250" s="21">
        <f>IF(Deals[[#This Row],[IsApproved]]=1,Deals[[#This Row],[Amount]],0)</f>
        <v>0</v>
      </c>
      <c r="T1250" s="21">
        <f>Deals[[#This Row],[ApprovedAmount]]*Deals[[#This Row],[ProfitRate]]</f>
        <v>0</v>
      </c>
    </row>
    <row r="1251" spans="1:20">
      <c r="A1251" s="2" t="s">
        <v>2055</v>
      </c>
      <c r="B1251" s="3">
        <v>46288</v>
      </c>
      <c r="C1251" s="2" t="s">
        <v>1923</v>
      </c>
      <c r="D1251" s="2" t="s">
        <v>25</v>
      </c>
      <c r="E1251" s="2" t="s">
        <v>21</v>
      </c>
      <c r="F1251" s="2" t="s">
        <v>55</v>
      </c>
      <c r="G1251" s="4">
        <v>73500</v>
      </c>
      <c r="H1251" s="5">
        <v>3.3399999999999999E-2</v>
      </c>
      <c r="I1251" s="2">
        <v>120</v>
      </c>
      <c r="J1251" s="2" t="s">
        <v>66</v>
      </c>
      <c r="K1251" s="2" t="s">
        <v>17</v>
      </c>
      <c r="L1251" s="3">
        <v>46304</v>
      </c>
      <c r="M1251" s="2" t="str">
        <f>_xlfn.XLOOKUP(Deals[[#This Row],[CustomerID]],Customers!A:A,Customers!F:F)</f>
        <v>Mass</v>
      </c>
      <c r="N1251" s="2" t="str">
        <f>_xlfn.XLOOKUP(Deals[[#This Row],[CustomerID]],Customers!A:A,Customers!E:E)</f>
        <v>Kuwaiti</v>
      </c>
      <c r="O1251" s="2">
        <f>2026-_xlfn.XLOOKUP(Deals[[#This Row],[CustomerID]],Customers!A:A,Customers!D:D)</f>
        <v>54</v>
      </c>
      <c r="P1251" s="2" t="str" cm="1">
        <f t="array" ref="P1251">_xlfn.IFS(Deals[[#This Row],[Age]]&lt;30,"Under 30",Deals[[#This Row],[Age]]&lt;45,"30-44",TRUE,"45+")</f>
        <v>45+</v>
      </c>
      <c r="Q1251" s="21">
        <f>IF(Deals[[#This Row],[Status]]="Pending","",Deals[[#This Row],[DecisionDate]]-Deals[[#This Row],[ApplicationDate]])</f>
        <v>16</v>
      </c>
      <c r="R1251" s="21">
        <f>IF(Deals[[#This Row],[Status]]="Approved",1,0)</f>
        <v>1</v>
      </c>
      <c r="S1251" s="21">
        <f>IF(Deals[[#This Row],[IsApproved]]=1,Deals[[#This Row],[Amount]],0)</f>
        <v>73500</v>
      </c>
      <c r="T1251" s="21">
        <f>Deals[[#This Row],[ApprovedAmount]]*Deals[[#This Row],[ProfitRate]]</f>
        <v>2454.9</v>
      </c>
    </row>
    <row r="1252" spans="1:20">
      <c r="A1252" s="2" t="s">
        <v>2056</v>
      </c>
      <c r="B1252" s="3">
        <v>46288</v>
      </c>
      <c r="C1252" s="2" t="s">
        <v>204</v>
      </c>
      <c r="D1252" s="2" t="s">
        <v>29</v>
      </c>
      <c r="E1252" s="2" t="s">
        <v>15</v>
      </c>
      <c r="F1252" s="2" t="s">
        <v>55</v>
      </c>
      <c r="G1252" s="4">
        <v>4300</v>
      </c>
      <c r="H1252" s="5">
        <v>6.9500000000000006E-2</v>
      </c>
      <c r="I1252" s="2">
        <v>12</v>
      </c>
      <c r="J1252" s="2" t="s">
        <v>123</v>
      </c>
      <c r="K1252" s="2" t="s">
        <v>1916</v>
      </c>
      <c r="L1252" s="2"/>
      <c r="M1252" s="2" t="str">
        <f>_xlfn.XLOOKUP(Deals[[#This Row],[CustomerID]],Customers!A:A,Customers!F:F)</f>
        <v>Affluent</v>
      </c>
      <c r="N1252" s="2" t="str">
        <f>_xlfn.XLOOKUP(Deals[[#This Row],[CustomerID]],Customers!A:A,Customers!E:E)</f>
        <v>Kuwaiti</v>
      </c>
      <c r="O1252" s="2">
        <f>2026-_xlfn.XLOOKUP(Deals[[#This Row],[CustomerID]],Customers!A:A,Customers!D:D)</f>
        <v>44</v>
      </c>
      <c r="P1252" s="2" t="str" cm="1">
        <f t="array" ref="P1252">_xlfn.IFS(Deals[[#This Row],[Age]]&lt;30,"Under 30",Deals[[#This Row],[Age]]&lt;45,"30-44",TRUE,"45+")</f>
        <v>30-44</v>
      </c>
      <c r="Q1252" s="21" t="str">
        <f>IF(Deals[[#This Row],[Status]]="Pending","",Deals[[#This Row],[DecisionDate]]-Deals[[#This Row],[ApplicationDate]])</f>
        <v/>
      </c>
      <c r="R1252" s="21">
        <f>IF(Deals[[#This Row],[Status]]="Approved",1,0)</f>
        <v>0</v>
      </c>
      <c r="S1252" s="21">
        <f>IF(Deals[[#This Row],[IsApproved]]=1,Deals[[#This Row],[Amount]],0)</f>
        <v>0</v>
      </c>
      <c r="T1252" s="21">
        <f>Deals[[#This Row],[ApprovedAmount]]*Deals[[#This Row],[ProfitRate]]</f>
        <v>0</v>
      </c>
    </row>
    <row r="1253" spans="1:20">
      <c r="A1253" s="2" t="s">
        <v>2057</v>
      </c>
      <c r="B1253" s="3">
        <v>46288</v>
      </c>
      <c r="C1253" s="2" t="s">
        <v>1098</v>
      </c>
      <c r="D1253" s="2" t="s">
        <v>14</v>
      </c>
      <c r="E1253" s="2" t="s">
        <v>30</v>
      </c>
      <c r="F1253" s="2" t="s">
        <v>31</v>
      </c>
      <c r="G1253" s="4">
        <v>4900</v>
      </c>
      <c r="H1253" s="5">
        <v>4.9200000000000001E-2</v>
      </c>
      <c r="I1253" s="2">
        <v>48</v>
      </c>
      <c r="J1253" s="2" t="s">
        <v>40</v>
      </c>
      <c r="K1253" s="2" t="s">
        <v>45</v>
      </c>
      <c r="L1253" s="3">
        <v>46289</v>
      </c>
      <c r="M1253" s="2" t="str">
        <f>_xlfn.XLOOKUP(Deals[[#This Row],[CustomerID]],Customers!A:A,Customers!F:F)</f>
        <v>Mass</v>
      </c>
      <c r="N1253" s="2" t="str">
        <f>_xlfn.XLOOKUP(Deals[[#This Row],[CustomerID]],Customers!A:A,Customers!E:E)</f>
        <v>Kuwaiti</v>
      </c>
      <c r="O1253" s="2">
        <f>2026-_xlfn.XLOOKUP(Deals[[#This Row],[CustomerID]],Customers!A:A,Customers!D:D)</f>
        <v>24</v>
      </c>
      <c r="P1253" s="2" t="str" cm="1">
        <f t="array" ref="P1253">_xlfn.IFS(Deals[[#This Row],[Age]]&lt;30,"Under 30",Deals[[#This Row],[Age]]&lt;45,"30-44",TRUE,"45+")</f>
        <v>Under 30</v>
      </c>
      <c r="Q1253" s="21">
        <f>IF(Deals[[#This Row],[Status]]="Pending","",Deals[[#This Row],[DecisionDate]]-Deals[[#This Row],[ApplicationDate]])</f>
        <v>1</v>
      </c>
      <c r="R1253" s="21">
        <f>IF(Deals[[#This Row],[Status]]="Approved",1,0)</f>
        <v>0</v>
      </c>
      <c r="S1253" s="21">
        <f>IF(Deals[[#This Row],[IsApproved]]=1,Deals[[#This Row],[Amount]],0)</f>
        <v>0</v>
      </c>
      <c r="T1253" s="21">
        <f>Deals[[#This Row],[ApprovedAmount]]*Deals[[#This Row],[ProfitRate]]</f>
        <v>0</v>
      </c>
    </row>
    <row r="1254" spans="1:20">
      <c r="A1254" s="2" t="s">
        <v>2058</v>
      </c>
      <c r="B1254" s="3">
        <v>46288</v>
      </c>
      <c r="C1254" s="2" t="s">
        <v>1645</v>
      </c>
      <c r="D1254" s="2" t="s">
        <v>25</v>
      </c>
      <c r="E1254" s="2" t="s">
        <v>15</v>
      </c>
      <c r="F1254" s="2" t="s">
        <v>31</v>
      </c>
      <c r="G1254" s="4">
        <v>25000</v>
      </c>
      <c r="H1254" s="5">
        <v>6.3600000000000004E-2</v>
      </c>
      <c r="I1254" s="2">
        <v>48</v>
      </c>
      <c r="J1254" s="2" t="s">
        <v>26</v>
      </c>
      <c r="K1254" s="2" t="s">
        <v>17</v>
      </c>
      <c r="L1254" s="3">
        <v>46290</v>
      </c>
      <c r="M1254" s="2" t="str">
        <f>_xlfn.XLOOKUP(Deals[[#This Row],[CustomerID]],Customers!A:A,Customers!F:F)</f>
        <v>Affluent</v>
      </c>
      <c r="N1254" s="2" t="str">
        <f>_xlfn.XLOOKUP(Deals[[#This Row],[CustomerID]],Customers!A:A,Customers!E:E)</f>
        <v>Kuwaiti</v>
      </c>
      <c r="O1254" s="2">
        <f>2026-_xlfn.XLOOKUP(Deals[[#This Row],[CustomerID]],Customers!A:A,Customers!D:D)</f>
        <v>35</v>
      </c>
      <c r="P1254" s="2" t="str" cm="1">
        <f t="array" ref="P1254">_xlfn.IFS(Deals[[#This Row],[Age]]&lt;30,"Under 30",Deals[[#This Row],[Age]]&lt;45,"30-44",TRUE,"45+")</f>
        <v>30-44</v>
      </c>
      <c r="Q1254" s="21">
        <f>IF(Deals[[#This Row],[Status]]="Pending","",Deals[[#This Row],[DecisionDate]]-Deals[[#This Row],[ApplicationDate]])</f>
        <v>2</v>
      </c>
      <c r="R1254" s="21">
        <f>IF(Deals[[#This Row],[Status]]="Approved",1,0)</f>
        <v>1</v>
      </c>
      <c r="S1254" s="21">
        <f>IF(Deals[[#This Row],[IsApproved]]=1,Deals[[#This Row],[Amount]],0)</f>
        <v>25000</v>
      </c>
      <c r="T1254" s="21">
        <f>Deals[[#This Row],[ApprovedAmount]]*Deals[[#This Row],[ProfitRate]]</f>
        <v>1590</v>
      </c>
    </row>
    <row r="1255" spans="1:20">
      <c r="A1255" s="2" t="s">
        <v>2059</v>
      </c>
      <c r="B1255" s="3">
        <v>46288</v>
      </c>
      <c r="C1255" s="2" t="s">
        <v>693</v>
      </c>
      <c r="D1255" s="2" t="s">
        <v>71</v>
      </c>
      <c r="E1255" s="2" t="s">
        <v>21</v>
      </c>
      <c r="F1255" s="2" t="s">
        <v>3</v>
      </c>
      <c r="G1255" s="4">
        <v>225600</v>
      </c>
      <c r="H1255" s="5">
        <v>3.3599999999999998E-2</v>
      </c>
      <c r="I1255" s="2">
        <v>300</v>
      </c>
      <c r="J1255" s="2" t="s">
        <v>101</v>
      </c>
      <c r="K1255" s="2" t="s">
        <v>17</v>
      </c>
      <c r="L1255" s="3">
        <v>46320</v>
      </c>
      <c r="M1255" s="2" t="str">
        <f>_xlfn.XLOOKUP(Deals[[#This Row],[CustomerID]],Customers!A:A,Customers!F:F)</f>
        <v>Mass</v>
      </c>
      <c r="N1255" s="2" t="str">
        <f>_xlfn.XLOOKUP(Deals[[#This Row],[CustomerID]],Customers!A:A,Customers!E:E)</f>
        <v>Kuwaiti</v>
      </c>
      <c r="O1255" s="2">
        <f>2026-_xlfn.XLOOKUP(Deals[[#This Row],[CustomerID]],Customers!A:A,Customers!D:D)</f>
        <v>38</v>
      </c>
      <c r="P1255" s="2" t="str" cm="1">
        <f t="array" ref="P1255">_xlfn.IFS(Deals[[#This Row],[Age]]&lt;30,"Under 30",Deals[[#This Row],[Age]]&lt;45,"30-44",TRUE,"45+")</f>
        <v>30-44</v>
      </c>
      <c r="Q1255" s="21">
        <f>IF(Deals[[#This Row],[Status]]="Pending","",Deals[[#This Row],[DecisionDate]]-Deals[[#This Row],[ApplicationDate]])</f>
        <v>32</v>
      </c>
      <c r="R1255" s="21">
        <f>IF(Deals[[#This Row],[Status]]="Approved",1,0)</f>
        <v>1</v>
      </c>
      <c r="S1255" s="21">
        <f>IF(Deals[[#This Row],[IsApproved]]=1,Deals[[#This Row],[Amount]],0)</f>
        <v>225600</v>
      </c>
      <c r="T1255" s="21">
        <f>Deals[[#This Row],[ApprovedAmount]]*Deals[[#This Row],[ProfitRate]]</f>
        <v>7580.16</v>
      </c>
    </row>
    <row r="1256" spans="1:20">
      <c r="A1256" s="2" t="s">
        <v>2061</v>
      </c>
      <c r="B1256" s="3">
        <v>46289</v>
      </c>
      <c r="C1256" s="2" t="s">
        <v>1677</v>
      </c>
      <c r="D1256" s="2" t="s">
        <v>54</v>
      </c>
      <c r="E1256" s="2" t="s">
        <v>43</v>
      </c>
      <c r="F1256" s="2" t="s">
        <v>55</v>
      </c>
      <c r="G1256" s="4">
        <v>169200</v>
      </c>
      <c r="H1256" s="5">
        <v>6.3600000000000004E-2</v>
      </c>
      <c r="I1256" s="2">
        <v>84</v>
      </c>
      <c r="J1256" s="2" t="s">
        <v>186</v>
      </c>
      <c r="K1256" s="2" t="s">
        <v>45</v>
      </c>
      <c r="L1256" s="3">
        <v>46310</v>
      </c>
      <c r="M1256" s="2" t="str">
        <f>_xlfn.XLOOKUP(Deals[[#This Row],[CustomerID]],Customers!A:A,Customers!F:F)</f>
        <v>Affluent</v>
      </c>
      <c r="N1256" s="2" t="str">
        <f>_xlfn.XLOOKUP(Deals[[#This Row],[CustomerID]],Customers!A:A,Customers!E:E)</f>
        <v>Non-Kuwaiti</v>
      </c>
      <c r="O1256" s="2">
        <f>2026-_xlfn.XLOOKUP(Deals[[#This Row],[CustomerID]],Customers!A:A,Customers!D:D)</f>
        <v>51</v>
      </c>
      <c r="P1256" s="2" t="str" cm="1">
        <f t="array" ref="P1256">_xlfn.IFS(Deals[[#This Row],[Age]]&lt;30,"Under 30",Deals[[#This Row],[Age]]&lt;45,"30-44",TRUE,"45+")</f>
        <v>45+</v>
      </c>
      <c r="Q1256" s="21">
        <f>IF(Deals[[#This Row],[Status]]="Pending","",Deals[[#This Row],[DecisionDate]]-Deals[[#This Row],[ApplicationDate]])</f>
        <v>21</v>
      </c>
      <c r="R1256" s="21">
        <f>IF(Deals[[#This Row],[Status]]="Approved",1,0)</f>
        <v>0</v>
      </c>
      <c r="S1256" s="21">
        <f>IF(Deals[[#This Row],[IsApproved]]=1,Deals[[#This Row],[Amount]],0)</f>
        <v>0</v>
      </c>
      <c r="T1256" s="21">
        <f>Deals[[#This Row],[ApprovedAmount]]*Deals[[#This Row],[ProfitRate]]</f>
        <v>0</v>
      </c>
    </row>
    <row r="1257" spans="1:20">
      <c r="A1257" s="2" t="s">
        <v>2062</v>
      </c>
      <c r="B1257" s="3">
        <v>46290</v>
      </c>
      <c r="C1257" s="2" t="s">
        <v>242</v>
      </c>
      <c r="D1257" s="2" t="s">
        <v>14</v>
      </c>
      <c r="E1257" s="2" t="s">
        <v>30</v>
      </c>
      <c r="F1257" s="2" t="s">
        <v>31</v>
      </c>
      <c r="G1257" s="4">
        <v>4100</v>
      </c>
      <c r="H1257" s="5">
        <v>4.19E-2</v>
      </c>
      <c r="I1257" s="2">
        <v>36</v>
      </c>
      <c r="J1257" s="2" t="s">
        <v>48</v>
      </c>
      <c r="K1257" s="2" t="s">
        <v>1916</v>
      </c>
      <c r="L1257" s="2"/>
      <c r="M1257" s="2" t="str">
        <f>_xlfn.XLOOKUP(Deals[[#This Row],[CustomerID]],Customers!A:A,Customers!F:F)</f>
        <v>Mass</v>
      </c>
      <c r="N1257" s="2" t="str">
        <f>_xlfn.XLOOKUP(Deals[[#This Row],[CustomerID]],Customers!A:A,Customers!E:E)</f>
        <v>Kuwaiti</v>
      </c>
      <c r="O1257" s="2">
        <f>2026-_xlfn.XLOOKUP(Deals[[#This Row],[CustomerID]],Customers!A:A,Customers!D:D)</f>
        <v>25</v>
      </c>
      <c r="P1257" s="2" t="str" cm="1">
        <f t="array" ref="P1257">_xlfn.IFS(Deals[[#This Row],[Age]]&lt;30,"Under 30",Deals[[#This Row],[Age]]&lt;45,"30-44",TRUE,"45+")</f>
        <v>Under 30</v>
      </c>
      <c r="Q1257" s="21" t="str">
        <f>IF(Deals[[#This Row],[Status]]="Pending","",Deals[[#This Row],[DecisionDate]]-Deals[[#This Row],[ApplicationDate]])</f>
        <v/>
      </c>
      <c r="R1257" s="21">
        <f>IF(Deals[[#This Row],[Status]]="Approved",1,0)</f>
        <v>0</v>
      </c>
      <c r="S1257" s="21">
        <f>IF(Deals[[#This Row],[IsApproved]]=1,Deals[[#This Row],[Amount]],0)</f>
        <v>0</v>
      </c>
      <c r="T1257" s="21">
        <f>Deals[[#This Row],[ApprovedAmount]]*Deals[[#This Row],[ProfitRate]]</f>
        <v>0</v>
      </c>
    </row>
    <row r="1258" spans="1:20">
      <c r="A1258" s="2" t="s">
        <v>2063</v>
      </c>
      <c r="B1258" s="3">
        <v>46290</v>
      </c>
      <c r="C1258" s="2" t="s">
        <v>2064</v>
      </c>
      <c r="D1258" s="2" t="s">
        <v>14</v>
      </c>
      <c r="E1258" s="2" t="s">
        <v>15</v>
      </c>
      <c r="F1258" s="2" t="s">
        <v>3</v>
      </c>
      <c r="G1258" s="4">
        <v>25000</v>
      </c>
      <c r="H1258" s="5">
        <v>5.96E-2</v>
      </c>
      <c r="I1258" s="2">
        <v>36</v>
      </c>
      <c r="J1258" s="2" t="s">
        <v>48</v>
      </c>
      <c r="K1258" s="2" t="s">
        <v>17</v>
      </c>
      <c r="L1258" s="3">
        <v>46294</v>
      </c>
      <c r="M1258" s="2" t="str">
        <f>_xlfn.XLOOKUP(Deals[[#This Row],[CustomerID]],Customers!A:A,Customers!F:F)</f>
        <v>Premium</v>
      </c>
      <c r="N1258" s="2" t="str">
        <f>_xlfn.XLOOKUP(Deals[[#This Row],[CustomerID]],Customers!A:A,Customers!E:E)</f>
        <v>Kuwaiti</v>
      </c>
      <c r="O1258" s="2">
        <f>2026-_xlfn.XLOOKUP(Deals[[#This Row],[CustomerID]],Customers!A:A,Customers!D:D)</f>
        <v>40</v>
      </c>
      <c r="P1258" s="2" t="str" cm="1">
        <f t="array" ref="P1258">_xlfn.IFS(Deals[[#This Row],[Age]]&lt;30,"Under 30",Deals[[#This Row],[Age]]&lt;45,"30-44",TRUE,"45+")</f>
        <v>30-44</v>
      </c>
      <c r="Q1258" s="21">
        <f>IF(Deals[[#This Row],[Status]]="Pending","",Deals[[#This Row],[DecisionDate]]-Deals[[#This Row],[ApplicationDate]])</f>
        <v>4</v>
      </c>
      <c r="R1258" s="21">
        <f>IF(Deals[[#This Row],[Status]]="Approved",1,0)</f>
        <v>1</v>
      </c>
      <c r="S1258" s="21">
        <f>IF(Deals[[#This Row],[IsApproved]]=1,Deals[[#This Row],[Amount]],0)</f>
        <v>25000</v>
      </c>
      <c r="T1258" s="21">
        <f>Deals[[#This Row],[ApprovedAmount]]*Deals[[#This Row],[ProfitRate]]</f>
        <v>1490</v>
      </c>
    </row>
    <row r="1259" spans="1:20">
      <c r="A1259" s="2" t="s">
        <v>2065</v>
      </c>
      <c r="B1259" s="3">
        <v>46290</v>
      </c>
      <c r="C1259" s="2" t="s">
        <v>2066</v>
      </c>
      <c r="D1259" s="2" t="s">
        <v>20</v>
      </c>
      <c r="E1259" s="2" t="s">
        <v>15</v>
      </c>
      <c r="F1259" s="2" t="s">
        <v>3</v>
      </c>
      <c r="G1259" s="4">
        <v>16000</v>
      </c>
      <c r="H1259" s="5">
        <v>6.6900000000000001E-2</v>
      </c>
      <c r="I1259" s="2">
        <v>60</v>
      </c>
      <c r="J1259" s="2" t="s">
        <v>44</v>
      </c>
      <c r="K1259" s="2" t="s">
        <v>1916</v>
      </c>
      <c r="L1259" s="2"/>
      <c r="M1259" s="2" t="str">
        <f>_xlfn.XLOOKUP(Deals[[#This Row],[CustomerID]],Customers!A:A,Customers!F:F)</f>
        <v>Mass</v>
      </c>
      <c r="N1259" s="2" t="str">
        <f>_xlfn.XLOOKUP(Deals[[#This Row],[CustomerID]],Customers!A:A,Customers!E:E)</f>
        <v>Kuwaiti</v>
      </c>
      <c r="O1259" s="2">
        <f>2026-_xlfn.XLOOKUP(Deals[[#This Row],[CustomerID]],Customers!A:A,Customers!D:D)</f>
        <v>24</v>
      </c>
      <c r="P1259" s="2" t="str" cm="1">
        <f t="array" ref="P1259">_xlfn.IFS(Deals[[#This Row],[Age]]&lt;30,"Under 30",Deals[[#This Row],[Age]]&lt;45,"30-44",TRUE,"45+")</f>
        <v>Under 30</v>
      </c>
      <c r="Q1259" s="21" t="str">
        <f>IF(Deals[[#This Row],[Status]]="Pending","",Deals[[#This Row],[DecisionDate]]-Deals[[#This Row],[ApplicationDate]])</f>
        <v/>
      </c>
      <c r="R1259" s="21">
        <f>IF(Deals[[#This Row],[Status]]="Approved",1,0)</f>
        <v>0</v>
      </c>
      <c r="S1259" s="21">
        <f>IF(Deals[[#This Row],[IsApproved]]=1,Deals[[#This Row],[Amount]],0)</f>
        <v>0</v>
      </c>
      <c r="T1259" s="21">
        <f>Deals[[#This Row],[ApprovedAmount]]*Deals[[#This Row],[ProfitRate]]</f>
        <v>0</v>
      </c>
    </row>
    <row r="1260" spans="1:20">
      <c r="A1260" s="2" t="s">
        <v>2067</v>
      </c>
      <c r="B1260" s="3">
        <v>46290</v>
      </c>
      <c r="C1260" s="2" t="s">
        <v>2068</v>
      </c>
      <c r="D1260" s="2" t="s">
        <v>14</v>
      </c>
      <c r="E1260" s="2" t="s">
        <v>30</v>
      </c>
      <c r="F1260" s="2" t="s">
        <v>55</v>
      </c>
      <c r="G1260" s="4">
        <v>5900</v>
      </c>
      <c r="H1260" s="5">
        <v>4.48E-2</v>
      </c>
      <c r="I1260" s="2">
        <v>60</v>
      </c>
      <c r="J1260" s="2" t="s">
        <v>40</v>
      </c>
      <c r="K1260" s="2" t="s">
        <v>1916</v>
      </c>
      <c r="L1260" s="2"/>
      <c r="M1260" s="2" t="str">
        <f>_xlfn.XLOOKUP(Deals[[#This Row],[CustomerID]],Customers!A:A,Customers!F:F)</f>
        <v>Mass</v>
      </c>
      <c r="N1260" s="2" t="str">
        <f>_xlfn.XLOOKUP(Deals[[#This Row],[CustomerID]],Customers!A:A,Customers!E:E)</f>
        <v>Non-Kuwaiti</v>
      </c>
      <c r="O1260" s="2">
        <f>2026-_xlfn.XLOOKUP(Deals[[#This Row],[CustomerID]],Customers!A:A,Customers!D:D)</f>
        <v>25</v>
      </c>
      <c r="P1260" s="2" t="str" cm="1">
        <f t="array" ref="P1260">_xlfn.IFS(Deals[[#This Row],[Age]]&lt;30,"Under 30",Deals[[#This Row],[Age]]&lt;45,"30-44",TRUE,"45+")</f>
        <v>Under 30</v>
      </c>
      <c r="Q1260" s="21" t="str">
        <f>IF(Deals[[#This Row],[Status]]="Pending","",Deals[[#This Row],[DecisionDate]]-Deals[[#This Row],[ApplicationDate]])</f>
        <v/>
      </c>
      <c r="R1260" s="21">
        <f>IF(Deals[[#This Row],[Status]]="Approved",1,0)</f>
        <v>0</v>
      </c>
      <c r="S1260" s="21">
        <f>IF(Deals[[#This Row],[IsApproved]]=1,Deals[[#This Row],[Amount]],0)</f>
        <v>0</v>
      </c>
      <c r="T1260" s="21">
        <f>Deals[[#This Row],[ApprovedAmount]]*Deals[[#This Row],[ProfitRate]]</f>
        <v>0</v>
      </c>
    </row>
    <row r="1261" spans="1:20">
      <c r="A1261" s="2" t="s">
        <v>2069</v>
      </c>
      <c r="B1261" s="3">
        <v>46290</v>
      </c>
      <c r="C1261" s="2" t="s">
        <v>798</v>
      </c>
      <c r="D1261" s="2" t="s">
        <v>25</v>
      </c>
      <c r="E1261" s="2" t="s">
        <v>21</v>
      </c>
      <c r="F1261" s="2" t="s">
        <v>31</v>
      </c>
      <c r="G1261" s="4">
        <v>110300</v>
      </c>
      <c r="H1261" s="5">
        <v>3.5999999999999997E-2</v>
      </c>
      <c r="I1261" s="2">
        <v>240</v>
      </c>
      <c r="J1261" s="2" t="s">
        <v>66</v>
      </c>
      <c r="K1261" s="2" t="s">
        <v>45</v>
      </c>
      <c r="L1261" s="3">
        <v>46309</v>
      </c>
      <c r="M1261" s="2" t="str">
        <f>_xlfn.XLOOKUP(Deals[[#This Row],[CustomerID]],Customers!A:A,Customers!F:F)</f>
        <v>Mass</v>
      </c>
      <c r="N1261" s="2" t="str">
        <f>_xlfn.XLOOKUP(Deals[[#This Row],[CustomerID]],Customers!A:A,Customers!E:E)</f>
        <v>Kuwaiti</v>
      </c>
      <c r="O1261" s="2">
        <f>2026-_xlfn.XLOOKUP(Deals[[#This Row],[CustomerID]],Customers!A:A,Customers!D:D)</f>
        <v>30</v>
      </c>
      <c r="P1261" s="2" t="str" cm="1">
        <f t="array" ref="P1261">_xlfn.IFS(Deals[[#This Row],[Age]]&lt;30,"Under 30",Deals[[#This Row],[Age]]&lt;45,"30-44",TRUE,"45+")</f>
        <v>30-44</v>
      </c>
      <c r="Q1261" s="21">
        <f>IF(Deals[[#This Row],[Status]]="Pending","",Deals[[#This Row],[DecisionDate]]-Deals[[#This Row],[ApplicationDate]])</f>
        <v>19</v>
      </c>
      <c r="R1261" s="21">
        <f>IF(Deals[[#This Row],[Status]]="Approved",1,0)</f>
        <v>0</v>
      </c>
      <c r="S1261" s="21">
        <f>IF(Deals[[#This Row],[IsApproved]]=1,Deals[[#This Row],[Amount]],0)</f>
        <v>0</v>
      </c>
      <c r="T1261" s="21">
        <f>Deals[[#This Row],[ApprovedAmount]]*Deals[[#This Row],[ProfitRate]]</f>
        <v>0</v>
      </c>
    </row>
    <row r="1262" spans="1:20">
      <c r="A1262" s="2" t="s">
        <v>2070</v>
      </c>
      <c r="B1262" s="3">
        <v>46290</v>
      </c>
      <c r="C1262" s="2" t="s">
        <v>192</v>
      </c>
      <c r="D1262" s="2" t="s">
        <v>14</v>
      </c>
      <c r="E1262" s="2" t="s">
        <v>15</v>
      </c>
      <c r="F1262" s="2" t="s">
        <v>55</v>
      </c>
      <c r="G1262" s="4">
        <v>19300</v>
      </c>
      <c r="H1262" s="5">
        <v>5.3600000000000002E-2</v>
      </c>
      <c r="I1262" s="2">
        <v>48</v>
      </c>
      <c r="J1262" s="2" t="s">
        <v>40</v>
      </c>
      <c r="K1262" s="2" t="s">
        <v>45</v>
      </c>
      <c r="L1262" s="3">
        <v>46296</v>
      </c>
      <c r="M1262" s="2" t="str">
        <f>_xlfn.XLOOKUP(Deals[[#This Row],[CustomerID]],Customers!A:A,Customers!F:F)</f>
        <v>Mass</v>
      </c>
      <c r="N1262" s="2" t="str">
        <f>_xlfn.XLOOKUP(Deals[[#This Row],[CustomerID]],Customers!A:A,Customers!E:E)</f>
        <v>Kuwaiti</v>
      </c>
      <c r="O1262" s="2">
        <f>2026-_xlfn.XLOOKUP(Deals[[#This Row],[CustomerID]],Customers!A:A,Customers!D:D)</f>
        <v>38</v>
      </c>
      <c r="P1262" s="2" t="str" cm="1">
        <f t="array" ref="P1262">_xlfn.IFS(Deals[[#This Row],[Age]]&lt;30,"Under 30",Deals[[#This Row],[Age]]&lt;45,"30-44",TRUE,"45+")</f>
        <v>30-44</v>
      </c>
      <c r="Q1262" s="21">
        <f>IF(Deals[[#This Row],[Status]]="Pending","",Deals[[#This Row],[DecisionDate]]-Deals[[#This Row],[ApplicationDate]])</f>
        <v>6</v>
      </c>
      <c r="R1262" s="21">
        <f>IF(Deals[[#This Row],[Status]]="Approved",1,0)</f>
        <v>0</v>
      </c>
      <c r="S1262" s="21">
        <f>IF(Deals[[#This Row],[IsApproved]]=1,Deals[[#This Row],[Amount]],0)</f>
        <v>0</v>
      </c>
      <c r="T1262" s="21">
        <f>Deals[[#This Row],[ApprovedAmount]]*Deals[[#This Row],[ProfitRate]]</f>
        <v>0</v>
      </c>
    </row>
    <row r="1263" spans="1:20">
      <c r="A1263" s="2" t="s">
        <v>2071</v>
      </c>
      <c r="B1263" s="3">
        <v>46290</v>
      </c>
      <c r="C1263" s="2" t="s">
        <v>276</v>
      </c>
      <c r="D1263" s="2" t="s">
        <v>54</v>
      </c>
      <c r="E1263" s="2" t="s">
        <v>15</v>
      </c>
      <c r="F1263" s="2" t="s">
        <v>3</v>
      </c>
      <c r="G1263" s="4">
        <v>10400</v>
      </c>
      <c r="H1263" s="5">
        <v>5.9499999999999997E-2</v>
      </c>
      <c r="I1263" s="2">
        <v>48</v>
      </c>
      <c r="J1263" s="2" t="s">
        <v>56</v>
      </c>
      <c r="K1263" s="2" t="s">
        <v>17</v>
      </c>
      <c r="L1263" s="3">
        <v>46293</v>
      </c>
      <c r="M1263" s="2" t="str">
        <f>_xlfn.XLOOKUP(Deals[[#This Row],[CustomerID]],Customers!A:A,Customers!F:F)</f>
        <v>Mass</v>
      </c>
      <c r="N1263" s="2" t="str">
        <f>_xlfn.XLOOKUP(Deals[[#This Row],[CustomerID]],Customers!A:A,Customers!E:E)</f>
        <v>Kuwaiti</v>
      </c>
      <c r="O1263" s="2">
        <f>2026-_xlfn.XLOOKUP(Deals[[#This Row],[CustomerID]],Customers!A:A,Customers!D:D)</f>
        <v>32</v>
      </c>
      <c r="P1263" s="2" t="str" cm="1">
        <f t="array" ref="P1263">_xlfn.IFS(Deals[[#This Row],[Age]]&lt;30,"Under 30",Deals[[#This Row],[Age]]&lt;45,"30-44",TRUE,"45+")</f>
        <v>30-44</v>
      </c>
      <c r="Q1263" s="21">
        <f>IF(Deals[[#This Row],[Status]]="Pending","",Deals[[#This Row],[DecisionDate]]-Deals[[#This Row],[ApplicationDate]])</f>
        <v>3</v>
      </c>
      <c r="R1263" s="21">
        <f>IF(Deals[[#This Row],[Status]]="Approved",1,0)</f>
        <v>1</v>
      </c>
      <c r="S1263" s="21">
        <f>IF(Deals[[#This Row],[IsApproved]]=1,Deals[[#This Row],[Amount]],0)</f>
        <v>10400</v>
      </c>
      <c r="T1263" s="21">
        <f>Deals[[#This Row],[ApprovedAmount]]*Deals[[#This Row],[ProfitRate]]</f>
        <v>618.79999999999995</v>
      </c>
    </row>
    <row r="1264" spans="1:20">
      <c r="A1264" s="2" t="s">
        <v>2072</v>
      </c>
      <c r="B1264" s="3">
        <v>46291</v>
      </c>
      <c r="C1264" s="2" t="s">
        <v>144</v>
      </c>
      <c r="D1264" s="2" t="s">
        <v>25</v>
      </c>
      <c r="E1264" s="2" t="s">
        <v>30</v>
      </c>
      <c r="F1264" s="2" t="s">
        <v>31</v>
      </c>
      <c r="G1264" s="4">
        <v>13900</v>
      </c>
      <c r="H1264" s="5">
        <v>4.2900000000000001E-2</v>
      </c>
      <c r="I1264" s="2">
        <v>36</v>
      </c>
      <c r="J1264" s="2" t="s">
        <v>181</v>
      </c>
      <c r="K1264" s="2" t="s">
        <v>1916</v>
      </c>
      <c r="L1264" s="2"/>
      <c r="M1264" s="2" t="str">
        <f>_xlfn.XLOOKUP(Deals[[#This Row],[CustomerID]],Customers!A:A,Customers!F:F)</f>
        <v>Affluent</v>
      </c>
      <c r="N1264" s="2" t="str">
        <f>_xlfn.XLOOKUP(Deals[[#This Row],[CustomerID]],Customers!A:A,Customers!E:E)</f>
        <v>Non-Kuwaiti</v>
      </c>
      <c r="O1264" s="2">
        <f>2026-_xlfn.XLOOKUP(Deals[[#This Row],[CustomerID]],Customers!A:A,Customers!D:D)</f>
        <v>56</v>
      </c>
      <c r="P1264" s="2" t="str" cm="1">
        <f t="array" ref="P1264">_xlfn.IFS(Deals[[#This Row],[Age]]&lt;30,"Under 30",Deals[[#This Row],[Age]]&lt;45,"30-44",TRUE,"45+")</f>
        <v>45+</v>
      </c>
      <c r="Q1264" s="21" t="str">
        <f>IF(Deals[[#This Row],[Status]]="Pending","",Deals[[#This Row],[DecisionDate]]-Deals[[#This Row],[ApplicationDate]])</f>
        <v/>
      </c>
      <c r="R1264" s="21">
        <f>IF(Deals[[#This Row],[Status]]="Approved",1,0)</f>
        <v>0</v>
      </c>
      <c r="S1264" s="21">
        <f>IF(Deals[[#This Row],[IsApproved]]=1,Deals[[#This Row],[Amount]],0)</f>
        <v>0</v>
      </c>
      <c r="T1264" s="21">
        <f>Deals[[#This Row],[ApprovedAmount]]*Deals[[#This Row],[ProfitRate]]</f>
        <v>0</v>
      </c>
    </row>
    <row r="1265" spans="1:20">
      <c r="A1265" s="2" t="s">
        <v>2073</v>
      </c>
      <c r="B1265" s="3">
        <v>46291</v>
      </c>
      <c r="C1265" s="2" t="s">
        <v>627</v>
      </c>
      <c r="D1265" s="2" t="s">
        <v>71</v>
      </c>
      <c r="E1265" s="2" t="s">
        <v>15</v>
      </c>
      <c r="F1265" s="2" t="s">
        <v>3</v>
      </c>
      <c r="G1265" s="4">
        <v>22600</v>
      </c>
      <c r="H1265" s="5">
        <v>6.3500000000000001E-2</v>
      </c>
      <c r="I1265" s="2">
        <v>36</v>
      </c>
      <c r="J1265" s="2" t="s">
        <v>101</v>
      </c>
      <c r="K1265" s="2" t="s">
        <v>1916</v>
      </c>
      <c r="L1265" s="2"/>
      <c r="M1265" s="2" t="str">
        <f>_xlfn.XLOOKUP(Deals[[#This Row],[CustomerID]],Customers!A:A,Customers!F:F)</f>
        <v>Mass</v>
      </c>
      <c r="N1265" s="2" t="str">
        <f>_xlfn.XLOOKUP(Deals[[#This Row],[CustomerID]],Customers!A:A,Customers!E:E)</f>
        <v>Kuwaiti</v>
      </c>
      <c r="O1265" s="2">
        <f>2026-_xlfn.XLOOKUP(Deals[[#This Row],[CustomerID]],Customers!A:A,Customers!D:D)</f>
        <v>42</v>
      </c>
      <c r="P1265" s="2" t="str" cm="1">
        <f t="array" ref="P1265">_xlfn.IFS(Deals[[#This Row],[Age]]&lt;30,"Under 30",Deals[[#This Row],[Age]]&lt;45,"30-44",TRUE,"45+")</f>
        <v>30-44</v>
      </c>
      <c r="Q1265" s="21" t="str">
        <f>IF(Deals[[#This Row],[Status]]="Pending","",Deals[[#This Row],[DecisionDate]]-Deals[[#This Row],[ApplicationDate]])</f>
        <v/>
      </c>
      <c r="R1265" s="21">
        <f>IF(Deals[[#This Row],[Status]]="Approved",1,0)</f>
        <v>0</v>
      </c>
      <c r="S1265" s="21">
        <f>IF(Deals[[#This Row],[IsApproved]]=1,Deals[[#This Row],[Amount]],0)</f>
        <v>0</v>
      </c>
      <c r="T1265" s="21">
        <f>Deals[[#This Row],[ApprovedAmount]]*Deals[[#This Row],[ProfitRate]]</f>
        <v>0</v>
      </c>
    </row>
    <row r="1266" spans="1:20">
      <c r="A1266" s="2" t="s">
        <v>2074</v>
      </c>
      <c r="B1266" s="3">
        <v>46291</v>
      </c>
      <c r="C1266" s="2" t="s">
        <v>1948</v>
      </c>
      <c r="D1266" s="2" t="s">
        <v>25</v>
      </c>
      <c r="E1266" s="2" t="s">
        <v>15</v>
      </c>
      <c r="F1266" s="2" t="s">
        <v>55</v>
      </c>
      <c r="G1266" s="4">
        <v>15900</v>
      </c>
      <c r="H1266" s="5">
        <v>5.4899999999999997E-2</v>
      </c>
      <c r="I1266" s="2">
        <v>36</v>
      </c>
      <c r="J1266" s="2" t="s">
        <v>66</v>
      </c>
      <c r="K1266" s="2" t="s">
        <v>1916</v>
      </c>
      <c r="L1266" s="2"/>
      <c r="M1266" s="2" t="str">
        <f>_xlfn.XLOOKUP(Deals[[#This Row],[CustomerID]],Customers!A:A,Customers!F:F)</f>
        <v>Mass</v>
      </c>
      <c r="N1266" s="2" t="str">
        <f>_xlfn.XLOOKUP(Deals[[#This Row],[CustomerID]],Customers!A:A,Customers!E:E)</f>
        <v>Kuwaiti</v>
      </c>
      <c r="O1266" s="2">
        <f>2026-_xlfn.XLOOKUP(Deals[[#This Row],[CustomerID]],Customers!A:A,Customers!D:D)</f>
        <v>37</v>
      </c>
      <c r="P1266" s="2" t="str" cm="1">
        <f t="array" ref="P1266">_xlfn.IFS(Deals[[#This Row],[Age]]&lt;30,"Under 30",Deals[[#This Row],[Age]]&lt;45,"30-44",TRUE,"45+")</f>
        <v>30-44</v>
      </c>
      <c r="Q1266" s="21" t="str">
        <f>IF(Deals[[#This Row],[Status]]="Pending","",Deals[[#This Row],[DecisionDate]]-Deals[[#This Row],[ApplicationDate]])</f>
        <v/>
      </c>
      <c r="R1266" s="21">
        <f>IF(Deals[[#This Row],[Status]]="Approved",1,0)</f>
        <v>0</v>
      </c>
      <c r="S1266" s="21">
        <f>IF(Deals[[#This Row],[IsApproved]]=1,Deals[[#This Row],[Amount]],0)</f>
        <v>0</v>
      </c>
      <c r="T1266" s="21">
        <f>Deals[[#This Row],[ApprovedAmount]]*Deals[[#This Row],[ProfitRate]]</f>
        <v>0</v>
      </c>
    </row>
    <row r="1267" spans="1:20">
      <c r="A1267" s="2" t="s">
        <v>2075</v>
      </c>
      <c r="B1267" s="3">
        <v>46291</v>
      </c>
      <c r="C1267" s="2" t="s">
        <v>2041</v>
      </c>
      <c r="D1267" s="2" t="s">
        <v>20</v>
      </c>
      <c r="E1267" s="2" t="s">
        <v>15</v>
      </c>
      <c r="F1267" s="2" t="s">
        <v>31</v>
      </c>
      <c r="G1267" s="4">
        <v>23100</v>
      </c>
      <c r="H1267" s="5">
        <v>5.6099999999999997E-2</v>
      </c>
      <c r="I1267" s="2">
        <v>24</v>
      </c>
      <c r="J1267" s="2" t="s">
        <v>37</v>
      </c>
      <c r="K1267" s="2" t="s">
        <v>45</v>
      </c>
      <c r="L1267" s="3">
        <v>46293</v>
      </c>
      <c r="M1267" s="2" t="str">
        <f>_xlfn.XLOOKUP(Deals[[#This Row],[CustomerID]],Customers!A:A,Customers!F:F)</f>
        <v>Mass</v>
      </c>
      <c r="N1267" s="2" t="str">
        <f>_xlfn.XLOOKUP(Deals[[#This Row],[CustomerID]],Customers!A:A,Customers!E:E)</f>
        <v>Kuwaiti</v>
      </c>
      <c r="O1267" s="2">
        <f>2026-_xlfn.XLOOKUP(Deals[[#This Row],[CustomerID]],Customers!A:A,Customers!D:D)</f>
        <v>41</v>
      </c>
      <c r="P1267" s="2" t="str" cm="1">
        <f t="array" ref="P1267">_xlfn.IFS(Deals[[#This Row],[Age]]&lt;30,"Under 30",Deals[[#This Row],[Age]]&lt;45,"30-44",TRUE,"45+")</f>
        <v>30-44</v>
      </c>
      <c r="Q1267" s="21">
        <f>IF(Deals[[#This Row],[Status]]="Pending","",Deals[[#This Row],[DecisionDate]]-Deals[[#This Row],[ApplicationDate]])</f>
        <v>2</v>
      </c>
      <c r="R1267" s="21">
        <f>IF(Deals[[#This Row],[Status]]="Approved",1,0)</f>
        <v>0</v>
      </c>
      <c r="S1267" s="21">
        <f>IF(Deals[[#This Row],[IsApproved]]=1,Deals[[#This Row],[Amount]],0)</f>
        <v>0</v>
      </c>
      <c r="T1267" s="21">
        <f>Deals[[#This Row],[ApprovedAmount]]*Deals[[#This Row],[ProfitRate]]</f>
        <v>0</v>
      </c>
    </row>
    <row r="1268" spans="1:20">
      <c r="A1268" s="2" t="s">
        <v>2076</v>
      </c>
      <c r="B1268" s="3">
        <v>46291</v>
      </c>
      <c r="C1268" s="2" t="s">
        <v>2077</v>
      </c>
      <c r="D1268" s="2" t="s">
        <v>20</v>
      </c>
      <c r="E1268" s="2" t="s">
        <v>15</v>
      </c>
      <c r="F1268" s="2" t="s">
        <v>3</v>
      </c>
      <c r="G1268" s="4">
        <v>16500</v>
      </c>
      <c r="H1268" s="5">
        <v>5.2699999999999997E-2</v>
      </c>
      <c r="I1268" s="2">
        <v>24</v>
      </c>
      <c r="J1268" s="2" t="s">
        <v>44</v>
      </c>
      <c r="K1268" s="2" t="s">
        <v>1916</v>
      </c>
      <c r="L1268" s="2"/>
      <c r="M1268" s="2" t="str">
        <f>_xlfn.XLOOKUP(Deals[[#This Row],[CustomerID]],Customers!A:A,Customers!F:F)</f>
        <v>Affluent</v>
      </c>
      <c r="N1268" s="2" t="str">
        <f>_xlfn.XLOOKUP(Deals[[#This Row],[CustomerID]],Customers!A:A,Customers!E:E)</f>
        <v>Kuwaiti</v>
      </c>
      <c r="O1268" s="2">
        <f>2026-_xlfn.XLOOKUP(Deals[[#This Row],[CustomerID]],Customers!A:A,Customers!D:D)</f>
        <v>46</v>
      </c>
      <c r="P1268" s="2" t="str" cm="1">
        <f t="array" ref="P1268">_xlfn.IFS(Deals[[#This Row],[Age]]&lt;30,"Under 30",Deals[[#This Row],[Age]]&lt;45,"30-44",TRUE,"45+")</f>
        <v>45+</v>
      </c>
      <c r="Q1268" s="21" t="str">
        <f>IF(Deals[[#This Row],[Status]]="Pending","",Deals[[#This Row],[DecisionDate]]-Deals[[#This Row],[ApplicationDate]])</f>
        <v/>
      </c>
      <c r="R1268" s="21">
        <f>IF(Deals[[#This Row],[Status]]="Approved",1,0)</f>
        <v>0</v>
      </c>
      <c r="S1268" s="21">
        <f>IF(Deals[[#This Row],[IsApproved]]=1,Deals[[#This Row],[Amount]],0)</f>
        <v>0</v>
      </c>
      <c r="T1268" s="21">
        <f>Deals[[#This Row],[ApprovedAmount]]*Deals[[#This Row],[ProfitRate]]</f>
        <v>0</v>
      </c>
    </row>
    <row r="1269" spans="1:20">
      <c r="A1269" s="2" t="s">
        <v>2078</v>
      </c>
      <c r="B1269" s="3">
        <v>46292</v>
      </c>
      <c r="C1269" s="2" t="s">
        <v>206</v>
      </c>
      <c r="D1269" s="2" t="s">
        <v>25</v>
      </c>
      <c r="E1269" s="2" t="s">
        <v>30</v>
      </c>
      <c r="F1269" s="2" t="s">
        <v>3</v>
      </c>
      <c r="G1269" s="4">
        <v>7200</v>
      </c>
      <c r="H1269" s="5">
        <v>4.6199999999999998E-2</v>
      </c>
      <c r="I1269" s="2">
        <v>36</v>
      </c>
      <c r="J1269" s="2" t="s">
        <v>26</v>
      </c>
      <c r="K1269" s="2" t="s">
        <v>1916</v>
      </c>
      <c r="L1269" s="2"/>
      <c r="M1269" s="2" t="str">
        <f>_xlfn.XLOOKUP(Deals[[#This Row],[CustomerID]],Customers!A:A,Customers!F:F)</f>
        <v>Affluent</v>
      </c>
      <c r="N1269" s="2" t="str">
        <f>_xlfn.XLOOKUP(Deals[[#This Row],[CustomerID]],Customers!A:A,Customers!E:E)</f>
        <v>Kuwaiti</v>
      </c>
      <c r="O1269" s="2">
        <f>2026-_xlfn.XLOOKUP(Deals[[#This Row],[CustomerID]],Customers!A:A,Customers!D:D)</f>
        <v>51</v>
      </c>
      <c r="P1269" s="2" t="str" cm="1">
        <f t="array" ref="P1269">_xlfn.IFS(Deals[[#This Row],[Age]]&lt;30,"Under 30",Deals[[#This Row],[Age]]&lt;45,"30-44",TRUE,"45+")</f>
        <v>45+</v>
      </c>
      <c r="Q1269" s="21" t="str">
        <f>IF(Deals[[#This Row],[Status]]="Pending","",Deals[[#This Row],[DecisionDate]]-Deals[[#This Row],[ApplicationDate]])</f>
        <v/>
      </c>
      <c r="R1269" s="21">
        <f>IF(Deals[[#This Row],[Status]]="Approved",1,0)</f>
        <v>0</v>
      </c>
      <c r="S1269" s="21">
        <f>IF(Deals[[#This Row],[IsApproved]]=1,Deals[[#This Row],[Amount]],0)</f>
        <v>0</v>
      </c>
      <c r="T1269" s="21">
        <f>Deals[[#This Row],[ApprovedAmount]]*Deals[[#This Row],[ProfitRate]]</f>
        <v>0</v>
      </c>
    </row>
    <row r="1270" spans="1:20">
      <c r="A1270" s="2" t="s">
        <v>2079</v>
      </c>
      <c r="B1270" s="3">
        <v>46292</v>
      </c>
      <c r="C1270" s="2" t="s">
        <v>1020</v>
      </c>
      <c r="D1270" s="2" t="s">
        <v>25</v>
      </c>
      <c r="E1270" s="2" t="s">
        <v>43</v>
      </c>
      <c r="F1270" s="2" t="s">
        <v>3</v>
      </c>
      <c r="G1270" s="4">
        <v>147000</v>
      </c>
      <c r="H1270" s="5">
        <v>5.9200000000000003E-2</v>
      </c>
      <c r="I1270" s="2">
        <v>60</v>
      </c>
      <c r="J1270" s="2" t="s">
        <v>181</v>
      </c>
      <c r="K1270" s="2" t="s">
        <v>17</v>
      </c>
      <c r="L1270" s="3">
        <v>46309</v>
      </c>
      <c r="M1270" s="2" t="str">
        <f>_xlfn.XLOOKUP(Deals[[#This Row],[CustomerID]],Customers!A:A,Customers!F:F)</f>
        <v>Mass</v>
      </c>
      <c r="N1270" s="2" t="str">
        <f>_xlfn.XLOOKUP(Deals[[#This Row],[CustomerID]],Customers!A:A,Customers!E:E)</f>
        <v>Kuwaiti</v>
      </c>
      <c r="O1270" s="2">
        <f>2026-_xlfn.XLOOKUP(Deals[[#This Row],[CustomerID]],Customers!A:A,Customers!D:D)</f>
        <v>27</v>
      </c>
      <c r="P1270" s="2" t="str" cm="1">
        <f t="array" ref="P1270">_xlfn.IFS(Deals[[#This Row],[Age]]&lt;30,"Under 30",Deals[[#This Row],[Age]]&lt;45,"30-44",TRUE,"45+")</f>
        <v>Under 30</v>
      </c>
      <c r="Q1270" s="21">
        <f>IF(Deals[[#This Row],[Status]]="Pending","",Deals[[#This Row],[DecisionDate]]-Deals[[#This Row],[ApplicationDate]])</f>
        <v>17</v>
      </c>
      <c r="R1270" s="21">
        <f>IF(Deals[[#This Row],[Status]]="Approved",1,0)</f>
        <v>1</v>
      </c>
      <c r="S1270" s="21">
        <f>IF(Deals[[#This Row],[IsApproved]]=1,Deals[[#This Row],[Amount]],0)</f>
        <v>147000</v>
      </c>
      <c r="T1270" s="21">
        <f>Deals[[#This Row],[ApprovedAmount]]*Deals[[#This Row],[ProfitRate]]</f>
        <v>8702.4</v>
      </c>
    </row>
    <row r="1271" spans="1:20">
      <c r="A1271" s="2" t="s">
        <v>2080</v>
      </c>
      <c r="B1271" s="3">
        <v>46292</v>
      </c>
      <c r="C1271" s="2" t="s">
        <v>2081</v>
      </c>
      <c r="D1271" s="2" t="s">
        <v>25</v>
      </c>
      <c r="E1271" s="2" t="s">
        <v>30</v>
      </c>
      <c r="F1271" s="2" t="s">
        <v>31</v>
      </c>
      <c r="G1271" s="4">
        <v>14700</v>
      </c>
      <c r="H1271" s="5">
        <v>4.4299999999999999E-2</v>
      </c>
      <c r="I1271" s="2">
        <v>48</v>
      </c>
      <c r="J1271" s="2" t="s">
        <v>26</v>
      </c>
      <c r="K1271" s="2" t="s">
        <v>45</v>
      </c>
      <c r="L1271" s="3">
        <v>46294</v>
      </c>
      <c r="M1271" s="2" t="str">
        <f>_xlfn.XLOOKUP(Deals[[#This Row],[CustomerID]],Customers!A:A,Customers!F:F)</f>
        <v>Mass</v>
      </c>
      <c r="N1271" s="2" t="str">
        <f>_xlfn.XLOOKUP(Deals[[#This Row],[CustomerID]],Customers!A:A,Customers!E:E)</f>
        <v>Kuwaiti</v>
      </c>
      <c r="O1271" s="2">
        <f>2026-_xlfn.XLOOKUP(Deals[[#This Row],[CustomerID]],Customers!A:A,Customers!D:D)</f>
        <v>29</v>
      </c>
      <c r="P1271" s="2" t="str" cm="1">
        <f t="array" ref="P1271">_xlfn.IFS(Deals[[#This Row],[Age]]&lt;30,"Under 30",Deals[[#This Row],[Age]]&lt;45,"30-44",TRUE,"45+")</f>
        <v>Under 30</v>
      </c>
      <c r="Q1271" s="21">
        <f>IF(Deals[[#This Row],[Status]]="Pending","",Deals[[#This Row],[DecisionDate]]-Deals[[#This Row],[ApplicationDate]])</f>
        <v>2</v>
      </c>
      <c r="R1271" s="21">
        <f>IF(Deals[[#This Row],[Status]]="Approved",1,0)</f>
        <v>0</v>
      </c>
      <c r="S1271" s="21">
        <f>IF(Deals[[#This Row],[IsApproved]]=1,Deals[[#This Row],[Amount]],0)</f>
        <v>0</v>
      </c>
      <c r="T1271" s="21">
        <f>Deals[[#This Row],[ApprovedAmount]]*Deals[[#This Row],[ProfitRate]]</f>
        <v>0</v>
      </c>
    </row>
    <row r="1272" spans="1:20">
      <c r="A1272" s="2" t="s">
        <v>2082</v>
      </c>
      <c r="B1272" s="3">
        <v>46292</v>
      </c>
      <c r="C1272" s="2" t="s">
        <v>417</v>
      </c>
      <c r="D1272" s="2" t="s">
        <v>25</v>
      </c>
      <c r="E1272" s="2" t="s">
        <v>15</v>
      </c>
      <c r="F1272" s="2" t="s">
        <v>55</v>
      </c>
      <c r="G1272" s="4">
        <v>11400</v>
      </c>
      <c r="H1272" s="5">
        <v>6.2799999999999995E-2</v>
      </c>
      <c r="I1272" s="2">
        <v>12</v>
      </c>
      <c r="J1272" s="2" t="s">
        <v>26</v>
      </c>
      <c r="K1272" s="2" t="s">
        <v>17</v>
      </c>
      <c r="L1272" s="3">
        <v>46298</v>
      </c>
      <c r="M1272" s="2" t="str">
        <f>_xlfn.XLOOKUP(Deals[[#This Row],[CustomerID]],Customers!A:A,Customers!F:F)</f>
        <v>Mass</v>
      </c>
      <c r="N1272" s="2" t="str">
        <f>_xlfn.XLOOKUP(Deals[[#This Row],[CustomerID]],Customers!A:A,Customers!E:E)</f>
        <v>Kuwaiti</v>
      </c>
      <c r="O1272" s="2">
        <f>2026-_xlfn.XLOOKUP(Deals[[#This Row],[CustomerID]],Customers!A:A,Customers!D:D)</f>
        <v>40</v>
      </c>
      <c r="P1272" s="2" t="str" cm="1">
        <f t="array" ref="P1272">_xlfn.IFS(Deals[[#This Row],[Age]]&lt;30,"Under 30",Deals[[#This Row],[Age]]&lt;45,"30-44",TRUE,"45+")</f>
        <v>30-44</v>
      </c>
      <c r="Q1272" s="21">
        <f>IF(Deals[[#This Row],[Status]]="Pending","",Deals[[#This Row],[DecisionDate]]-Deals[[#This Row],[ApplicationDate]])</f>
        <v>6</v>
      </c>
      <c r="R1272" s="21">
        <f>IF(Deals[[#This Row],[Status]]="Approved",1,0)</f>
        <v>1</v>
      </c>
      <c r="S1272" s="21">
        <f>IF(Deals[[#This Row],[IsApproved]]=1,Deals[[#This Row],[Amount]],0)</f>
        <v>11400</v>
      </c>
      <c r="T1272" s="21">
        <f>Deals[[#This Row],[ApprovedAmount]]*Deals[[#This Row],[ProfitRate]]</f>
        <v>715.92</v>
      </c>
    </row>
    <row r="1273" spans="1:20">
      <c r="A1273" s="2" t="s">
        <v>2083</v>
      </c>
      <c r="B1273" s="3">
        <v>46292</v>
      </c>
      <c r="C1273" s="2" t="s">
        <v>1655</v>
      </c>
      <c r="D1273" s="2" t="s">
        <v>20</v>
      </c>
      <c r="E1273" s="2" t="s">
        <v>30</v>
      </c>
      <c r="F1273" s="2" t="s">
        <v>55</v>
      </c>
      <c r="G1273" s="4">
        <v>10500</v>
      </c>
      <c r="H1273" s="5">
        <v>4.7399999999999998E-2</v>
      </c>
      <c r="I1273" s="2">
        <v>60</v>
      </c>
      <c r="J1273" s="2" t="s">
        <v>44</v>
      </c>
      <c r="K1273" s="2" t="s">
        <v>1916</v>
      </c>
      <c r="L1273" s="2"/>
      <c r="M1273" s="2" t="str">
        <f>_xlfn.XLOOKUP(Deals[[#This Row],[CustomerID]],Customers!A:A,Customers!F:F)</f>
        <v>Mass</v>
      </c>
      <c r="N1273" s="2" t="str">
        <f>_xlfn.XLOOKUP(Deals[[#This Row],[CustomerID]],Customers!A:A,Customers!E:E)</f>
        <v>Kuwaiti</v>
      </c>
      <c r="O1273" s="2">
        <f>2026-_xlfn.XLOOKUP(Deals[[#This Row],[CustomerID]],Customers!A:A,Customers!D:D)</f>
        <v>50</v>
      </c>
      <c r="P1273" s="2" t="str" cm="1">
        <f t="array" ref="P1273">_xlfn.IFS(Deals[[#This Row],[Age]]&lt;30,"Under 30",Deals[[#This Row],[Age]]&lt;45,"30-44",TRUE,"45+")</f>
        <v>45+</v>
      </c>
      <c r="Q1273" s="21" t="str">
        <f>IF(Deals[[#This Row],[Status]]="Pending","",Deals[[#This Row],[DecisionDate]]-Deals[[#This Row],[ApplicationDate]])</f>
        <v/>
      </c>
      <c r="R1273" s="21">
        <f>IF(Deals[[#This Row],[Status]]="Approved",1,0)</f>
        <v>0</v>
      </c>
      <c r="S1273" s="21">
        <f>IF(Deals[[#This Row],[IsApproved]]=1,Deals[[#This Row],[Amount]],0)</f>
        <v>0</v>
      </c>
      <c r="T1273" s="21">
        <f>Deals[[#This Row],[ApprovedAmount]]*Deals[[#This Row],[ProfitRate]]</f>
        <v>0</v>
      </c>
    </row>
    <row r="1274" spans="1:20">
      <c r="A1274" s="2" t="s">
        <v>2084</v>
      </c>
      <c r="B1274" s="3">
        <v>46292</v>
      </c>
      <c r="C1274" s="2" t="s">
        <v>543</v>
      </c>
      <c r="D1274" s="2" t="s">
        <v>20</v>
      </c>
      <c r="E1274" s="2" t="s">
        <v>15</v>
      </c>
      <c r="F1274" s="2" t="s">
        <v>55</v>
      </c>
      <c r="G1274" s="4">
        <v>9500</v>
      </c>
      <c r="H1274" s="5">
        <v>5.3199999999999997E-2</v>
      </c>
      <c r="I1274" s="2">
        <v>12</v>
      </c>
      <c r="J1274" s="2" t="s">
        <v>22</v>
      </c>
      <c r="K1274" s="2" t="s">
        <v>17</v>
      </c>
      <c r="L1274" s="3">
        <v>46298</v>
      </c>
      <c r="M1274" s="2" t="str">
        <f>_xlfn.XLOOKUP(Deals[[#This Row],[CustomerID]],Customers!A:A,Customers!F:F)</f>
        <v>Mass</v>
      </c>
      <c r="N1274" s="2" t="str">
        <f>_xlfn.XLOOKUP(Deals[[#This Row],[CustomerID]],Customers!A:A,Customers!E:E)</f>
        <v>Kuwaiti</v>
      </c>
      <c r="O1274" s="2">
        <f>2026-_xlfn.XLOOKUP(Deals[[#This Row],[CustomerID]],Customers!A:A,Customers!D:D)</f>
        <v>27</v>
      </c>
      <c r="P1274" s="2" t="str" cm="1">
        <f t="array" ref="P1274">_xlfn.IFS(Deals[[#This Row],[Age]]&lt;30,"Under 30",Deals[[#This Row],[Age]]&lt;45,"30-44",TRUE,"45+")</f>
        <v>Under 30</v>
      </c>
      <c r="Q1274" s="21">
        <f>IF(Deals[[#This Row],[Status]]="Pending","",Deals[[#This Row],[DecisionDate]]-Deals[[#This Row],[ApplicationDate]])</f>
        <v>6</v>
      </c>
      <c r="R1274" s="21">
        <f>IF(Deals[[#This Row],[Status]]="Approved",1,0)</f>
        <v>1</v>
      </c>
      <c r="S1274" s="21">
        <f>IF(Deals[[#This Row],[IsApproved]]=1,Deals[[#This Row],[Amount]],0)</f>
        <v>9500</v>
      </c>
      <c r="T1274" s="21">
        <f>Deals[[#This Row],[ApprovedAmount]]*Deals[[#This Row],[ProfitRate]]</f>
        <v>505.4</v>
      </c>
    </row>
    <row r="1275" spans="1:20">
      <c r="A1275" s="2" t="s">
        <v>2085</v>
      </c>
      <c r="B1275" s="3">
        <v>46292</v>
      </c>
      <c r="C1275" s="2" t="s">
        <v>1371</v>
      </c>
      <c r="D1275" s="2" t="s">
        <v>14</v>
      </c>
      <c r="E1275" s="2" t="s">
        <v>21</v>
      </c>
      <c r="F1275" s="2" t="s">
        <v>31</v>
      </c>
      <c r="G1275" s="4">
        <v>163100</v>
      </c>
      <c r="H1275" s="5">
        <v>3.9E-2</v>
      </c>
      <c r="I1275" s="2">
        <v>180</v>
      </c>
      <c r="J1275" s="2" t="s">
        <v>40</v>
      </c>
      <c r="K1275" s="2" t="s">
        <v>1916</v>
      </c>
      <c r="L1275" s="2"/>
      <c r="M1275" s="2" t="str">
        <f>_xlfn.XLOOKUP(Deals[[#This Row],[CustomerID]],Customers!A:A,Customers!F:F)</f>
        <v>Affluent</v>
      </c>
      <c r="N1275" s="2" t="str">
        <f>_xlfn.XLOOKUP(Deals[[#This Row],[CustomerID]],Customers!A:A,Customers!E:E)</f>
        <v>Kuwaiti</v>
      </c>
      <c r="O1275" s="2">
        <f>2026-_xlfn.XLOOKUP(Deals[[#This Row],[CustomerID]],Customers!A:A,Customers!D:D)</f>
        <v>30</v>
      </c>
      <c r="P1275" s="2" t="str" cm="1">
        <f t="array" ref="P1275">_xlfn.IFS(Deals[[#This Row],[Age]]&lt;30,"Under 30",Deals[[#This Row],[Age]]&lt;45,"30-44",TRUE,"45+")</f>
        <v>30-44</v>
      </c>
      <c r="Q1275" s="21" t="str">
        <f>IF(Deals[[#This Row],[Status]]="Pending","",Deals[[#This Row],[DecisionDate]]-Deals[[#This Row],[ApplicationDate]])</f>
        <v/>
      </c>
      <c r="R1275" s="21">
        <f>IF(Deals[[#This Row],[Status]]="Approved",1,0)</f>
        <v>0</v>
      </c>
      <c r="S1275" s="21">
        <f>IF(Deals[[#This Row],[IsApproved]]=1,Deals[[#This Row],[Amount]],0)</f>
        <v>0</v>
      </c>
      <c r="T1275" s="21">
        <f>Deals[[#This Row],[ApprovedAmount]]*Deals[[#This Row],[ProfitRate]]</f>
        <v>0</v>
      </c>
    </row>
    <row r="1276" spans="1:20">
      <c r="A1276" s="2" t="s">
        <v>2086</v>
      </c>
      <c r="B1276" s="3">
        <v>46292</v>
      </c>
      <c r="C1276" s="2" t="s">
        <v>2087</v>
      </c>
      <c r="D1276" s="2" t="s">
        <v>54</v>
      </c>
      <c r="E1276" s="2" t="s">
        <v>15</v>
      </c>
      <c r="F1276" s="2" t="s">
        <v>31</v>
      </c>
      <c r="G1276" s="4">
        <v>11600</v>
      </c>
      <c r="H1276" s="5">
        <v>6.9900000000000004E-2</v>
      </c>
      <c r="I1276" s="2">
        <v>60</v>
      </c>
      <c r="J1276" s="2" t="s">
        <v>186</v>
      </c>
      <c r="K1276" s="2" t="s">
        <v>1916</v>
      </c>
      <c r="L1276" s="2"/>
      <c r="M1276" s="2" t="str">
        <f>_xlfn.XLOOKUP(Deals[[#This Row],[CustomerID]],Customers!A:A,Customers!F:F)</f>
        <v>Affluent</v>
      </c>
      <c r="N1276" s="2" t="str">
        <f>_xlfn.XLOOKUP(Deals[[#This Row],[CustomerID]],Customers!A:A,Customers!E:E)</f>
        <v>Kuwaiti</v>
      </c>
      <c r="O1276" s="2">
        <f>2026-_xlfn.XLOOKUP(Deals[[#This Row],[CustomerID]],Customers!A:A,Customers!D:D)</f>
        <v>54</v>
      </c>
      <c r="P1276" s="2" t="str" cm="1">
        <f t="array" ref="P1276">_xlfn.IFS(Deals[[#This Row],[Age]]&lt;30,"Under 30",Deals[[#This Row],[Age]]&lt;45,"30-44",TRUE,"45+")</f>
        <v>45+</v>
      </c>
      <c r="Q1276" s="21" t="str">
        <f>IF(Deals[[#This Row],[Status]]="Pending","",Deals[[#This Row],[DecisionDate]]-Deals[[#This Row],[ApplicationDate]])</f>
        <v/>
      </c>
      <c r="R1276" s="21">
        <f>IF(Deals[[#This Row],[Status]]="Approved",1,0)</f>
        <v>0</v>
      </c>
      <c r="S1276" s="21">
        <f>IF(Deals[[#This Row],[IsApproved]]=1,Deals[[#This Row],[Amount]],0)</f>
        <v>0</v>
      </c>
      <c r="T1276" s="21">
        <f>Deals[[#This Row],[ApprovedAmount]]*Deals[[#This Row],[ProfitRate]]</f>
        <v>0</v>
      </c>
    </row>
    <row r="1277" spans="1:20">
      <c r="A1277" s="2" t="s">
        <v>2088</v>
      </c>
      <c r="B1277" s="3">
        <v>46293</v>
      </c>
      <c r="C1277" s="2" t="s">
        <v>671</v>
      </c>
      <c r="D1277" s="2" t="s">
        <v>14</v>
      </c>
      <c r="E1277" s="2" t="s">
        <v>15</v>
      </c>
      <c r="F1277" s="2" t="s">
        <v>31</v>
      </c>
      <c r="G1277" s="4">
        <v>16000</v>
      </c>
      <c r="H1277" s="5">
        <v>5.7599999999999998E-2</v>
      </c>
      <c r="I1277" s="2">
        <v>12</v>
      </c>
      <c r="J1277" s="2" t="s">
        <v>48</v>
      </c>
      <c r="K1277" s="2" t="s">
        <v>1916</v>
      </c>
      <c r="L1277" s="2"/>
      <c r="M1277" s="2" t="str">
        <f>_xlfn.XLOOKUP(Deals[[#This Row],[CustomerID]],Customers!A:A,Customers!F:F)</f>
        <v>Mass</v>
      </c>
      <c r="N1277" s="2" t="str">
        <f>_xlfn.XLOOKUP(Deals[[#This Row],[CustomerID]],Customers!A:A,Customers!E:E)</f>
        <v>Kuwaiti</v>
      </c>
      <c r="O1277" s="2">
        <f>2026-_xlfn.XLOOKUP(Deals[[#This Row],[CustomerID]],Customers!A:A,Customers!D:D)</f>
        <v>23</v>
      </c>
      <c r="P1277" s="2" t="str" cm="1">
        <f t="array" ref="P1277">_xlfn.IFS(Deals[[#This Row],[Age]]&lt;30,"Under 30",Deals[[#This Row],[Age]]&lt;45,"30-44",TRUE,"45+")</f>
        <v>Under 30</v>
      </c>
      <c r="Q1277" s="21" t="str">
        <f>IF(Deals[[#This Row],[Status]]="Pending","",Deals[[#This Row],[DecisionDate]]-Deals[[#This Row],[ApplicationDate]])</f>
        <v/>
      </c>
      <c r="R1277" s="21">
        <f>IF(Deals[[#This Row],[Status]]="Approved",1,0)</f>
        <v>0</v>
      </c>
      <c r="S1277" s="21">
        <f>IF(Deals[[#This Row],[IsApproved]]=1,Deals[[#This Row],[Amount]],0)</f>
        <v>0</v>
      </c>
      <c r="T1277" s="21">
        <f>Deals[[#This Row],[ApprovedAmount]]*Deals[[#This Row],[ProfitRate]]</f>
        <v>0</v>
      </c>
    </row>
    <row r="1278" spans="1:20">
      <c r="A1278" s="2" t="s">
        <v>2089</v>
      </c>
      <c r="B1278" s="3">
        <v>46293</v>
      </c>
      <c r="C1278" s="2" t="s">
        <v>1263</v>
      </c>
      <c r="D1278" s="2" t="s">
        <v>29</v>
      </c>
      <c r="E1278" s="2" t="s">
        <v>15</v>
      </c>
      <c r="F1278" s="2" t="s">
        <v>31</v>
      </c>
      <c r="G1278" s="4">
        <v>24800</v>
      </c>
      <c r="H1278" s="5">
        <v>6.6299999999999998E-2</v>
      </c>
      <c r="I1278" s="2">
        <v>36</v>
      </c>
      <c r="J1278" s="2" t="s">
        <v>32</v>
      </c>
      <c r="K1278" s="2" t="s">
        <v>17</v>
      </c>
      <c r="L1278" s="3">
        <v>46298</v>
      </c>
      <c r="M1278" s="2" t="str">
        <f>_xlfn.XLOOKUP(Deals[[#This Row],[CustomerID]],Customers!A:A,Customers!F:F)</f>
        <v>Affluent</v>
      </c>
      <c r="N1278" s="2" t="str">
        <f>_xlfn.XLOOKUP(Deals[[#This Row],[CustomerID]],Customers!A:A,Customers!E:E)</f>
        <v>Kuwaiti</v>
      </c>
      <c r="O1278" s="2">
        <f>2026-_xlfn.XLOOKUP(Deals[[#This Row],[CustomerID]],Customers!A:A,Customers!D:D)</f>
        <v>61</v>
      </c>
      <c r="P1278" s="2" t="str" cm="1">
        <f t="array" ref="P1278">_xlfn.IFS(Deals[[#This Row],[Age]]&lt;30,"Under 30",Deals[[#This Row],[Age]]&lt;45,"30-44",TRUE,"45+")</f>
        <v>45+</v>
      </c>
      <c r="Q1278" s="21">
        <f>IF(Deals[[#This Row],[Status]]="Pending","",Deals[[#This Row],[DecisionDate]]-Deals[[#This Row],[ApplicationDate]])</f>
        <v>5</v>
      </c>
      <c r="R1278" s="21">
        <f>IF(Deals[[#This Row],[Status]]="Approved",1,0)</f>
        <v>1</v>
      </c>
      <c r="S1278" s="21">
        <f>IF(Deals[[#This Row],[IsApproved]]=1,Deals[[#This Row],[Amount]],0)</f>
        <v>24800</v>
      </c>
      <c r="T1278" s="21">
        <f>Deals[[#This Row],[ApprovedAmount]]*Deals[[#This Row],[ProfitRate]]</f>
        <v>1644.24</v>
      </c>
    </row>
    <row r="1279" spans="1:20">
      <c r="A1279" s="2" t="s">
        <v>2090</v>
      </c>
      <c r="B1279" s="3">
        <v>46293</v>
      </c>
      <c r="C1279" s="2" t="s">
        <v>2091</v>
      </c>
      <c r="D1279" s="2" t="s">
        <v>25</v>
      </c>
      <c r="E1279" s="2" t="s">
        <v>15</v>
      </c>
      <c r="F1279" s="2" t="s">
        <v>3</v>
      </c>
      <c r="G1279" s="4">
        <v>13000</v>
      </c>
      <c r="H1279" s="5">
        <v>6.3299999999999995E-2</v>
      </c>
      <c r="I1279" s="2">
        <v>24</v>
      </c>
      <c r="J1279" s="2" t="s">
        <v>66</v>
      </c>
      <c r="K1279" s="2" t="s">
        <v>17</v>
      </c>
      <c r="L1279" s="3">
        <v>46296</v>
      </c>
      <c r="M1279" s="2" t="str">
        <f>_xlfn.XLOOKUP(Deals[[#This Row],[CustomerID]],Customers!A:A,Customers!F:F)</f>
        <v>Affluent</v>
      </c>
      <c r="N1279" s="2" t="str">
        <f>_xlfn.XLOOKUP(Deals[[#This Row],[CustomerID]],Customers!A:A,Customers!E:E)</f>
        <v>Kuwaiti</v>
      </c>
      <c r="O1279" s="2">
        <f>2026-_xlfn.XLOOKUP(Deals[[#This Row],[CustomerID]],Customers!A:A,Customers!D:D)</f>
        <v>42</v>
      </c>
      <c r="P1279" s="2" t="str" cm="1">
        <f t="array" ref="P1279">_xlfn.IFS(Deals[[#This Row],[Age]]&lt;30,"Under 30",Deals[[#This Row],[Age]]&lt;45,"30-44",TRUE,"45+")</f>
        <v>30-44</v>
      </c>
      <c r="Q1279" s="21">
        <f>IF(Deals[[#This Row],[Status]]="Pending","",Deals[[#This Row],[DecisionDate]]-Deals[[#This Row],[ApplicationDate]])</f>
        <v>3</v>
      </c>
      <c r="R1279" s="21">
        <f>IF(Deals[[#This Row],[Status]]="Approved",1,0)</f>
        <v>1</v>
      </c>
      <c r="S1279" s="21">
        <f>IF(Deals[[#This Row],[IsApproved]]=1,Deals[[#This Row],[Amount]],0)</f>
        <v>13000</v>
      </c>
      <c r="T1279" s="21">
        <f>Deals[[#This Row],[ApprovedAmount]]*Deals[[#This Row],[ProfitRate]]</f>
        <v>822.9</v>
      </c>
    </row>
    <row r="1280" spans="1:20">
      <c r="A1280" s="2" t="s">
        <v>2092</v>
      </c>
      <c r="B1280" s="3">
        <v>46293</v>
      </c>
      <c r="C1280" s="2" t="s">
        <v>2093</v>
      </c>
      <c r="D1280" s="2" t="s">
        <v>14</v>
      </c>
      <c r="E1280" s="2" t="s">
        <v>21</v>
      </c>
      <c r="F1280" s="2" t="s">
        <v>3</v>
      </c>
      <c r="G1280" s="4">
        <v>232600</v>
      </c>
      <c r="H1280" s="5">
        <v>4.0300000000000002E-2</v>
      </c>
      <c r="I1280" s="2">
        <v>300</v>
      </c>
      <c r="J1280" s="2" t="s">
        <v>16</v>
      </c>
      <c r="K1280" s="2" t="s">
        <v>17</v>
      </c>
      <c r="L1280" s="3">
        <v>46318</v>
      </c>
      <c r="M1280" s="2" t="str">
        <f>_xlfn.XLOOKUP(Deals[[#This Row],[CustomerID]],Customers!A:A,Customers!F:F)</f>
        <v>Affluent</v>
      </c>
      <c r="N1280" s="2" t="str">
        <f>_xlfn.XLOOKUP(Deals[[#This Row],[CustomerID]],Customers!A:A,Customers!E:E)</f>
        <v>Non-Kuwaiti</v>
      </c>
      <c r="O1280" s="2">
        <f>2026-_xlfn.XLOOKUP(Deals[[#This Row],[CustomerID]],Customers!A:A,Customers!D:D)</f>
        <v>34</v>
      </c>
      <c r="P1280" s="2" t="str" cm="1">
        <f t="array" ref="P1280">_xlfn.IFS(Deals[[#This Row],[Age]]&lt;30,"Under 30",Deals[[#This Row],[Age]]&lt;45,"30-44",TRUE,"45+")</f>
        <v>30-44</v>
      </c>
      <c r="Q1280" s="21">
        <f>IF(Deals[[#This Row],[Status]]="Pending","",Deals[[#This Row],[DecisionDate]]-Deals[[#This Row],[ApplicationDate]])</f>
        <v>25</v>
      </c>
      <c r="R1280" s="21">
        <f>IF(Deals[[#This Row],[Status]]="Approved",1,0)</f>
        <v>1</v>
      </c>
      <c r="S1280" s="21">
        <f>IF(Deals[[#This Row],[IsApproved]]=1,Deals[[#This Row],[Amount]],0)</f>
        <v>232600</v>
      </c>
      <c r="T1280" s="21">
        <f>Deals[[#This Row],[ApprovedAmount]]*Deals[[#This Row],[ProfitRate]]</f>
        <v>9373.7800000000007</v>
      </c>
    </row>
    <row r="1281" spans="1:20">
      <c r="A1281" s="2" t="s">
        <v>2094</v>
      </c>
      <c r="B1281" s="3">
        <v>46293</v>
      </c>
      <c r="C1281" s="2" t="s">
        <v>425</v>
      </c>
      <c r="D1281" s="2" t="s">
        <v>29</v>
      </c>
      <c r="E1281" s="2" t="s">
        <v>30</v>
      </c>
      <c r="F1281" s="2" t="s">
        <v>55</v>
      </c>
      <c r="G1281" s="4">
        <v>4200</v>
      </c>
      <c r="H1281" s="5">
        <v>4.7E-2</v>
      </c>
      <c r="I1281" s="2">
        <v>60</v>
      </c>
      <c r="J1281" s="2" t="s">
        <v>123</v>
      </c>
      <c r="K1281" s="2" t="s">
        <v>45</v>
      </c>
      <c r="L1281" s="3">
        <v>46294</v>
      </c>
      <c r="M1281" s="2" t="str">
        <f>_xlfn.XLOOKUP(Deals[[#This Row],[CustomerID]],Customers!A:A,Customers!F:F)</f>
        <v>Mass</v>
      </c>
      <c r="N1281" s="2" t="str">
        <f>_xlfn.XLOOKUP(Deals[[#This Row],[CustomerID]],Customers!A:A,Customers!E:E)</f>
        <v>Non-Kuwaiti</v>
      </c>
      <c r="O1281" s="2">
        <f>2026-_xlfn.XLOOKUP(Deals[[#This Row],[CustomerID]],Customers!A:A,Customers!D:D)</f>
        <v>28</v>
      </c>
      <c r="P1281" s="2" t="str" cm="1">
        <f t="array" ref="P1281">_xlfn.IFS(Deals[[#This Row],[Age]]&lt;30,"Under 30",Deals[[#This Row],[Age]]&lt;45,"30-44",TRUE,"45+")</f>
        <v>Under 30</v>
      </c>
      <c r="Q1281" s="21">
        <f>IF(Deals[[#This Row],[Status]]="Pending","",Deals[[#This Row],[DecisionDate]]-Deals[[#This Row],[ApplicationDate]])</f>
        <v>1</v>
      </c>
      <c r="R1281" s="21">
        <f>IF(Deals[[#This Row],[Status]]="Approved",1,0)</f>
        <v>0</v>
      </c>
      <c r="S1281" s="21">
        <f>IF(Deals[[#This Row],[IsApproved]]=1,Deals[[#This Row],[Amount]],0)</f>
        <v>0</v>
      </c>
      <c r="T1281" s="21">
        <f>Deals[[#This Row],[ApprovedAmount]]*Deals[[#This Row],[ProfitRate]]</f>
        <v>0</v>
      </c>
    </row>
    <row r="1282" spans="1:20">
      <c r="A1282" s="2" t="s">
        <v>2095</v>
      </c>
      <c r="B1282" s="3">
        <v>46294</v>
      </c>
      <c r="C1282" s="2" t="s">
        <v>129</v>
      </c>
      <c r="D1282" s="2" t="s">
        <v>25</v>
      </c>
      <c r="E1282" s="2" t="s">
        <v>21</v>
      </c>
      <c r="F1282" s="2" t="s">
        <v>31</v>
      </c>
      <c r="G1282" s="4">
        <v>66100</v>
      </c>
      <c r="H1282" s="5">
        <v>3.95E-2</v>
      </c>
      <c r="I1282" s="2">
        <v>120</v>
      </c>
      <c r="J1282" s="2" t="s">
        <v>26</v>
      </c>
      <c r="K1282" s="2" t="s">
        <v>1916</v>
      </c>
      <c r="L1282" s="2"/>
      <c r="M1282" s="2" t="str">
        <f>_xlfn.XLOOKUP(Deals[[#This Row],[CustomerID]],Customers!A:A,Customers!F:F)</f>
        <v>Mass</v>
      </c>
      <c r="N1282" s="2" t="str">
        <f>_xlfn.XLOOKUP(Deals[[#This Row],[CustomerID]],Customers!A:A,Customers!E:E)</f>
        <v>Kuwaiti</v>
      </c>
      <c r="O1282" s="2">
        <f>2026-_xlfn.XLOOKUP(Deals[[#This Row],[CustomerID]],Customers!A:A,Customers!D:D)</f>
        <v>54</v>
      </c>
      <c r="P1282" s="2" t="str" cm="1">
        <f t="array" ref="P1282">_xlfn.IFS(Deals[[#This Row],[Age]]&lt;30,"Under 30",Deals[[#This Row],[Age]]&lt;45,"30-44",TRUE,"45+")</f>
        <v>45+</v>
      </c>
      <c r="Q1282" s="21" t="str">
        <f>IF(Deals[[#This Row],[Status]]="Pending","",Deals[[#This Row],[DecisionDate]]-Deals[[#This Row],[ApplicationDate]])</f>
        <v/>
      </c>
      <c r="R1282" s="21">
        <f>IF(Deals[[#This Row],[Status]]="Approved",1,0)</f>
        <v>0</v>
      </c>
      <c r="S1282" s="21">
        <f>IF(Deals[[#This Row],[IsApproved]]=1,Deals[[#This Row],[Amount]],0)</f>
        <v>0</v>
      </c>
      <c r="T1282" s="21">
        <f>Deals[[#This Row],[ApprovedAmount]]*Deals[[#This Row],[ProfitRate]]</f>
        <v>0</v>
      </c>
    </row>
    <row r="1283" spans="1:20">
      <c r="A1283" s="2" t="s">
        <v>2096</v>
      </c>
      <c r="B1283" s="3">
        <v>46294</v>
      </c>
      <c r="C1283" s="2" t="s">
        <v>2097</v>
      </c>
      <c r="D1283" s="2" t="s">
        <v>29</v>
      </c>
      <c r="E1283" s="2" t="s">
        <v>21</v>
      </c>
      <c r="F1283" s="2" t="s">
        <v>55</v>
      </c>
      <c r="G1283" s="4">
        <v>87600</v>
      </c>
      <c r="H1283" s="5">
        <v>4.0399999999999998E-2</v>
      </c>
      <c r="I1283" s="2">
        <v>120</v>
      </c>
      <c r="J1283" s="2" t="s">
        <v>61</v>
      </c>
      <c r="K1283" s="2" t="s">
        <v>1916</v>
      </c>
      <c r="L1283" s="2"/>
      <c r="M1283" s="2" t="str">
        <f>_xlfn.XLOOKUP(Deals[[#This Row],[CustomerID]],Customers!A:A,Customers!F:F)</f>
        <v>Mass</v>
      </c>
      <c r="N1283" s="2" t="str">
        <f>_xlfn.XLOOKUP(Deals[[#This Row],[CustomerID]],Customers!A:A,Customers!E:E)</f>
        <v>Non-Kuwaiti</v>
      </c>
      <c r="O1283" s="2">
        <f>2026-_xlfn.XLOOKUP(Deals[[#This Row],[CustomerID]],Customers!A:A,Customers!D:D)</f>
        <v>27</v>
      </c>
      <c r="P1283" s="2" t="str" cm="1">
        <f t="array" ref="P1283">_xlfn.IFS(Deals[[#This Row],[Age]]&lt;30,"Under 30",Deals[[#This Row],[Age]]&lt;45,"30-44",TRUE,"45+")</f>
        <v>Under 30</v>
      </c>
      <c r="Q1283" s="21" t="str">
        <f>IF(Deals[[#This Row],[Status]]="Pending","",Deals[[#This Row],[DecisionDate]]-Deals[[#This Row],[ApplicationDate]])</f>
        <v/>
      </c>
      <c r="R1283" s="21">
        <f>IF(Deals[[#This Row],[Status]]="Approved",1,0)</f>
        <v>0</v>
      </c>
      <c r="S1283" s="21">
        <f>IF(Deals[[#This Row],[IsApproved]]=1,Deals[[#This Row],[Amount]],0)</f>
        <v>0</v>
      </c>
      <c r="T1283" s="21">
        <f>Deals[[#This Row],[ApprovedAmount]]*Deals[[#This Row],[ProfitRate]]</f>
        <v>0</v>
      </c>
    </row>
    <row r="1284" spans="1:20">
      <c r="A1284" s="2" t="s">
        <v>2098</v>
      </c>
      <c r="B1284" s="3">
        <v>46294</v>
      </c>
      <c r="C1284" s="2" t="s">
        <v>1645</v>
      </c>
      <c r="D1284" s="2" t="s">
        <v>29</v>
      </c>
      <c r="E1284" s="2" t="s">
        <v>15</v>
      </c>
      <c r="F1284" s="2" t="s">
        <v>3</v>
      </c>
      <c r="G1284" s="4">
        <v>18600</v>
      </c>
      <c r="H1284" s="5">
        <v>5.2999999999999999E-2</v>
      </c>
      <c r="I1284" s="2">
        <v>60</v>
      </c>
      <c r="J1284" s="2" t="s">
        <v>32</v>
      </c>
      <c r="K1284" s="2" t="s">
        <v>1916</v>
      </c>
      <c r="L1284" s="2"/>
      <c r="M1284" s="2" t="str">
        <f>_xlfn.XLOOKUP(Deals[[#This Row],[CustomerID]],Customers!A:A,Customers!F:F)</f>
        <v>Affluent</v>
      </c>
      <c r="N1284" s="2" t="str">
        <f>_xlfn.XLOOKUP(Deals[[#This Row],[CustomerID]],Customers!A:A,Customers!E:E)</f>
        <v>Kuwaiti</v>
      </c>
      <c r="O1284" s="2">
        <f>2026-_xlfn.XLOOKUP(Deals[[#This Row],[CustomerID]],Customers!A:A,Customers!D:D)</f>
        <v>35</v>
      </c>
      <c r="P1284" s="2" t="str" cm="1">
        <f t="array" ref="P1284">_xlfn.IFS(Deals[[#This Row],[Age]]&lt;30,"Under 30",Deals[[#This Row],[Age]]&lt;45,"30-44",TRUE,"45+")</f>
        <v>30-44</v>
      </c>
      <c r="Q1284" s="21" t="str">
        <f>IF(Deals[[#This Row],[Status]]="Pending","",Deals[[#This Row],[DecisionDate]]-Deals[[#This Row],[ApplicationDate]])</f>
        <v/>
      </c>
      <c r="R1284" s="21">
        <f>IF(Deals[[#This Row],[Status]]="Approved",1,0)</f>
        <v>0</v>
      </c>
      <c r="S1284" s="21">
        <f>IF(Deals[[#This Row],[IsApproved]]=1,Deals[[#This Row],[Amount]],0)</f>
        <v>0</v>
      </c>
      <c r="T1284" s="21">
        <f>Deals[[#This Row],[ApprovedAmount]]*Deals[[#This Row],[ProfitRate]]</f>
        <v>0</v>
      </c>
    </row>
    <row r="1285" spans="1:20">
      <c r="A1285" s="2" t="s">
        <v>2099</v>
      </c>
      <c r="B1285" s="3">
        <v>46294</v>
      </c>
      <c r="C1285" s="2" t="s">
        <v>125</v>
      </c>
      <c r="D1285" s="2" t="s">
        <v>54</v>
      </c>
      <c r="E1285" s="2" t="s">
        <v>15</v>
      </c>
      <c r="F1285" s="2" t="s">
        <v>3</v>
      </c>
      <c r="G1285" s="4">
        <v>6700</v>
      </c>
      <c r="H1285" s="5">
        <v>5.67E-2</v>
      </c>
      <c r="I1285" s="2">
        <v>60</v>
      </c>
      <c r="J1285" s="2" t="s">
        <v>148</v>
      </c>
      <c r="K1285" s="2" t="s">
        <v>1916</v>
      </c>
      <c r="L1285" s="2"/>
      <c r="M1285" s="2" t="str">
        <f>_xlfn.XLOOKUP(Deals[[#This Row],[CustomerID]],Customers!A:A,Customers!F:F)</f>
        <v>Mass</v>
      </c>
      <c r="N1285" s="2" t="str">
        <f>_xlfn.XLOOKUP(Deals[[#This Row],[CustomerID]],Customers!A:A,Customers!E:E)</f>
        <v>Non-Kuwaiti</v>
      </c>
      <c r="O1285" s="2">
        <f>2026-_xlfn.XLOOKUP(Deals[[#This Row],[CustomerID]],Customers!A:A,Customers!D:D)</f>
        <v>34</v>
      </c>
      <c r="P1285" s="2" t="str" cm="1">
        <f t="array" ref="P1285">_xlfn.IFS(Deals[[#This Row],[Age]]&lt;30,"Under 30",Deals[[#This Row],[Age]]&lt;45,"30-44",TRUE,"45+")</f>
        <v>30-44</v>
      </c>
      <c r="Q1285" s="21" t="str">
        <f>IF(Deals[[#This Row],[Status]]="Pending","",Deals[[#This Row],[DecisionDate]]-Deals[[#This Row],[ApplicationDate]])</f>
        <v/>
      </c>
      <c r="R1285" s="21">
        <f>IF(Deals[[#This Row],[Status]]="Approved",1,0)</f>
        <v>0</v>
      </c>
      <c r="S1285" s="21">
        <f>IF(Deals[[#This Row],[IsApproved]]=1,Deals[[#This Row],[Amount]],0)</f>
        <v>0</v>
      </c>
      <c r="T1285" s="21">
        <f>Deals[[#This Row],[ApprovedAmount]]*Deals[[#This Row],[ProfitRate]]</f>
        <v>0</v>
      </c>
    </row>
    <row r="1286" spans="1:20">
      <c r="A1286" s="2" t="s">
        <v>2100</v>
      </c>
      <c r="B1286" s="3">
        <v>46294</v>
      </c>
      <c r="C1286" s="2" t="s">
        <v>1479</v>
      </c>
      <c r="D1286" s="2" t="s">
        <v>29</v>
      </c>
      <c r="E1286" s="2" t="s">
        <v>15</v>
      </c>
      <c r="F1286" s="2" t="s">
        <v>31</v>
      </c>
      <c r="G1286" s="4">
        <v>23900</v>
      </c>
      <c r="H1286" s="5">
        <v>5.6500000000000002E-2</v>
      </c>
      <c r="I1286" s="2">
        <v>36</v>
      </c>
      <c r="J1286" s="2" t="s">
        <v>61</v>
      </c>
      <c r="K1286" s="2" t="s">
        <v>1916</v>
      </c>
      <c r="L1286" s="2"/>
      <c r="M1286" s="2" t="str">
        <f>_xlfn.XLOOKUP(Deals[[#This Row],[CustomerID]],Customers!A:A,Customers!F:F)</f>
        <v>Affluent</v>
      </c>
      <c r="N1286" s="2" t="str">
        <f>_xlfn.XLOOKUP(Deals[[#This Row],[CustomerID]],Customers!A:A,Customers!E:E)</f>
        <v>Non-Kuwaiti</v>
      </c>
      <c r="O1286" s="2">
        <f>2026-_xlfn.XLOOKUP(Deals[[#This Row],[CustomerID]],Customers!A:A,Customers!D:D)</f>
        <v>44</v>
      </c>
      <c r="P1286" s="2" t="str" cm="1">
        <f t="array" ref="P1286">_xlfn.IFS(Deals[[#This Row],[Age]]&lt;30,"Under 30",Deals[[#This Row],[Age]]&lt;45,"30-44",TRUE,"45+")</f>
        <v>30-44</v>
      </c>
      <c r="Q1286" s="21" t="str">
        <f>IF(Deals[[#This Row],[Status]]="Pending","",Deals[[#This Row],[DecisionDate]]-Deals[[#This Row],[ApplicationDate]])</f>
        <v/>
      </c>
      <c r="R1286" s="21">
        <f>IF(Deals[[#This Row],[Status]]="Approved",1,0)</f>
        <v>0</v>
      </c>
      <c r="S1286" s="21">
        <f>IF(Deals[[#This Row],[IsApproved]]=1,Deals[[#This Row],[Amount]],0)</f>
        <v>0</v>
      </c>
      <c r="T1286" s="21">
        <f>Deals[[#This Row],[ApprovedAmount]]*Deals[[#This Row],[ProfitRate]]</f>
        <v>0</v>
      </c>
    </row>
    <row r="1287" spans="1:20">
      <c r="A1287" s="2" t="s">
        <v>2101</v>
      </c>
      <c r="B1287" s="3">
        <v>46295</v>
      </c>
      <c r="C1287" s="2" t="s">
        <v>1982</v>
      </c>
      <c r="D1287" s="2" t="s">
        <v>20</v>
      </c>
      <c r="E1287" s="2" t="s">
        <v>21</v>
      </c>
      <c r="F1287" s="2" t="s">
        <v>55</v>
      </c>
      <c r="G1287" s="4">
        <v>240800</v>
      </c>
      <c r="H1287" s="5">
        <v>3.15E-2</v>
      </c>
      <c r="I1287" s="2">
        <v>180</v>
      </c>
      <c r="J1287" s="2" t="s">
        <v>37</v>
      </c>
      <c r="K1287" s="2" t="s">
        <v>1916</v>
      </c>
      <c r="L1287" s="2"/>
      <c r="M1287" s="2" t="str">
        <f>_xlfn.XLOOKUP(Deals[[#This Row],[CustomerID]],Customers!A:A,Customers!F:F)</f>
        <v>Mass</v>
      </c>
      <c r="N1287" s="2" t="str">
        <f>_xlfn.XLOOKUP(Deals[[#This Row],[CustomerID]],Customers!A:A,Customers!E:E)</f>
        <v>Kuwaiti</v>
      </c>
      <c r="O1287" s="2">
        <f>2026-_xlfn.XLOOKUP(Deals[[#This Row],[CustomerID]],Customers!A:A,Customers!D:D)</f>
        <v>25</v>
      </c>
      <c r="P1287" s="2" t="str" cm="1">
        <f t="array" ref="P1287">_xlfn.IFS(Deals[[#This Row],[Age]]&lt;30,"Under 30",Deals[[#This Row],[Age]]&lt;45,"30-44",TRUE,"45+")</f>
        <v>Under 30</v>
      </c>
      <c r="Q1287" s="21" t="str">
        <f>IF(Deals[[#This Row],[Status]]="Pending","",Deals[[#This Row],[DecisionDate]]-Deals[[#This Row],[ApplicationDate]])</f>
        <v/>
      </c>
      <c r="R1287" s="21">
        <f>IF(Deals[[#This Row],[Status]]="Approved",1,0)</f>
        <v>0</v>
      </c>
      <c r="S1287" s="21">
        <f>IF(Deals[[#This Row],[IsApproved]]=1,Deals[[#This Row],[Amount]],0)</f>
        <v>0</v>
      </c>
      <c r="T1287" s="21">
        <f>Deals[[#This Row],[ApprovedAmount]]*Deals[[#This Row],[ProfitRate]]</f>
        <v>0</v>
      </c>
    </row>
    <row r="1288" spans="1:20">
      <c r="A1288" s="2" t="s">
        <v>2102</v>
      </c>
      <c r="B1288" s="3">
        <v>46295</v>
      </c>
      <c r="C1288" s="2" t="s">
        <v>513</v>
      </c>
      <c r="D1288" s="2" t="s">
        <v>20</v>
      </c>
      <c r="E1288" s="2" t="s">
        <v>30</v>
      </c>
      <c r="F1288" s="2" t="s">
        <v>3</v>
      </c>
      <c r="G1288" s="4">
        <v>10100</v>
      </c>
      <c r="H1288" s="5">
        <v>4.36E-2</v>
      </c>
      <c r="I1288" s="2">
        <v>36</v>
      </c>
      <c r="J1288" s="2" t="s">
        <v>22</v>
      </c>
      <c r="K1288" s="2" t="s">
        <v>1916</v>
      </c>
      <c r="L1288" s="2"/>
      <c r="M1288" s="2" t="str">
        <f>_xlfn.XLOOKUP(Deals[[#This Row],[CustomerID]],Customers!A:A,Customers!F:F)</f>
        <v>Mass</v>
      </c>
      <c r="N1288" s="2" t="str">
        <f>_xlfn.XLOOKUP(Deals[[#This Row],[CustomerID]],Customers!A:A,Customers!E:E)</f>
        <v>Kuwaiti</v>
      </c>
      <c r="O1288" s="2">
        <f>2026-_xlfn.XLOOKUP(Deals[[#This Row],[CustomerID]],Customers!A:A,Customers!D:D)</f>
        <v>71</v>
      </c>
      <c r="P1288" s="2" t="str" cm="1">
        <f t="array" ref="P1288">_xlfn.IFS(Deals[[#This Row],[Age]]&lt;30,"Under 30",Deals[[#This Row],[Age]]&lt;45,"30-44",TRUE,"45+")</f>
        <v>45+</v>
      </c>
      <c r="Q1288" s="21" t="str">
        <f>IF(Deals[[#This Row],[Status]]="Pending","",Deals[[#This Row],[DecisionDate]]-Deals[[#This Row],[ApplicationDate]])</f>
        <v/>
      </c>
      <c r="R1288" s="21">
        <f>IF(Deals[[#This Row],[Status]]="Approved",1,0)</f>
        <v>0</v>
      </c>
      <c r="S1288" s="21">
        <f>IF(Deals[[#This Row],[IsApproved]]=1,Deals[[#This Row],[Amount]],0)</f>
        <v>0</v>
      </c>
      <c r="T1288" s="21">
        <f>Deals[[#This Row],[ApprovedAmount]]*Deals[[#This Row],[ProfitRate]]</f>
        <v>0</v>
      </c>
    </row>
    <row r="1289" spans="1:20">
      <c r="A1289" s="2" t="s">
        <v>2103</v>
      </c>
      <c r="B1289" s="3">
        <v>46295</v>
      </c>
      <c r="C1289" s="2" t="s">
        <v>523</v>
      </c>
      <c r="D1289" s="2" t="s">
        <v>14</v>
      </c>
      <c r="E1289" s="2" t="s">
        <v>43</v>
      </c>
      <c r="F1289" s="2" t="s">
        <v>3</v>
      </c>
      <c r="G1289" s="4">
        <v>67900</v>
      </c>
      <c r="H1289" s="5">
        <v>7.6999999999999999E-2</v>
      </c>
      <c r="I1289" s="2">
        <v>84</v>
      </c>
      <c r="J1289" s="2" t="s">
        <v>40</v>
      </c>
      <c r="K1289" s="2" t="s">
        <v>1916</v>
      </c>
      <c r="L1289" s="2"/>
      <c r="M1289" s="2" t="str">
        <f>_xlfn.XLOOKUP(Deals[[#This Row],[CustomerID]],Customers!A:A,Customers!F:F)</f>
        <v>Mass</v>
      </c>
      <c r="N1289" s="2" t="str">
        <f>_xlfn.XLOOKUP(Deals[[#This Row],[CustomerID]],Customers!A:A,Customers!E:E)</f>
        <v>Non-Kuwaiti</v>
      </c>
      <c r="O1289" s="2">
        <f>2026-_xlfn.XLOOKUP(Deals[[#This Row],[CustomerID]],Customers!A:A,Customers!D:D)</f>
        <v>41</v>
      </c>
      <c r="P1289" s="2" t="str" cm="1">
        <f t="array" ref="P1289">_xlfn.IFS(Deals[[#This Row],[Age]]&lt;30,"Under 30",Deals[[#This Row],[Age]]&lt;45,"30-44",TRUE,"45+")</f>
        <v>30-44</v>
      </c>
      <c r="Q1289" s="21" t="str">
        <f>IF(Deals[[#This Row],[Status]]="Pending","",Deals[[#This Row],[DecisionDate]]-Deals[[#This Row],[ApplicationDate]])</f>
        <v/>
      </c>
      <c r="R1289" s="21">
        <f>IF(Deals[[#This Row],[Status]]="Approved",1,0)</f>
        <v>0</v>
      </c>
      <c r="S1289" s="21">
        <f>IF(Deals[[#This Row],[IsApproved]]=1,Deals[[#This Row],[Amount]],0)</f>
        <v>0</v>
      </c>
      <c r="T1289" s="21">
        <f>Deals[[#This Row],[ApprovedAmount]]*Deals[[#This Row],[ProfitRate]]</f>
        <v>0</v>
      </c>
    </row>
    <row r="1290" spans="1:20">
      <c r="A1290" s="2" t="s">
        <v>2104</v>
      </c>
      <c r="B1290" s="3">
        <v>46295</v>
      </c>
      <c r="C1290" s="2" t="s">
        <v>1163</v>
      </c>
      <c r="D1290" s="2" t="s">
        <v>14</v>
      </c>
      <c r="E1290" s="2" t="s">
        <v>15</v>
      </c>
      <c r="F1290" s="2" t="s">
        <v>31</v>
      </c>
      <c r="G1290" s="4">
        <v>18800</v>
      </c>
      <c r="H1290" s="5">
        <v>6.5799999999999997E-2</v>
      </c>
      <c r="I1290" s="2">
        <v>24</v>
      </c>
      <c r="J1290" s="2" t="s">
        <v>40</v>
      </c>
      <c r="K1290" s="2" t="s">
        <v>17</v>
      </c>
      <c r="L1290" s="3">
        <v>46301</v>
      </c>
      <c r="M1290" s="2" t="str">
        <f>_xlfn.XLOOKUP(Deals[[#This Row],[CustomerID]],Customers!A:A,Customers!F:F)</f>
        <v>Mass</v>
      </c>
      <c r="N1290" s="2" t="str">
        <f>_xlfn.XLOOKUP(Deals[[#This Row],[CustomerID]],Customers!A:A,Customers!E:E)</f>
        <v>Kuwaiti</v>
      </c>
      <c r="O1290" s="2">
        <f>2026-_xlfn.XLOOKUP(Deals[[#This Row],[CustomerID]],Customers!A:A,Customers!D:D)</f>
        <v>64</v>
      </c>
      <c r="P1290" s="2" t="str" cm="1">
        <f t="array" ref="P1290">_xlfn.IFS(Deals[[#This Row],[Age]]&lt;30,"Under 30",Deals[[#This Row],[Age]]&lt;45,"30-44",TRUE,"45+")</f>
        <v>45+</v>
      </c>
      <c r="Q1290" s="21">
        <f>IF(Deals[[#This Row],[Status]]="Pending","",Deals[[#This Row],[DecisionDate]]-Deals[[#This Row],[ApplicationDate]])</f>
        <v>6</v>
      </c>
      <c r="R1290" s="21">
        <f>IF(Deals[[#This Row],[Status]]="Approved",1,0)</f>
        <v>1</v>
      </c>
      <c r="S1290" s="21">
        <f>IF(Deals[[#This Row],[IsApproved]]=1,Deals[[#This Row],[Amount]],0)</f>
        <v>18800</v>
      </c>
      <c r="T1290" s="21">
        <f>Deals[[#This Row],[ApprovedAmount]]*Deals[[#This Row],[ProfitRate]]</f>
        <v>1237.04</v>
      </c>
    </row>
    <row r="1291" spans="1:20">
      <c r="A1291" s="2" t="s">
        <v>2105</v>
      </c>
      <c r="B1291" s="3">
        <v>46295</v>
      </c>
      <c r="C1291" s="2" t="s">
        <v>717</v>
      </c>
      <c r="D1291" s="2" t="s">
        <v>29</v>
      </c>
      <c r="E1291" s="2" t="s">
        <v>43</v>
      </c>
      <c r="F1291" s="2" t="s">
        <v>31</v>
      </c>
      <c r="G1291" s="4">
        <v>71800</v>
      </c>
      <c r="H1291" s="5">
        <v>7.3599999999999999E-2</v>
      </c>
      <c r="I1291" s="2">
        <v>36</v>
      </c>
      <c r="J1291" s="2" t="s">
        <v>32</v>
      </c>
      <c r="K1291" s="2" t="s">
        <v>1916</v>
      </c>
      <c r="L1291" s="2"/>
      <c r="M1291" s="2" t="str">
        <f>_xlfn.XLOOKUP(Deals[[#This Row],[CustomerID]],Customers!A:A,Customers!F:F)</f>
        <v>Mass</v>
      </c>
      <c r="N1291" s="2" t="str">
        <f>_xlfn.XLOOKUP(Deals[[#This Row],[CustomerID]],Customers!A:A,Customers!E:E)</f>
        <v>Kuwaiti</v>
      </c>
      <c r="O1291" s="2">
        <f>2026-_xlfn.XLOOKUP(Deals[[#This Row],[CustomerID]],Customers!A:A,Customers!D:D)</f>
        <v>67</v>
      </c>
      <c r="P1291" s="2" t="str" cm="1">
        <f t="array" ref="P1291">_xlfn.IFS(Deals[[#This Row],[Age]]&lt;30,"Under 30",Deals[[#This Row],[Age]]&lt;45,"30-44",TRUE,"45+")</f>
        <v>45+</v>
      </c>
      <c r="Q1291" s="21" t="str">
        <f>IF(Deals[[#This Row],[Status]]="Pending","",Deals[[#This Row],[DecisionDate]]-Deals[[#This Row],[ApplicationDate]])</f>
        <v/>
      </c>
      <c r="R1291" s="21">
        <f>IF(Deals[[#This Row],[Status]]="Approved",1,0)</f>
        <v>0</v>
      </c>
      <c r="S1291" s="21">
        <f>IF(Deals[[#This Row],[IsApproved]]=1,Deals[[#This Row],[Amount]],0)</f>
        <v>0</v>
      </c>
      <c r="T1291" s="21">
        <f>Deals[[#This Row],[ApprovedAmount]]*Deals[[#This Row],[ProfitRate]]</f>
        <v>0</v>
      </c>
    </row>
    <row r="1292" spans="1:20">
      <c r="A1292" s="2" t="s">
        <v>2106</v>
      </c>
      <c r="B1292" s="3">
        <v>46295</v>
      </c>
      <c r="C1292" s="2" t="s">
        <v>1246</v>
      </c>
      <c r="D1292" s="2" t="s">
        <v>14</v>
      </c>
      <c r="E1292" s="2" t="s">
        <v>43</v>
      </c>
      <c r="F1292" s="2" t="s">
        <v>31</v>
      </c>
      <c r="G1292" s="4">
        <v>116000</v>
      </c>
      <c r="H1292" s="5">
        <v>7.1800000000000003E-2</v>
      </c>
      <c r="I1292" s="2">
        <v>60</v>
      </c>
      <c r="J1292" s="2" t="s">
        <v>40</v>
      </c>
      <c r="K1292" s="2" t="s">
        <v>1916</v>
      </c>
      <c r="L1292" s="2"/>
      <c r="M1292" s="2" t="str">
        <f>_xlfn.XLOOKUP(Deals[[#This Row],[CustomerID]],Customers!A:A,Customers!F:F)</f>
        <v>Mass</v>
      </c>
      <c r="N1292" s="2" t="str">
        <f>_xlfn.XLOOKUP(Deals[[#This Row],[CustomerID]],Customers!A:A,Customers!E:E)</f>
        <v>Non-Kuwaiti</v>
      </c>
      <c r="O1292" s="2">
        <f>2026-_xlfn.XLOOKUP(Deals[[#This Row],[CustomerID]],Customers!A:A,Customers!D:D)</f>
        <v>28</v>
      </c>
      <c r="P1292" s="2" t="str" cm="1">
        <f t="array" ref="P1292">_xlfn.IFS(Deals[[#This Row],[Age]]&lt;30,"Under 30",Deals[[#This Row],[Age]]&lt;45,"30-44",TRUE,"45+")</f>
        <v>Under 30</v>
      </c>
      <c r="Q1292" s="21" t="str">
        <f>IF(Deals[[#This Row],[Status]]="Pending","",Deals[[#This Row],[DecisionDate]]-Deals[[#This Row],[ApplicationDate]])</f>
        <v/>
      </c>
      <c r="R1292" s="21">
        <f>IF(Deals[[#This Row],[Status]]="Approved",1,0)</f>
        <v>0</v>
      </c>
      <c r="S1292" s="21">
        <f>IF(Deals[[#This Row],[IsApproved]]=1,Deals[[#This Row],[Amount]],0)</f>
        <v>0</v>
      </c>
      <c r="T1292" s="21">
        <f>Deals[[#This Row],[ApprovedAmount]]*Deals[[#This Row],[ProfitRate]]</f>
        <v>0</v>
      </c>
    </row>
    <row r="1293" spans="1:20">
      <c r="A1293" s="2" t="s">
        <v>2109</v>
      </c>
      <c r="B1293" s="3">
        <v>46295</v>
      </c>
      <c r="C1293" s="2" t="s">
        <v>350</v>
      </c>
      <c r="D1293" s="2" t="s">
        <v>25</v>
      </c>
      <c r="E1293" s="2" t="s">
        <v>15</v>
      </c>
      <c r="F1293" s="2" t="s">
        <v>3</v>
      </c>
      <c r="G1293" s="4">
        <v>21500</v>
      </c>
      <c r="H1293" s="5">
        <v>5.8799999999999998E-2</v>
      </c>
      <c r="I1293" s="2">
        <v>36</v>
      </c>
      <c r="J1293" s="2" t="s">
        <v>181</v>
      </c>
      <c r="K1293" s="2" t="s">
        <v>1916</v>
      </c>
      <c r="L1293" s="2"/>
      <c r="M1293" s="2" t="str">
        <f>_xlfn.XLOOKUP(Deals[[#This Row],[CustomerID]],Customers!A:A,Customers!F:F)</f>
        <v>Premium</v>
      </c>
      <c r="N1293" s="2" t="str">
        <f>_xlfn.XLOOKUP(Deals[[#This Row],[CustomerID]],Customers!A:A,Customers!E:E)</f>
        <v>Non-Kuwaiti</v>
      </c>
      <c r="O1293" s="2">
        <f>2026-_xlfn.XLOOKUP(Deals[[#This Row],[CustomerID]],Customers!A:A,Customers!D:D)</f>
        <v>32</v>
      </c>
      <c r="P1293" s="2" t="str" cm="1">
        <f t="array" ref="P1293">_xlfn.IFS(Deals[[#This Row],[Age]]&lt;30,"Under 30",Deals[[#This Row],[Age]]&lt;45,"30-44",TRUE,"45+")</f>
        <v>30-44</v>
      </c>
      <c r="Q1293" s="21" t="str">
        <f>IF(Deals[[#This Row],[Status]]="Pending","",Deals[[#This Row],[DecisionDate]]-Deals[[#This Row],[ApplicationDate]])</f>
        <v/>
      </c>
      <c r="R1293" s="21">
        <f>IF(Deals[[#This Row],[Status]]="Approved",1,0)</f>
        <v>0</v>
      </c>
      <c r="S1293" s="21">
        <f>IF(Deals[[#This Row],[IsApproved]]=1,Deals[[#This Row],[Amount]],0)</f>
        <v>0</v>
      </c>
      <c r="T1293" s="21">
        <f>Deals[[#This Row],[ApprovedAmount]]*Deals[[#This Row],[ProfitRate]]</f>
        <v>0</v>
      </c>
    </row>
    <row r="1294" spans="1:20">
      <c r="A1294" s="2" t="s">
        <v>2110</v>
      </c>
      <c r="B1294" s="3">
        <v>46295</v>
      </c>
      <c r="C1294" s="2" t="s">
        <v>1675</v>
      </c>
      <c r="D1294" s="2" t="s">
        <v>25</v>
      </c>
      <c r="E1294" s="2" t="s">
        <v>21</v>
      </c>
      <c r="F1294" s="2" t="s">
        <v>3</v>
      </c>
      <c r="G1294" s="4">
        <v>123200</v>
      </c>
      <c r="H1294" s="5">
        <v>3.6799999999999999E-2</v>
      </c>
      <c r="I1294" s="2">
        <v>240</v>
      </c>
      <c r="J1294" s="2" t="s">
        <v>66</v>
      </c>
      <c r="K1294" s="2" t="s">
        <v>1916</v>
      </c>
      <c r="L1294" s="2"/>
      <c r="M1294" s="2" t="str">
        <f>_xlfn.XLOOKUP(Deals[[#This Row],[CustomerID]],Customers!A:A,Customers!F:F)</f>
        <v>Mass</v>
      </c>
      <c r="N1294" s="2" t="str">
        <f>_xlfn.XLOOKUP(Deals[[#This Row],[CustomerID]],Customers!A:A,Customers!E:E)</f>
        <v>Kuwaiti</v>
      </c>
      <c r="O1294" s="2">
        <f>2026-_xlfn.XLOOKUP(Deals[[#This Row],[CustomerID]],Customers!A:A,Customers!D:D)</f>
        <v>46</v>
      </c>
      <c r="P1294" s="2" t="str" cm="1">
        <f t="array" ref="P1294">_xlfn.IFS(Deals[[#This Row],[Age]]&lt;30,"Under 30",Deals[[#This Row],[Age]]&lt;45,"30-44",TRUE,"45+")</f>
        <v>45+</v>
      </c>
      <c r="Q1294" s="21" t="str">
        <f>IF(Deals[[#This Row],[Status]]="Pending","",Deals[[#This Row],[DecisionDate]]-Deals[[#This Row],[ApplicationDate]])</f>
        <v/>
      </c>
      <c r="R1294" s="21">
        <f>IF(Deals[[#This Row],[Status]]="Approved",1,0)</f>
        <v>0</v>
      </c>
      <c r="S1294" s="21">
        <f>IF(Deals[[#This Row],[IsApproved]]=1,Deals[[#This Row],[Amount]],0)</f>
        <v>0</v>
      </c>
      <c r="T1294" s="21">
        <f>Deals[[#This Row],[ApprovedAmount]]*Deals[[#This Row],[ProfitRate]]</f>
        <v>0</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951"/>
  <sheetViews>
    <sheetView workbookViewId="0">
      <pane ySplit="1" topLeftCell="A21" activePane="bottomLeft" state="frozen"/>
      <selection pane="bottomLeft" activeCell="I30" sqref="I30"/>
    </sheetView>
  </sheetViews>
  <sheetFormatPr defaultRowHeight="14.5"/>
  <cols>
    <col min="1" max="1" width="11" customWidth="1"/>
    <col min="2" max="2" width="22" customWidth="1"/>
    <col min="3" max="3" width="9" customWidth="1"/>
    <col min="4" max="4" width="10" customWidth="1"/>
    <col min="5" max="5" width="13" customWidth="1"/>
    <col min="6" max="6" width="10" customWidth="1"/>
    <col min="7" max="7" width="12" customWidth="1"/>
  </cols>
  <sheetData>
    <row r="1" spans="1:7">
      <c r="A1" s="1" t="s">
        <v>2</v>
      </c>
      <c r="B1" s="1" t="s">
        <v>2111</v>
      </c>
      <c r="C1" s="1" t="s">
        <v>2112</v>
      </c>
      <c r="D1" s="1" t="s">
        <v>2113</v>
      </c>
      <c r="E1" s="1" t="s">
        <v>2114</v>
      </c>
      <c r="F1" s="1" t="s">
        <v>2115</v>
      </c>
      <c r="G1" s="1" t="s">
        <v>2116</v>
      </c>
    </row>
    <row r="2" spans="1:7">
      <c r="A2" s="2" t="s">
        <v>2117</v>
      </c>
      <c r="B2" s="2" t="s">
        <v>2118</v>
      </c>
      <c r="C2" s="2" t="s">
        <v>2119</v>
      </c>
      <c r="D2" s="2">
        <v>1983</v>
      </c>
      <c r="E2" s="2" t="s">
        <v>2120</v>
      </c>
      <c r="F2" s="2" t="s">
        <v>2121</v>
      </c>
      <c r="G2" s="3">
        <v>40950</v>
      </c>
    </row>
    <row r="3" spans="1:7">
      <c r="A3" s="2" t="s">
        <v>2013</v>
      </c>
      <c r="B3" s="2" t="s">
        <v>2122</v>
      </c>
      <c r="C3" s="2" t="s">
        <v>2123</v>
      </c>
      <c r="D3" s="2">
        <v>1975</v>
      </c>
      <c r="E3" s="2" t="s">
        <v>2120</v>
      </c>
      <c r="F3" s="2" t="s">
        <v>2124</v>
      </c>
      <c r="G3" s="3">
        <v>42150</v>
      </c>
    </row>
    <row r="4" spans="1:7">
      <c r="A4" s="2" t="s">
        <v>213</v>
      </c>
      <c r="B4" s="2" t="s">
        <v>2125</v>
      </c>
      <c r="C4" s="2" t="s">
        <v>2119</v>
      </c>
      <c r="D4" s="2">
        <v>1998</v>
      </c>
      <c r="E4" s="2" t="s">
        <v>2120</v>
      </c>
      <c r="F4" s="2" t="s">
        <v>2124</v>
      </c>
      <c r="G4" s="3">
        <v>45318</v>
      </c>
    </row>
    <row r="5" spans="1:7">
      <c r="A5" s="2" t="s">
        <v>1484</v>
      </c>
      <c r="B5" s="2" t="s">
        <v>2126</v>
      </c>
      <c r="C5" s="2" t="s">
        <v>2123</v>
      </c>
      <c r="D5" s="2">
        <v>1990</v>
      </c>
      <c r="E5" s="2" t="s">
        <v>2120</v>
      </c>
      <c r="F5" s="2" t="s">
        <v>2124</v>
      </c>
      <c r="G5" s="3">
        <v>44739</v>
      </c>
    </row>
    <row r="6" spans="1:7">
      <c r="A6" s="2" t="s">
        <v>603</v>
      </c>
      <c r="B6" s="2" t="s">
        <v>2127</v>
      </c>
      <c r="C6" s="2" t="s">
        <v>2123</v>
      </c>
      <c r="D6" s="2">
        <v>1984</v>
      </c>
      <c r="E6" s="2" t="s">
        <v>2120</v>
      </c>
      <c r="F6" s="2" t="s">
        <v>2124</v>
      </c>
      <c r="G6" s="3">
        <v>44768</v>
      </c>
    </row>
    <row r="7" spans="1:7">
      <c r="A7" s="2" t="s">
        <v>487</v>
      </c>
      <c r="B7" s="2" t="s">
        <v>2128</v>
      </c>
      <c r="C7" s="2" t="s">
        <v>2123</v>
      </c>
      <c r="D7" s="2">
        <v>1990</v>
      </c>
      <c r="E7" s="2" t="s">
        <v>2120</v>
      </c>
      <c r="F7" s="2" t="s">
        <v>2124</v>
      </c>
      <c r="G7" s="3">
        <v>44666</v>
      </c>
    </row>
    <row r="8" spans="1:7">
      <c r="A8" s="2" t="s">
        <v>159</v>
      </c>
      <c r="B8" s="2" t="s">
        <v>2129</v>
      </c>
      <c r="C8" s="2" t="s">
        <v>2123</v>
      </c>
      <c r="D8" s="2">
        <v>1963</v>
      </c>
      <c r="E8" s="2" t="s">
        <v>2120</v>
      </c>
      <c r="F8" s="2" t="s">
        <v>2121</v>
      </c>
      <c r="G8" s="3">
        <v>43681</v>
      </c>
    </row>
    <row r="9" spans="1:7">
      <c r="A9" s="2" t="s">
        <v>491</v>
      </c>
      <c r="B9" s="2" t="s">
        <v>2130</v>
      </c>
      <c r="C9" s="2" t="s">
        <v>2119</v>
      </c>
      <c r="D9" s="2">
        <v>1990</v>
      </c>
      <c r="E9" s="2" t="s">
        <v>2120</v>
      </c>
      <c r="F9" s="2" t="s">
        <v>2124</v>
      </c>
      <c r="G9" s="3">
        <v>41651</v>
      </c>
    </row>
    <row r="10" spans="1:7">
      <c r="A10" s="2" t="s">
        <v>720</v>
      </c>
      <c r="B10" s="2" t="s">
        <v>2131</v>
      </c>
      <c r="C10" s="2" t="s">
        <v>2123</v>
      </c>
      <c r="D10" s="2">
        <v>1990</v>
      </c>
      <c r="E10" s="2" t="s">
        <v>2120</v>
      </c>
      <c r="F10" s="2" t="s">
        <v>2121</v>
      </c>
      <c r="G10" s="3">
        <v>43855</v>
      </c>
    </row>
    <row r="11" spans="1:7">
      <c r="A11" s="2" t="s">
        <v>2132</v>
      </c>
      <c r="B11" s="2" t="s">
        <v>2133</v>
      </c>
      <c r="C11" s="2" t="s">
        <v>2123</v>
      </c>
      <c r="D11" s="2">
        <v>1987</v>
      </c>
      <c r="E11" s="2" t="s">
        <v>2120</v>
      </c>
      <c r="F11" s="2" t="s">
        <v>2124</v>
      </c>
      <c r="G11" s="3">
        <v>44184</v>
      </c>
    </row>
    <row r="12" spans="1:7">
      <c r="A12" s="2" t="s">
        <v>1263</v>
      </c>
      <c r="B12" s="2" t="s">
        <v>2134</v>
      </c>
      <c r="C12" s="2" t="s">
        <v>2123</v>
      </c>
      <c r="D12" s="2">
        <v>1965</v>
      </c>
      <c r="E12" s="2" t="s">
        <v>2120</v>
      </c>
      <c r="F12" s="2" t="s">
        <v>2121</v>
      </c>
      <c r="G12" s="3">
        <v>42749</v>
      </c>
    </row>
    <row r="13" spans="1:7">
      <c r="A13" s="2" t="s">
        <v>767</v>
      </c>
      <c r="B13" s="2" t="s">
        <v>2135</v>
      </c>
      <c r="C13" s="2" t="s">
        <v>2119</v>
      </c>
      <c r="D13" s="2">
        <v>1987</v>
      </c>
      <c r="E13" s="2" t="s">
        <v>2136</v>
      </c>
      <c r="F13" s="2" t="s">
        <v>2124</v>
      </c>
      <c r="G13" s="3">
        <v>40945</v>
      </c>
    </row>
    <row r="14" spans="1:7">
      <c r="A14" s="2" t="s">
        <v>554</v>
      </c>
      <c r="B14" s="2" t="s">
        <v>2137</v>
      </c>
      <c r="C14" s="2" t="s">
        <v>2119</v>
      </c>
      <c r="D14" s="2">
        <v>1993</v>
      </c>
      <c r="E14" s="2" t="s">
        <v>2120</v>
      </c>
      <c r="F14" s="2" t="s">
        <v>2121</v>
      </c>
      <c r="G14" s="3">
        <v>45480</v>
      </c>
    </row>
    <row r="15" spans="1:7">
      <c r="A15" s="2" t="s">
        <v>1419</v>
      </c>
      <c r="B15" s="2" t="s">
        <v>2138</v>
      </c>
      <c r="C15" s="2" t="s">
        <v>2119</v>
      </c>
      <c r="D15" s="2">
        <v>1995</v>
      </c>
      <c r="E15" s="2" t="s">
        <v>2136</v>
      </c>
      <c r="F15" s="2" t="s">
        <v>2124</v>
      </c>
      <c r="G15" s="3">
        <v>43961</v>
      </c>
    </row>
    <row r="16" spans="1:7">
      <c r="A16" s="2" t="s">
        <v>295</v>
      </c>
      <c r="B16" s="2" t="s">
        <v>2139</v>
      </c>
      <c r="C16" s="2" t="s">
        <v>2123</v>
      </c>
      <c r="D16" s="2">
        <v>1970</v>
      </c>
      <c r="E16" s="2" t="s">
        <v>2120</v>
      </c>
      <c r="F16" s="2" t="s">
        <v>2121</v>
      </c>
      <c r="G16" s="3">
        <v>41238</v>
      </c>
    </row>
    <row r="17" spans="1:7">
      <c r="A17" s="2" t="s">
        <v>1060</v>
      </c>
      <c r="B17" s="2" t="s">
        <v>2140</v>
      </c>
      <c r="C17" s="2" t="s">
        <v>2123</v>
      </c>
      <c r="D17" s="2">
        <v>1983</v>
      </c>
      <c r="E17" s="2" t="s">
        <v>2136</v>
      </c>
      <c r="F17" s="2" t="s">
        <v>2124</v>
      </c>
      <c r="G17" s="3">
        <v>43858</v>
      </c>
    </row>
    <row r="18" spans="1:7">
      <c r="A18" s="2" t="s">
        <v>2141</v>
      </c>
      <c r="B18" s="2" t="s">
        <v>2118</v>
      </c>
      <c r="C18" s="2" t="s">
        <v>2119</v>
      </c>
      <c r="D18" s="2">
        <v>1998</v>
      </c>
      <c r="E18" s="2" t="s">
        <v>2136</v>
      </c>
      <c r="F18" s="2" t="s">
        <v>2124</v>
      </c>
      <c r="G18" s="3">
        <v>43581</v>
      </c>
    </row>
    <row r="19" spans="1:7">
      <c r="A19" s="2" t="s">
        <v>1323</v>
      </c>
      <c r="B19" s="2" t="s">
        <v>2142</v>
      </c>
      <c r="C19" s="2" t="s">
        <v>2119</v>
      </c>
      <c r="D19" s="2">
        <v>1972</v>
      </c>
      <c r="E19" s="2" t="s">
        <v>2120</v>
      </c>
      <c r="F19" s="2" t="s">
        <v>2124</v>
      </c>
      <c r="G19" s="3">
        <v>42090</v>
      </c>
    </row>
    <row r="20" spans="1:7">
      <c r="A20" s="2" t="s">
        <v>1238</v>
      </c>
      <c r="B20" s="2" t="s">
        <v>2143</v>
      </c>
      <c r="C20" s="2" t="s">
        <v>2119</v>
      </c>
      <c r="D20" s="2">
        <v>1973</v>
      </c>
      <c r="E20" s="2" t="s">
        <v>2120</v>
      </c>
      <c r="F20" s="2" t="s">
        <v>2124</v>
      </c>
      <c r="G20" s="3">
        <v>44558</v>
      </c>
    </row>
    <row r="21" spans="1:7">
      <c r="A21" s="2" t="s">
        <v>2144</v>
      </c>
      <c r="B21" s="2" t="s">
        <v>2145</v>
      </c>
      <c r="C21" s="2" t="s">
        <v>2119</v>
      </c>
      <c r="D21" s="2">
        <v>1994</v>
      </c>
      <c r="E21" s="2" t="s">
        <v>2120</v>
      </c>
      <c r="F21" s="2" t="s">
        <v>2121</v>
      </c>
      <c r="G21" s="3">
        <v>45718</v>
      </c>
    </row>
    <row r="22" spans="1:7">
      <c r="A22" s="2" t="s">
        <v>2146</v>
      </c>
      <c r="B22" s="2" t="s">
        <v>2147</v>
      </c>
      <c r="C22" s="2" t="s">
        <v>2123</v>
      </c>
      <c r="D22" s="2">
        <v>2001</v>
      </c>
      <c r="E22" s="2" t="s">
        <v>2136</v>
      </c>
      <c r="F22" s="2" t="s">
        <v>2121</v>
      </c>
      <c r="G22" s="3">
        <v>44760</v>
      </c>
    </row>
    <row r="23" spans="1:7">
      <c r="A23" s="2" t="s">
        <v>86</v>
      </c>
      <c r="B23" s="2" t="s">
        <v>2148</v>
      </c>
      <c r="C23" s="2" t="s">
        <v>2119</v>
      </c>
      <c r="D23" s="2">
        <v>1983</v>
      </c>
      <c r="E23" s="2" t="s">
        <v>2120</v>
      </c>
      <c r="F23" s="2" t="s">
        <v>2124</v>
      </c>
      <c r="G23" s="3">
        <v>41740</v>
      </c>
    </row>
    <row r="24" spans="1:7">
      <c r="A24" s="2" t="s">
        <v>1923</v>
      </c>
      <c r="B24" s="2" t="s">
        <v>2149</v>
      </c>
      <c r="C24" s="2" t="s">
        <v>2123</v>
      </c>
      <c r="D24" s="2">
        <v>1972</v>
      </c>
      <c r="E24" s="2" t="s">
        <v>2120</v>
      </c>
      <c r="F24" s="2" t="s">
        <v>2124</v>
      </c>
      <c r="G24" s="3">
        <v>40180</v>
      </c>
    </row>
    <row r="25" spans="1:7">
      <c r="A25" s="2" t="s">
        <v>742</v>
      </c>
      <c r="B25" s="2" t="s">
        <v>2150</v>
      </c>
      <c r="C25" s="2" t="s">
        <v>2123</v>
      </c>
      <c r="D25" s="2">
        <v>1969</v>
      </c>
      <c r="E25" s="2" t="s">
        <v>2120</v>
      </c>
      <c r="F25" s="2" t="s">
        <v>2124</v>
      </c>
      <c r="G25" s="3">
        <v>41882</v>
      </c>
    </row>
    <row r="26" spans="1:7">
      <c r="A26" s="2" t="s">
        <v>1261</v>
      </c>
      <c r="B26" s="2" t="s">
        <v>2151</v>
      </c>
      <c r="C26" s="2" t="s">
        <v>2119</v>
      </c>
      <c r="D26" s="2">
        <v>1992</v>
      </c>
      <c r="E26" s="2" t="s">
        <v>2136</v>
      </c>
      <c r="F26" s="2" t="s">
        <v>2121</v>
      </c>
      <c r="G26" s="3">
        <v>44063</v>
      </c>
    </row>
    <row r="27" spans="1:7">
      <c r="A27" s="2" t="s">
        <v>1940</v>
      </c>
      <c r="B27" s="2" t="s">
        <v>2152</v>
      </c>
      <c r="C27" s="2" t="s">
        <v>2123</v>
      </c>
      <c r="D27" s="2">
        <v>1987</v>
      </c>
      <c r="E27" s="2" t="s">
        <v>2136</v>
      </c>
      <c r="F27" s="2" t="s">
        <v>2124</v>
      </c>
      <c r="G27" s="3">
        <v>42733</v>
      </c>
    </row>
    <row r="28" spans="1:7">
      <c r="A28" s="2" t="s">
        <v>431</v>
      </c>
      <c r="B28" s="2" t="s">
        <v>2153</v>
      </c>
      <c r="C28" s="2" t="s">
        <v>2123</v>
      </c>
      <c r="D28" s="2">
        <v>1996</v>
      </c>
      <c r="E28" s="2" t="s">
        <v>2136</v>
      </c>
      <c r="F28" s="2" t="s">
        <v>2124</v>
      </c>
      <c r="G28" s="3">
        <v>45848</v>
      </c>
    </row>
    <row r="29" spans="1:7">
      <c r="A29" s="2" t="s">
        <v>2154</v>
      </c>
      <c r="B29" s="2" t="s">
        <v>2155</v>
      </c>
      <c r="C29" s="2" t="s">
        <v>2123</v>
      </c>
      <c r="D29" s="2">
        <v>2003</v>
      </c>
      <c r="E29" s="2" t="s">
        <v>2120</v>
      </c>
      <c r="F29" s="2" t="s">
        <v>2124</v>
      </c>
      <c r="G29" s="3">
        <v>44628</v>
      </c>
    </row>
    <row r="30" spans="1:7">
      <c r="A30" s="2" t="s">
        <v>1259</v>
      </c>
      <c r="B30" s="2" t="s">
        <v>2156</v>
      </c>
      <c r="C30" s="2" t="s">
        <v>2119</v>
      </c>
      <c r="D30" s="2">
        <v>2000</v>
      </c>
      <c r="E30" s="2" t="s">
        <v>2136</v>
      </c>
      <c r="F30" s="2" t="s">
        <v>2124</v>
      </c>
      <c r="G30" s="3">
        <v>43183</v>
      </c>
    </row>
    <row r="31" spans="1:7">
      <c r="A31" s="2" t="s">
        <v>1988</v>
      </c>
      <c r="B31" s="2" t="s">
        <v>2157</v>
      </c>
      <c r="C31" s="2" t="s">
        <v>2119</v>
      </c>
      <c r="D31" s="2">
        <v>1988</v>
      </c>
      <c r="E31" s="2" t="s">
        <v>2136</v>
      </c>
      <c r="F31" s="2" t="s">
        <v>2124</v>
      </c>
      <c r="G31" s="3">
        <v>42006</v>
      </c>
    </row>
    <row r="32" spans="1:7">
      <c r="A32" s="2" t="s">
        <v>601</v>
      </c>
      <c r="B32" s="2" t="s">
        <v>2158</v>
      </c>
      <c r="C32" s="2" t="s">
        <v>2123</v>
      </c>
      <c r="D32" s="2">
        <v>1976</v>
      </c>
      <c r="E32" s="2" t="s">
        <v>2120</v>
      </c>
      <c r="F32" s="2" t="s">
        <v>2121</v>
      </c>
      <c r="G32" s="3">
        <v>41816</v>
      </c>
    </row>
    <row r="33" spans="1:7">
      <c r="A33" s="2" t="s">
        <v>2159</v>
      </c>
      <c r="B33" s="2" t="s">
        <v>2160</v>
      </c>
      <c r="C33" s="2" t="s">
        <v>2119</v>
      </c>
      <c r="D33" s="2">
        <v>1995</v>
      </c>
      <c r="E33" s="2" t="s">
        <v>2136</v>
      </c>
      <c r="F33" s="2" t="s">
        <v>2121</v>
      </c>
      <c r="G33" s="3">
        <v>44047</v>
      </c>
    </row>
    <row r="34" spans="1:7">
      <c r="A34" s="2" t="s">
        <v>447</v>
      </c>
      <c r="B34" s="2" t="s">
        <v>2161</v>
      </c>
      <c r="C34" s="2" t="s">
        <v>2123</v>
      </c>
      <c r="D34" s="2">
        <v>1991</v>
      </c>
      <c r="E34" s="2" t="s">
        <v>2120</v>
      </c>
      <c r="F34" s="2" t="s">
        <v>2121</v>
      </c>
      <c r="G34" s="3">
        <v>43042</v>
      </c>
    </row>
    <row r="35" spans="1:7">
      <c r="A35" s="2" t="s">
        <v>2162</v>
      </c>
      <c r="B35" s="2" t="s">
        <v>2163</v>
      </c>
      <c r="C35" s="2" t="s">
        <v>2123</v>
      </c>
      <c r="D35" s="2">
        <v>1969</v>
      </c>
      <c r="E35" s="2" t="s">
        <v>2120</v>
      </c>
      <c r="F35" s="2" t="s">
        <v>2124</v>
      </c>
      <c r="G35" s="3">
        <v>44132</v>
      </c>
    </row>
    <row r="36" spans="1:7">
      <c r="A36" s="2" t="s">
        <v>24</v>
      </c>
      <c r="B36" s="2" t="s">
        <v>2164</v>
      </c>
      <c r="C36" s="2" t="s">
        <v>2123</v>
      </c>
      <c r="D36" s="2">
        <v>2001</v>
      </c>
      <c r="E36" s="2" t="s">
        <v>2120</v>
      </c>
      <c r="F36" s="2" t="s">
        <v>2121</v>
      </c>
      <c r="G36" s="3">
        <v>45590</v>
      </c>
    </row>
    <row r="37" spans="1:7">
      <c r="A37" s="2" t="s">
        <v>1761</v>
      </c>
      <c r="B37" s="2" t="s">
        <v>2165</v>
      </c>
      <c r="C37" s="2" t="s">
        <v>2119</v>
      </c>
      <c r="D37" s="2">
        <v>1996</v>
      </c>
      <c r="E37" s="2" t="s">
        <v>2120</v>
      </c>
      <c r="F37" s="2" t="s">
        <v>2124</v>
      </c>
      <c r="G37" s="3">
        <v>45387</v>
      </c>
    </row>
    <row r="38" spans="1:7">
      <c r="A38" s="2" t="s">
        <v>2166</v>
      </c>
      <c r="B38" s="2" t="s">
        <v>2167</v>
      </c>
      <c r="C38" s="2" t="s">
        <v>2123</v>
      </c>
      <c r="D38" s="2">
        <v>2003</v>
      </c>
      <c r="E38" s="2" t="s">
        <v>2136</v>
      </c>
      <c r="F38" s="2" t="s">
        <v>2124</v>
      </c>
      <c r="G38" s="3">
        <v>40874</v>
      </c>
    </row>
    <row r="39" spans="1:7">
      <c r="A39" s="2" t="s">
        <v>406</v>
      </c>
      <c r="B39" s="2" t="s">
        <v>2168</v>
      </c>
      <c r="C39" s="2" t="s">
        <v>2123</v>
      </c>
      <c r="D39" s="2">
        <v>2004</v>
      </c>
      <c r="E39" s="2" t="s">
        <v>2120</v>
      </c>
      <c r="F39" s="2" t="s">
        <v>2124</v>
      </c>
      <c r="G39" s="3">
        <v>43991</v>
      </c>
    </row>
    <row r="40" spans="1:7">
      <c r="A40" s="2" t="s">
        <v>753</v>
      </c>
      <c r="B40" s="2" t="s">
        <v>2169</v>
      </c>
      <c r="C40" s="2" t="s">
        <v>2123</v>
      </c>
      <c r="D40" s="2">
        <v>1998</v>
      </c>
      <c r="E40" s="2" t="s">
        <v>2136</v>
      </c>
      <c r="F40" s="2" t="s">
        <v>2121</v>
      </c>
      <c r="G40" s="3">
        <v>43049</v>
      </c>
    </row>
    <row r="41" spans="1:7">
      <c r="A41" s="2" t="s">
        <v>1100</v>
      </c>
      <c r="B41" s="2" t="s">
        <v>2170</v>
      </c>
      <c r="C41" s="2" t="s">
        <v>2123</v>
      </c>
      <c r="D41" s="2">
        <v>1956</v>
      </c>
      <c r="E41" s="2" t="s">
        <v>2136</v>
      </c>
      <c r="F41" s="2" t="s">
        <v>2121</v>
      </c>
      <c r="G41" s="3">
        <v>44492</v>
      </c>
    </row>
    <row r="42" spans="1:7">
      <c r="A42" s="2" t="s">
        <v>837</v>
      </c>
      <c r="B42" s="2" t="s">
        <v>2171</v>
      </c>
      <c r="C42" s="2" t="s">
        <v>2123</v>
      </c>
      <c r="D42" s="2">
        <v>2004</v>
      </c>
      <c r="E42" s="2" t="s">
        <v>2120</v>
      </c>
      <c r="F42" s="2" t="s">
        <v>2121</v>
      </c>
      <c r="G42" s="3">
        <v>40408</v>
      </c>
    </row>
    <row r="43" spans="1:7">
      <c r="A43" s="2" t="s">
        <v>2172</v>
      </c>
      <c r="B43" s="2" t="s">
        <v>2173</v>
      </c>
      <c r="C43" s="2" t="s">
        <v>2123</v>
      </c>
      <c r="D43" s="2">
        <v>1987</v>
      </c>
      <c r="E43" s="2" t="s">
        <v>2136</v>
      </c>
      <c r="F43" s="2" t="s">
        <v>2124</v>
      </c>
      <c r="G43" s="3">
        <v>44638</v>
      </c>
    </row>
    <row r="44" spans="1:7">
      <c r="A44" s="2" t="s">
        <v>1113</v>
      </c>
      <c r="B44" s="2" t="s">
        <v>2174</v>
      </c>
      <c r="C44" s="2" t="s">
        <v>2123</v>
      </c>
      <c r="D44" s="2">
        <v>2001</v>
      </c>
      <c r="E44" s="2" t="s">
        <v>2120</v>
      </c>
      <c r="F44" s="2" t="s">
        <v>2124</v>
      </c>
      <c r="G44" s="3">
        <v>44957</v>
      </c>
    </row>
    <row r="45" spans="1:7">
      <c r="A45" s="2" t="s">
        <v>2175</v>
      </c>
      <c r="B45" s="2" t="s">
        <v>2176</v>
      </c>
      <c r="C45" s="2" t="s">
        <v>2119</v>
      </c>
      <c r="D45" s="2">
        <v>1971</v>
      </c>
      <c r="E45" s="2" t="s">
        <v>2120</v>
      </c>
      <c r="F45" s="2" t="s">
        <v>2124</v>
      </c>
      <c r="G45" s="3">
        <v>43784</v>
      </c>
    </row>
    <row r="46" spans="1:7">
      <c r="A46" s="2" t="s">
        <v>481</v>
      </c>
      <c r="B46" s="2" t="s">
        <v>2177</v>
      </c>
      <c r="C46" s="2" t="s">
        <v>2123</v>
      </c>
      <c r="D46" s="2">
        <v>1955</v>
      </c>
      <c r="E46" s="2" t="s">
        <v>2136</v>
      </c>
      <c r="F46" s="2" t="s">
        <v>2124</v>
      </c>
      <c r="G46" s="3">
        <v>44057</v>
      </c>
    </row>
    <row r="47" spans="1:7">
      <c r="A47" s="2" t="s">
        <v>1921</v>
      </c>
      <c r="B47" s="2" t="s">
        <v>2178</v>
      </c>
      <c r="C47" s="2" t="s">
        <v>2123</v>
      </c>
      <c r="D47" s="2">
        <v>1963</v>
      </c>
      <c r="E47" s="2" t="s">
        <v>2136</v>
      </c>
      <c r="F47" s="2" t="s">
        <v>2124</v>
      </c>
      <c r="G47" s="3">
        <v>44131</v>
      </c>
    </row>
    <row r="48" spans="1:7">
      <c r="A48" s="2" t="s">
        <v>1765</v>
      </c>
      <c r="B48" s="2" t="s">
        <v>2179</v>
      </c>
      <c r="C48" s="2" t="s">
        <v>2123</v>
      </c>
      <c r="D48" s="2">
        <v>1962</v>
      </c>
      <c r="E48" s="2" t="s">
        <v>2120</v>
      </c>
      <c r="F48" s="2" t="s">
        <v>2124</v>
      </c>
      <c r="G48" s="3">
        <v>40979</v>
      </c>
    </row>
    <row r="49" spans="1:7">
      <c r="A49" s="2" t="s">
        <v>1715</v>
      </c>
      <c r="B49" s="2" t="s">
        <v>2180</v>
      </c>
      <c r="C49" s="2" t="s">
        <v>2119</v>
      </c>
      <c r="D49" s="2">
        <v>1958</v>
      </c>
      <c r="E49" s="2" t="s">
        <v>2136</v>
      </c>
      <c r="F49" s="2" t="s">
        <v>2124</v>
      </c>
      <c r="G49" s="3">
        <v>42846</v>
      </c>
    </row>
    <row r="50" spans="1:7">
      <c r="A50" s="2" t="s">
        <v>131</v>
      </c>
      <c r="B50" s="2" t="s">
        <v>2181</v>
      </c>
      <c r="C50" s="2" t="s">
        <v>2123</v>
      </c>
      <c r="D50" s="2">
        <v>1977</v>
      </c>
      <c r="E50" s="2" t="s">
        <v>2120</v>
      </c>
      <c r="F50" s="2" t="s">
        <v>2121</v>
      </c>
      <c r="G50" s="3">
        <v>44338</v>
      </c>
    </row>
    <row r="51" spans="1:7">
      <c r="A51" s="2" t="s">
        <v>242</v>
      </c>
      <c r="B51" s="2" t="s">
        <v>2182</v>
      </c>
      <c r="C51" s="2" t="s">
        <v>2119</v>
      </c>
      <c r="D51" s="2">
        <v>2001</v>
      </c>
      <c r="E51" s="2" t="s">
        <v>2120</v>
      </c>
      <c r="F51" s="2" t="s">
        <v>2124</v>
      </c>
      <c r="G51" s="3">
        <v>43592</v>
      </c>
    </row>
    <row r="52" spans="1:7">
      <c r="A52" s="2" t="s">
        <v>2183</v>
      </c>
      <c r="B52" s="2" t="s">
        <v>2184</v>
      </c>
      <c r="C52" s="2" t="s">
        <v>2119</v>
      </c>
      <c r="D52" s="2">
        <v>1979</v>
      </c>
      <c r="E52" s="2" t="s">
        <v>2120</v>
      </c>
      <c r="F52" s="2" t="s">
        <v>2124</v>
      </c>
      <c r="G52" s="3">
        <v>41921</v>
      </c>
    </row>
    <row r="53" spans="1:7">
      <c r="A53" s="2" t="s">
        <v>981</v>
      </c>
      <c r="B53" s="2" t="s">
        <v>2185</v>
      </c>
      <c r="C53" s="2" t="s">
        <v>2119</v>
      </c>
      <c r="D53" s="2">
        <v>2001</v>
      </c>
      <c r="E53" s="2" t="s">
        <v>2120</v>
      </c>
      <c r="F53" s="2" t="s">
        <v>2121</v>
      </c>
      <c r="G53" s="3">
        <v>45587</v>
      </c>
    </row>
    <row r="54" spans="1:7">
      <c r="A54" s="2" t="s">
        <v>971</v>
      </c>
      <c r="B54" s="2" t="s">
        <v>2173</v>
      </c>
      <c r="C54" s="2" t="s">
        <v>2123</v>
      </c>
      <c r="D54" s="2">
        <v>2000</v>
      </c>
      <c r="E54" s="2" t="s">
        <v>2136</v>
      </c>
      <c r="F54" s="2" t="s">
        <v>2124</v>
      </c>
      <c r="G54" s="3">
        <v>40950</v>
      </c>
    </row>
    <row r="55" spans="1:7">
      <c r="A55" s="2" t="s">
        <v>2186</v>
      </c>
      <c r="B55" s="2" t="s">
        <v>2187</v>
      </c>
      <c r="C55" s="2" t="s">
        <v>2119</v>
      </c>
      <c r="D55" s="2">
        <v>2004</v>
      </c>
      <c r="E55" s="2" t="s">
        <v>2136</v>
      </c>
      <c r="F55" s="2" t="s">
        <v>2124</v>
      </c>
      <c r="G55" s="3">
        <v>43714</v>
      </c>
    </row>
    <row r="56" spans="1:7">
      <c r="A56" s="2" t="s">
        <v>2188</v>
      </c>
      <c r="B56" s="2" t="s">
        <v>2189</v>
      </c>
      <c r="C56" s="2" t="s">
        <v>2119</v>
      </c>
      <c r="D56" s="2">
        <v>1984</v>
      </c>
      <c r="E56" s="2" t="s">
        <v>2120</v>
      </c>
      <c r="F56" s="2" t="s">
        <v>2124</v>
      </c>
      <c r="G56" s="3">
        <v>43176</v>
      </c>
    </row>
    <row r="57" spans="1:7">
      <c r="A57" s="2" t="s">
        <v>910</v>
      </c>
      <c r="B57" s="2" t="s">
        <v>2180</v>
      </c>
      <c r="C57" s="2" t="s">
        <v>2119</v>
      </c>
      <c r="D57" s="2">
        <v>1986</v>
      </c>
      <c r="E57" s="2" t="s">
        <v>2136</v>
      </c>
      <c r="F57" s="2" t="s">
        <v>2124</v>
      </c>
      <c r="G57" s="3">
        <v>44417</v>
      </c>
    </row>
    <row r="58" spans="1:7">
      <c r="A58" s="2" t="s">
        <v>1902</v>
      </c>
      <c r="B58" s="2" t="s">
        <v>2182</v>
      </c>
      <c r="C58" s="2" t="s">
        <v>2119</v>
      </c>
      <c r="D58" s="2">
        <v>2003</v>
      </c>
      <c r="E58" s="2" t="s">
        <v>2120</v>
      </c>
      <c r="F58" s="2" t="s">
        <v>2190</v>
      </c>
      <c r="G58" s="3">
        <v>42051</v>
      </c>
    </row>
    <row r="59" spans="1:7">
      <c r="A59" s="2" t="s">
        <v>1447</v>
      </c>
      <c r="B59" s="2" t="s">
        <v>2127</v>
      </c>
      <c r="C59" s="2" t="s">
        <v>2123</v>
      </c>
      <c r="D59" s="2">
        <v>1977</v>
      </c>
      <c r="E59" s="2" t="s">
        <v>2136</v>
      </c>
      <c r="F59" s="2" t="s">
        <v>2124</v>
      </c>
      <c r="G59" s="3">
        <v>41240</v>
      </c>
    </row>
    <row r="60" spans="1:7">
      <c r="A60" s="2" t="s">
        <v>2191</v>
      </c>
      <c r="B60" s="2" t="s">
        <v>2192</v>
      </c>
      <c r="C60" s="2" t="s">
        <v>2119</v>
      </c>
      <c r="D60" s="2">
        <v>1998</v>
      </c>
      <c r="E60" s="2" t="s">
        <v>2120</v>
      </c>
      <c r="F60" s="2" t="s">
        <v>2124</v>
      </c>
      <c r="G60" s="3">
        <v>44396</v>
      </c>
    </row>
    <row r="61" spans="1:7">
      <c r="A61" s="2" t="s">
        <v>174</v>
      </c>
      <c r="B61" s="2" t="s">
        <v>2193</v>
      </c>
      <c r="C61" s="2" t="s">
        <v>2119</v>
      </c>
      <c r="D61" s="2">
        <v>1980</v>
      </c>
      <c r="E61" s="2" t="s">
        <v>2120</v>
      </c>
      <c r="F61" s="2" t="s">
        <v>2121</v>
      </c>
      <c r="G61" s="3">
        <v>41680</v>
      </c>
    </row>
    <row r="62" spans="1:7">
      <c r="A62" s="2" t="s">
        <v>441</v>
      </c>
      <c r="B62" s="2" t="s">
        <v>2194</v>
      </c>
      <c r="C62" s="2" t="s">
        <v>2123</v>
      </c>
      <c r="D62" s="2">
        <v>2002</v>
      </c>
      <c r="E62" s="2" t="s">
        <v>2120</v>
      </c>
      <c r="F62" s="2" t="s">
        <v>2121</v>
      </c>
      <c r="G62" s="3">
        <v>40865</v>
      </c>
    </row>
    <row r="63" spans="1:7">
      <c r="A63" s="2" t="s">
        <v>673</v>
      </c>
      <c r="B63" s="2" t="s">
        <v>2133</v>
      </c>
      <c r="C63" s="2" t="s">
        <v>2123</v>
      </c>
      <c r="D63" s="2">
        <v>1977</v>
      </c>
      <c r="E63" s="2" t="s">
        <v>2120</v>
      </c>
      <c r="F63" s="2" t="s">
        <v>2124</v>
      </c>
      <c r="G63" s="3">
        <v>44709</v>
      </c>
    </row>
    <row r="64" spans="1:7">
      <c r="A64" s="2" t="s">
        <v>868</v>
      </c>
      <c r="B64" s="2" t="s">
        <v>2195</v>
      </c>
      <c r="C64" s="2" t="s">
        <v>2119</v>
      </c>
      <c r="D64" s="2">
        <v>1971</v>
      </c>
      <c r="E64" s="2" t="s">
        <v>2120</v>
      </c>
      <c r="F64" s="2" t="s">
        <v>2124</v>
      </c>
      <c r="G64" s="3">
        <v>41075</v>
      </c>
    </row>
    <row r="65" spans="1:7">
      <c r="A65" s="2" t="s">
        <v>2196</v>
      </c>
      <c r="B65" s="2" t="s">
        <v>2197</v>
      </c>
      <c r="C65" s="2" t="s">
        <v>2119</v>
      </c>
      <c r="D65" s="2">
        <v>1973</v>
      </c>
      <c r="E65" s="2" t="s">
        <v>2136</v>
      </c>
      <c r="F65" s="2" t="s">
        <v>2121</v>
      </c>
      <c r="G65" s="3">
        <v>44529</v>
      </c>
    </row>
    <row r="66" spans="1:7">
      <c r="A66" s="2" t="s">
        <v>1350</v>
      </c>
      <c r="B66" s="2" t="s">
        <v>2198</v>
      </c>
      <c r="C66" s="2" t="s">
        <v>2123</v>
      </c>
      <c r="D66" s="2">
        <v>1985</v>
      </c>
      <c r="E66" s="2" t="s">
        <v>2120</v>
      </c>
      <c r="F66" s="2" t="s">
        <v>2124</v>
      </c>
      <c r="G66" s="3">
        <v>40327</v>
      </c>
    </row>
    <row r="67" spans="1:7">
      <c r="A67" s="2" t="s">
        <v>2199</v>
      </c>
      <c r="B67" s="2" t="s">
        <v>2200</v>
      </c>
      <c r="C67" s="2" t="s">
        <v>2123</v>
      </c>
      <c r="D67" s="2">
        <v>1957</v>
      </c>
      <c r="E67" s="2" t="s">
        <v>2120</v>
      </c>
      <c r="F67" s="2" t="s">
        <v>2190</v>
      </c>
      <c r="G67" s="3">
        <v>44391</v>
      </c>
    </row>
    <row r="68" spans="1:7">
      <c r="A68" s="2" t="s">
        <v>517</v>
      </c>
      <c r="B68" s="2" t="s">
        <v>2201</v>
      </c>
      <c r="C68" s="2" t="s">
        <v>2123</v>
      </c>
      <c r="D68" s="2">
        <v>1969</v>
      </c>
      <c r="E68" s="2" t="s">
        <v>2136</v>
      </c>
      <c r="F68" s="2" t="s">
        <v>2124</v>
      </c>
      <c r="G68" s="3">
        <v>44234</v>
      </c>
    </row>
    <row r="69" spans="1:7">
      <c r="A69" s="2" t="s">
        <v>1335</v>
      </c>
      <c r="B69" s="2" t="s">
        <v>2202</v>
      </c>
      <c r="C69" s="2" t="s">
        <v>2119</v>
      </c>
      <c r="D69" s="2">
        <v>1979</v>
      </c>
      <c r="E69" s="2" t="s">
        <v>2120</v>
      </c>
      <c r="F69" s="2" t="s">
        <v>2124</v>
      </c>
      <c r="G69" s="3">
        <v>41806</v>
      </c>
    </row>
    <row r="70" spans="1:7">
      <c r="A70" s="2" t="s">
        <v>170</v>
      </c>
      <c r="B70" s="2" t="s">
        <v>2203</v>
      </c>
      <c r="C70" s="2" t="s">
        <v>2123</v>
      </c>
      <c r="D70" s="2">
        <v>2004</v>
      </c>
      <c r="E70" s="2" t="s">
        <v>2136</v>
      </c>
      <c r="F70" s="2" t="s">
        <v>2121</v>
      </c>
      <c r="G70" s="3">
        <v>40295</v>
      </c>
    </row>
    <row r="71" spans="1:7">
      <c r="A71" s="2" t="s">
        <v>2087</v>
      </c>
      <c r="B71" s="2" t="s">
        <v>2204</v>
      </c>
      <c r="C71" s="2" t="s">
        <v>2119</v>
      </c>
      <c r="D71" s="2">
        <v>1972</v>
      </c>
      <c r="E71" s="2" t="s">
        <v>2120</v>
      </c>
      <c r="F71" s="2" t="s">
        <v>2121</v>
      </c>
      <c r="G71" s="3">
        <v>44323</v>
      </c>
    </row>
    <row r="72" spans="1:7">
      <c r="A72" s="2" t="s">
        <v>1830</v>
      </c>
      <c r="B72" s="2" t="s">
        <v>2135</v>
      </c>
      <c r="C72" s="2" t="s">
        <v>2119</v>
      </c>
      <c r="D72" s="2">
        <v>1976</v>
      </c>
      <c r="E72" s="2" t="s">
        <v>2120</v>
      </c>
      <c r="F72" s="2" t="s">
        <v>2124</v>
      </c>
      <c r="G72" s="3">
        <v>41469</v>
      </c>
    </row>
    <row r="73" spans="1:7">
      <c r="A73" s="2" t="s">
        <v>2205</v>
      </c>
      <c r="B73" s="2" t="s">
        <v>2206</v>
      </c>
      <c r="C73" s="2" t="s">
        <v>2119</v>
      </c>
      <c r="D73" s="2">
        <v>1977</v>
      </c>
      <c r="E73" s="2" t="s">
        <v>2136</v>
      </c>
      <c r="F73" s="2" t="s">
        <v>2190</v>
      </c>
      <c r="G73" s="3">
        <v>44660</v>
      </c>
    </row>
    <row r="74" spans="1:7">
      <c r="A74" s="2" t="s">
        <v>2207</v>
      </c>
      <c r="B74" s="2" t="s">
        <v>2208</v>
      </c>
      <c r="C74" s="2" t="s">
        <v>2123</v>
      </c>
      <c r="D74" s="2">
        <v>2003</v>
      </c>
      <c r="E74" s="2" t="s">
        <v>2120</v>
      </c>
      <c r="F74" s="2" t="s">
        <v>2124</v>
      </c>
      <c r="G74" s="3">
        <v>40187</v>
      </c>
    </row>
    <row r="75" spans="1:7">
      <c r="A75" s="2" t="s">
        <v>2209</v>
      </c>
      <c r="B75" s="2" t="s">
        <v>2210</v>
      </c>
      <c r="C75" s="2" t="s">
        <v>2119</v>
      </c>
      <c r="D75" s="2">
        <v>1986</v>
      </c>
      <c r="E75" s="2" t="s">
        <v>2120</v>
      </c>
      <c r="F75" s="2" t="s">
        <v>2124</v>
      </c>
      <c r="G75" s="3">
        <v>44313</v>
      </c>
    </row>
    <row r="76" spans="1:7">
      <c r="A76" s="2" t="s">
        <v>2211</v>
      </c>
      <c r="B76" s="2" t="s">
        <v>2133</v>
      </c>
      <c r="C76" s="2" t="s">
        <v>2123</v>
      </c>
      <c r="D76" s="2">
        <v>1977</v>
      </c>
      <c r="E76" s="2" t="s">
        <v>2120</v>
      </c>
      <c r="F76" s="2" t="s">
        <v>2124</v>
      </c>
      <c r="G76" s="3">
        <v>40520</v>
      </c>
    </row>
    <row r="77" spans="1:7">
      <c r="A77" s="2" t="s">
        <v>1627</v>
      </c>
      <c r="B77" s="2" t="s">
        <v>2127</v>
      </c>
      <c r="C77" s="2" t="s">
        <v>2123</v>
      </c>
      <c r="D77" s="2">
        <v>1979</v>
      </c>
      <c r="E77" s="2" t="s">
        <v>2120</v>
      </c>
      <c r="F77" s="2" t="s">
        <v>2124</v>
      </c>
      <c r="G77" s="3">
        <v>44514</v>
      </c>
    </row>
    <row r="78" spans="1:7">
      <c r="A78" s="2" t="s">
        <v>364</v>
      </c>
      <c r="B78" s="2" t="s">
        <v>2212</v>
      </c>
      <c r="C78" s="2" t="s">
        <v>2123</v>
      </c>
      <c r="D78" s="2">
        <v>2001</v>
      </c>
      <c r="E78" s="2" t="s">
        <v>2136</v>
      </c>
      <c r="F78" s="2" t="s">
        <v>2124</v>
      </c>
      <c r="G78" s="3">
        <v>42850</v>
      </c>
    </row>
    <row r="79" spans="1:7">
      <c r="A79" s="2" t="s">
        <v>98</v>
      </c>
      <c r="B79" s="2" t="s">
        <v>2213</v>
      </c>
      <c r="C79" s="2" t="s">
        <v>2119</v>
      </c>
      <c r="D79" s="2">
        <v>1978</v>
      </c>
      <c r="E79" s="2" t="s">
        <v>2120</v>
      </c>
      <c r="F79" s="2" t="s">
        <v>2124</v>
      </c>
      <c r="G79" s="3">
        <v>44381</v>
      </c>
    </row>
    <row r="80" spans="1:7">
      <c r="A80" s="2" t="s">
        <v>1435</v>
      </c>
      <c r="B80" s="2" t="s">
        <v>2137</v>
      </c>
      <c r="C80" s="2" t="s">
        <v>2119</v>
      </c>
      <c r="D80" s="2">
        <v>1994</v>
      </c>
      <c r="E80" s="2" t="s">
        <v>2120</v>
      </c>
      <c r="F80" s="2" t="s">
        <v>2190</v>
      </c>
      <c r="G80" s="3">
        <v>44310</v>
      </c>
    </row>
    <row r="81" spans="1:7">
      <c r="A81" s="2" t="s">
        <v>1773</v>
      </c>
      <c r="B81" s="2" t="s">
        <v>2214</v>
      </c>
      <c r="C81" s="2" t="s">
        <v>2123</v>
      </c>
      <c r="D81" s="2">
        <v>1994</v>
      </c>
      <c r="E81" s="2" t="s">
        <v>2136</v>
      </c>
      <c r="F81" s="2" t="s">
        <v>2121</v>
      </c>
      <c r="G81" s="3">
        <v>45858</v>
      </c>
    </row>
    <row r="82" spans="1:7">
      <c r="A82" s="2" t="s">
        <v>717</v>
      </c>
      <c r="B82" s="2" t="s">
        <v>2133</v>
      </c>
      <c r="C82" s="2" t="s">
        <v>2123</v>
      </c>
      <c r="D82" s="2">
        <v>1959</v>
      </c>
      <c r="E82" s="2" t="s">
        <v>2120</v>
      </c>
      <c r="F82" s="2" t="s">
        <v>2124</v>
      </c>
      <c r="G82" s="3">
        <v>41038</v>
      </c>
    </row>
    <row r="83" spans="1:7">
      <c r="A83" s="2" t="s">
        <v>1713</v>
      </c>
      <c r="B83" s="2" t="s">
        <v>2215</v>
      </c>
      <c r="C83" s="2" t="s">
        <v>2119</v>
      </c>
      <c r="D83" s="2">
        <v>1962</v>
      </c>
      <c r="E83" s="2" t="s">
        <v>2120</v>
      </c>
      <c r="F83" s="2" t="s">
        <v>2124</v>
      </c>
      <c r="G83" s="3">
        <v>42182</v>
      </c>
    </row>
    <row r="84" spans="1:7">
      <c r="A84" s="2" t="s">
        <v>1002</v>
      </c>
      <c r="B84" s="2" t="s">
        <v>2216</v>
      </c>
      <c r="C84" s="2" t="s">
        <v>2119</v>
      </c>
      <c r="D84" s="2">
        <v>1985</v>
      </c>
      <c r="E84" s="2" t="s">
        <v>2120</v>
      </c>
      <c r="F84" s="2" t="s">
        <v>2190</v>
      </c>
      <c r="G84" s="3">
        <v>44563</v>
      </c>
    </row>
    <row r="85" spans="1:7">
      <c r="A85" s="2" t="s">
        <v>938</v>
      </c>
      <c r="B85" s="2" t="s">
        <v>2181</v>
      </c>
      <c r="C85" s="2" t="s">
        <v>2123</v>
      </c>
      <c r="D85" s="2">
        <v>1995</v>
      </c>
      <c r="E85" s="2" t="s">
        <v>2120</v>
      </c>
      <c r="F85" s="2" t="s">
        <v>2124</v>
      </c>
      <c r="G85" s="3">
        <v>42354</v>
      </c>
    </row>
    <row r="86" spans="1:7">
      <c r="A86" s="2" t="s">
        <v>765</v>
      </c>
      <c r="B86" s="2" t="s">
        <v>2217</v>
      </c>
      <c r="C86" s="2" t="s">
        <v>2123</v>
      </c>
      <c r="D86" s="2">
        <v>1995</v>
      </c>
      <c r="E86" s="2" t="s">
        <v>2136</v>
      </c>
      <c r="F86" s="2" t="s">
        <v>2124</v>
      </c>
      <c r="G86" s="3">
        <v>43312</v>
      </c>
    </row>
    <row r="87" spans="1:7">
      <c r="A87" s="2" t="s">
        <v>310</v>
      </c>
      <c r="B87" s="2" t="s">
        <v>2218</v>
      </c>
      <c r="C87" s="2" t="s">
        <v>2119</v>
      </c>
      <c r="D87" s="2">
        <v>1978</v>
      </c>
      <c r="E87" s="2" t="s">
        <v>2120</v>
      </c>
      <c r="F87" s="2" t="s">
        <v>2121</v>
      </c>
      <c r="G87" s="3">
        <v>41803</v>
      </c>
    </row>
    <row r="88" spans="1:7">
      <c r="A88" s="2" t="s">
        <v>2219</v>
      </c>
      <c r="B88" s="2" t="s">
        <v>2220</v>
      </c>
      <c r="C88" s="2" t="s">
        <v>2123</v>
      </c>
      <c r="D88" s="2">
        <v>1976</v>
      </c>
      <c r="E88" s="2" t="s">
        <v>2136</v>
      </c>
      <c r="F88" s="2" t="s">
        <v>2124</v>
      </c>
      <c r="G88" s="3">
        <v>44830</v>
      </c>
    </row>
    <row r="89" spans="1:7">
      <c r="A89" s="2" t="s">
        <v>328</v>
      </c>
      <c r="B89" s="2" t="s">
        <v>2221</v>
      </c>
      <c r="C89" s="2" t="s">
        <v>2123</v>
      </c>
      <c r="D89" s="2">
        <v>1963</v>
      </c>
      <c r="E89" s="2" t="s">
        <v>2120</v>
      </c>
      <c r="F89" s="2" t="s">
        <v>2121</v>
      </c>
      <c r="G89" s="3">
        <v>45849</v>
      </c>
    </row>
    <row r="90" spans="1:7">
      <c r="A90" s="2" t="s">
        <v>153</v>
      </c>
      <c r="B90" s="2" t="s">
        <v>2222</v>
      </c>
      <c r="C90" s="2" t="s">
        <v>2119</v>
      </c>
      <c r="D90" s="2">
        <v>1994</v>
      </c>
      <c r="E90" s="2" t="s">
        <v>2120</v>
      </c>
      <c r="F90" s="2" t="s">
        <v>2124</v>
      </c>
      <c r="G90" s="3">
        <v>41149</v>
      </c>
    </row>
    <row r="91" spans="1:7">
      <c r="A91" s="2" t="s">
        <v>793</v>
      </c>
      <c r="B91" s="2" t="s">
        <v>2223</v>
      </c>
      <c r="C91" s="2" t="s">
        <v>2123</v>
      </c>
      <c r="D91" s="2">
        <v>2004</v>
      </c>
      <c r="E91" s="2" t="s">
        <v>2136</v>
      </c>
      <c r="F91" s="2" t="s">
        <v>2124</v>
      </c>
      <c r="G91" s="3">
        <v>43938</v>
      </c>
    </row>
    <row r="92" spans="1:7">
      <c r="A92" s="2" t="s">
        <v>2224</v>
      </c>
      <c r="B92" s="2" t="s">
        <v>2225</v>
      </c>
      <c r="C92" s="2" t="s">
        <v>2119</v>
      </c>
      <c r="D92" s="2">
        <v>1983</v>
      </c>
      <c r="E92" s="2" t="s">
        <v>2136</v>
      </c>
      <c r="F92" s="2" t="s">
        <v>2190</v>
      </c>
      <c r="G92" s="3">
        <v>40790</v>
      </c>
    </row>
    <row r="93" spans="1:7">
      <c r="A93" s="2" t="s">
        <v>701</v>
      </c>
      <c r="B93" s="2" t="s">
        <v>2226</v>
      </c>
      <c r="C93" s="2" t="s">
        <v>2123</v>
      </c>
      <c r="D93" s="2">
        <v>1996</v>
      </c>
      <c r="E93" s="2" t="s">
        <v>2120</v>
      </c>
      <c r="F93" s="2" t="s">
        <v>2124</v>
      </c>
      <c r="G93" s="3">
        <v>45121</v>
      </c>
    </row>
    <row r="94" spans="1:7">
      <c r="A94" s="2" t="s">
        <v>642</v>
      </c>
      <c r="B94" s="2" t="s">
        <v>2227</v>
      </c>
      <c r="C94" s="2" t="s">
        <v>2119</v>
      </c>
      <c r="D94" s="2">
        <v>1994</v>
      </c>
      <c r="E94" s="2" t="s">
        <v>2120</v>
      </c>
      <c r="F94" s="2" t="s">
        <v>2190</v>
      </c>
      <c r="G94" s="3">
        <v>44161</v>
      </c>
    </row>
    <row r="95" spans="1:7">
      <c r="A95" s="2" t="s">
        <v>1034</v>
      </c>
      <c r="B95" s="2" t="s">
        <v>2228</v>
      </c>
      <c r="C95" s="2" t="s">
        <v>2123</v>
      </c>
      <c r="D95" s="2">
        <v>1955</v>
      </c>
      <c r="E95" s="2" t="s">
        <v>2120</v>
      </c>
      <c r="F95" s="2" t="s">
        <v>2124</v>
      </c>
      <c r="G95" s="3">
        <v>42652</v>
      </c>
    </row>
    <row r="96" spans="1:7">
      <c r="A96" s="2" t="s">
        <v>248</v>
      </c>
      <c r="B96" s="2" t="s">
        <v>2229</v>
      </c>
      <c r="C96" s="2" t="s">
        <v>2123</v>
      </c>
      <c r="D96" s="2">
        <v>1981</v>
      </c>
      <c r="E96" s="2" t="s">
        <v>2120</v>
      </c>
      <c r="F96" s="2" t="s">
        <v>2121</v>
      </c>
      <c r="G96" s="3">
        <v>40193</v>
      </c>
    </row>
    <row r="97" spans="1:7">
      <c r="A97" s="2" t="s">
        <v>368</v>
      </c>
      <c r="B97" s="2" t="s">
        <v>2230</v>
      </c>
      <c r="C97" s="2" t="s">
        <v>2119</v>
      </c>
      <c r="D97" s="2">
        <v>1970</v>
      </c>
      <c r="E97" s="2" t="s">
        <v>2136</v>
      </c>
      <c r="F97" s="2" t="s">
        <v>2121</v>
      </c>
      <c r="G97" s="3">
        <v>42553</v>
      </c>
    </row>
    <row r="98" spans="1:7">
      <c r="A98" s="2" t="s">
        <v>2231</v>
      </c>
      <c r="B98" s="2" t="s">
        <v>2227</v>
      </c>
      <c r="C98" s="2" t="s">
        <v>2119</v>
      </c>
      <c r="D98" s="2">
        <v>1983</v>
      </c>
      <c r="E98" s="2" t="s">
        <v>2136</v>
      </c>
      <c r="F98" s="2" t="s">
        <v>2124</v>
      </c>
      <c r="G98" s="3">
        <v>43133</v>
      </c>
    </row>
    <row r="99" spans="1:7">
      <c r="A99" s="2" t="s">
        <v>1265</v>
      </c>
      <c r="B99" s="2" t="s">
        <v>2232</v>
      </c>
      <c r="C99" s="2" t="s">
        <v>2119</v>
      </c>
      <c r="D99" s="2">
        <v>1978</v>
      </c>
      <c r="E99" s="2" t="s">
        <v>2120</v>
      </c>
      <c r="F99" s="2" t="s">
        <v>2121</v>
      </c>
      <c r="G99" s="3">
        <v>45380</v>
      </c>
    </row>
    <row r="100" spans="1:7">
      <c r="A100" s="2" t="s">
        <v>2233</v>
      </c>
      <c r="B100" s="2" t="s">
        <v>2234</v>
      </c>
      <c r="C100" s="2" t="s">
        <v>2123</v>
      </c>
      <c r="D100" s="2">
        <v>1985</v>
      </c>
      <c r="E100" s="2" t="s">
        <v>2120</v>
      </c>
      <c r="F100" s="2" t="s">
        <v>2121</v>
      </c>
      <c r="G100" s="3">
        <v>43683</v>
      </c>
    </row>
    <row r="101" spans="1:7">
      <c r="A101" s="2" t="s">
        <v>303</v>
      </c>
      <c r="B101" s="2" t="s">
        <v>2215</v>
      </c>
      <c r="C101" s="2" t="s">
        <v>2119</v>
      </c>
      <c r="D101" s="2">
        <v>1989</v>
      </c>
      <c r="E101" s="2" t="s">
        <v>2136</v>
      </c>
      <c r="F101" s="2" t="s">
        <v>2124</v>
      </c>
      <c r="G101" s="3">
        <v>43544</v>
      </c>
    </row>
    <row r="102" spans="1:7">
      <c r="A102" s="2" t="s">
        <v>663</v>
      </c>
      <c r="B102" s="2" t="s">
        <v>2235</v>
      </c>
      <c r="C102" s="2" t="s">
        <v>2123</v>
      </c>
      <c r="D102" s="2">
        <v>2000</v>
      </c>
      <c r="E102" s="2" t="s">
        <v>2120</v>
      </c>
      <c r="F102" s="2" t="s">
        <v>2190</v>
      </c>
      <c r="G102" s="3">
        <v>44685</v>
      </c>
    </row>
    <row r="103" spans="1:7">
      <c r="A103" s="2" t="s">
        <v>1550</v>
      </c>
      <c r="B103" s="2" t="s">
        <v>2236</v>
      </c>
      <c r="C103" s="2" t="s">
        <v>2123</v>
      </c>
      <c r="D103" s="2">
        <v>1984</v>
      </c>
      <c r="E103" s="2" t="s">
        <v>2120</v>
      </c>
      <c r="F103" s="2" t="s">
        <v>2124</v>
      </c>
      <c r="G103" s="3">
        <v>45526</v>
      </c>
    </row>
    <row r="104" spans="1:7">
      <c r="A104" s="2" t="s">
        <v>42</v>
      </c>
      <c r="B104" s="2" t="s">
        <v>2156</v>
      </c>
      <c r="C104" s="2" t="s">
        <v>2119</v>
      </c>
      <c r="D104" s="2">
        <v>1976</v>
      </c>
      <c r="E104" s="2" t="s">
        <v>2120</v>
      </c>
      <c r="F104" s="2" t="s">
        <v>2121</v>
      </c>
      <c r="G104" s="3">
        <v>41159</v>
      </c>
    </row>
    <row r="105" spans="1:7">
      <c r="A105" s="2" t="s">
        <v>1584</v>
      </c>
      <c r="B105" s="2" t="s">
        <v>2237</v>
      </c>
      <c r="C105" s="2" t="s">
        <v>2123</v>
      </c>
      <c r="D105" s="2">
        <v>1974</v>
      </c>
      <c r="E105" s="2" t="s">
        <v>2136</v>
      </c>
      <c r="F105" s="2" t="s">
        <v>2124</v>
      </c>
      <c r="G105" s="3">
        <v>41981</v>
      </c>
    </row>
    <row r="106" spans="1:7">
      <c r="A106" s="2" t="s">
        <v>180</v>
      </c>
      <c r="B106" s="2" t="s">
        <v>2238</v>
      </c>
      <c r="C106" s="2" t="s">
        <v>2119</v>
      </c>
      <c r="D106" s="2">
        <v>1984</v>
      </c>
      <c r="E106" s="2" t="s">
        <v>2120</v>
      </c>
      <c r="F106" s="2" t="s">
        <v>2124</v>
      </c>
      <c r="G106" s="3">
        <v>41610</v>
      </c>
    </row>
    <row r="107" spans="1:7">
      <c r="A107" s="2" t="s">
        <v>2239</v>
      </c>
      <c r="B107" s="2" t="s">
        <v>2240</v>
      </c>
      <c r="C107" s="2" t="s">
        <v>2123</v>
      </c>
      <c r="D107" s="2">
        <v>1976</v>
      </c>
      <c r="E107" s="2" t="s">
        <v>2120</v>
      </c>
      <c r="F107" s="2" t="s">
        <v>2124</v>
      </c>
      <c r="G107" s="3">
        <v>40343</v>
      </c>
    </row>
    <row r="108" spans="1:7">
      <c r="A108" s="2" t="s">
        <v>1006</v>
      </c>
      <c r="B108" s="2" t="s">
        <v>2241</v>
      </c>
      <c r="C108" s="2" t="s">
        <v>2119</v>
      </c>
      <c r="D108" s="2">
        <v>1984</v>
      </c>
      <c r="E108" s="2" t="s">
        <v>2120</v>
      </c>
      <c r="F108" s="2" t="s">
        <v>2124</v>
      </c>
      <c r="G108" s="3">
        <v>42949</v>
      </c>
    </row>
    <row r="109" spans="1:7">
      <c r="A109" s="2" t="s">
        <v>709</v>
      </c>
      <c r="B109" s="2" t="s">
        <v>2201</v>
      </c>
      <c r="C109" s="2" t="s">
        <v>2123</v>
      </c>
      <c r="D109" s="2">
        <v>1977</v>
      </c>
      <c r="E109" s="2" t="s">
        <v>2136</v>
      </c>
      <c r="F109" s="2" t="s">
        <v>2124</v>
      </c>
      <c r="G109" s="3">
        <v>44302</v>
      </c>
    </row>
    <row r="110" spans="1:7">
      <c r="A110" s="2" t="s">
        <v>611</v>
      </c>
      <c r="B110" s="2" t="s">
        <v>2133</v>
      </c>
      <c r="C110" s="2" t="s">
        <v>2123</v>
      </c>
      <c r="D110" s="2">
        <v>1977</v>
      </c>
      <c r="E110" s="2" t="s">
        <v>2120</v>
      </c>
      <c r="F110" s="2" t="s">
        <v>2124</v>
      </c>
      <c r="G110" s="3">
        <v>43831</v>
      </c>
    </row>
    <row r="111" spans="1:7">
      <c r="A111" s="2" t="s">
        <v>1575</v>
      </c>
      <c r="B111" s="2" t="s">
        <v>2125</v>
      </c>
      <c r="C111" s="2" t="s">
        <v>2119</v>
      </c>
      <c r="D111" s="2">
        <v>1970</v>
      </c>
      <c r="E111" s="2" t="s">
        <v>2120</v>
      </c>
      <c r="F111" s="2" t="s">
        <v>2121</v>
      </c>
      <c r="G111" s="3">
        <v>44056</v>
      </c>
    </row>
    <row r="112" spans="1:7">
      <c r="A112" s="2" t="s">
        <v>162</v>
      </c>
      <c r="B112" s="2" t="s">
        <v>2242</v>
      </c>
      <c r="C112" s="2" t="s">
        <v>2119</v>
      </c>
      <c r="D112" s="2">
        <v>1965</v>
      </c>
      <c r="E112" s="2" t="s">
        <v>2136</v>
      </c>
      <c r="F112" s="2" t="s">
        <v>2190</v>
      </c>
      <c r="G112" s="3">
        <v>44503</v>
      </c>
    </row>
    <row r="113" spans="1:7">
      <c r="A113" s="2" t="s">
        <v>1087</v>
      </c>
      <c r="B113" s="2" t="s">
        <v>2184</v>
      </c>
      <c r="C113" s="2" t="s">
        <v>2119</v>
      </c>
      <c r="D113" s="2">
        <v>1976</v>
      </c>
      <c r="E113" s="2" t="s">
        <v>2120</v>
      </c>
      <c r="F113" s="2" t="s">
        <v>2124</v>
      </c>
      <c r="G113" s="3">
        <v>44458</v>
      </c>
    </row>
    <row r="114" spans="1:7">
      <c r="A114" s="2" t="s">
        <v>698</v>
      </c>
      <c r="B114" s="2" t="s">
        <v>2152</v>
      </c>
      <c r="C114" s="2" t="s">
        <v>2123</v>
      </c>
      <c r="D114" s="2">
        <v>1995</v>
      </c>
      <c r="E114" s="2" t="s">
        <v>2120</v>
      </c>
      <c r="F114" s="2" t="s">
        <v>2121</v>
      </c>
      <c r="G114" s="3">
        <v>43925</v>
      </c>
    </row>
    <row r="115" spans="1:7">
      <c r="A115" s="2" t="s">
        <v>579</v>
      </c>
      <c r="B115" s="2" t="s">
        <v>2170</v>
      </c>
      <c r="C115" s="2" t="s">
        <v>2123</v>
      </c>
      <c r="D115" s="2">
        <v>1997</v>
      </c>
      <c r="E115" s="2" t="s">
        <v>2120</v>
      </c>
      <c r="F115" s="2" t="s">
        <v>2190</v>
      </c>
      <c r="G115" s="3">
        <v>45466</v>
      </c>
    </row>
    <row r="116" spans="1:7">
      <c r="A116" s="2" t="s">
        <v>881</v>
      </c>
      <c r="B116" s="2" t="s">
        <v>2151</v>
      </c>
      <c r="C116" s="2" t="s">
        <v>2119</v>
      </c>
      <c r="D116" s="2">
        <v>1991</v>
      </c>
      <c r="E116" s="2" t="s">
        <v>2120</v>
      </c>
      <c r="F116" s="2" t="s">
        <v>2124</v>
      </c>
      <c r="G116" s="3">
        <v>41097</v>
      </c>
    </row>
    <row r="117" spans="1:7">
      <c r="A117" s="2" t="s">
        <v>693</v>
      </c>
      <c r="B117" s="2" t="s">
        <v>2243</v>
      </c>
      <c r="C117" s="2" t="s">
        <v>2123</v>
      </c>
      <c r="D117" s="2">
        <v>1988</v>
      </c>
      <c r="E117" s="2" t="s">
        <v>2120</v>
      </c>
      <c r="F117" s="2" t="s">
        <v>2124</v>
      </c>
      <c r="G117" s="3">
        <v>42010</v>
      </c>
    </row>
    <row r="118" spans="1:7">
      <c r="A118" s="2" t="s">
        <v>1374</v>
      </c>
      <c r="B118" s="2" t="s">
        <v>2244</v>
      </c>
      <c r="C118" s="2" t="s">
        <v>2123</v>
      </c>
      <c r="D118" s="2">
        <v>1988</v>
      </c>
      <c r="E118" s="2" t="s">
        <v>2136</v>
      </c>
      <c r="F118" s="2" t="s">
        <v>2124</v>
      </c>
      <c r="G118" s="3">
        <v>42770</v>
      </c>
    </row>
    <row r="119" spans="1:7">
      <c r="A119" s="2" t="s">
        <v>834</v>
      </c>
      <c r="B119" s="2" t="s">
        <v>2245</v>
      </c>
      <c r="C119" s="2" t="s">
        <v>2123</v>
      </c>
      <c r="D119" s="2">
        <v>1988</v>
      </c>
      <c r="E119" s="2" t="s">
        <v>2120</v>
      </c>
      <c r="F119" s="2" t="s">
        <v>2124</v>
      </c>
      <c r="G119" s="3">
        <v>43552</v>
      </c>
    </row>
    <row r="120" spans="1:7">
      <c r="A120" s="2" t="s">
        <v>644</v>
      </c>
      <c r="B120" s="2" t="s">
        <v>2216</v>
      </c>
      <c r="C120" s="2" t="s">
        <v>2119</v>
      </c>
      <c r="D120" s="2">
        <v>1958</v>
      </c>
      <c r="E120" s="2" t="s">
        <v>2120</v>
      </c>
      <c r="F120" s="2" t="s">
        <v>2121</v>
      </c>
      <c r="G120" s="3">
        <v>43619</v>
      </c>
    </row>
    <row r="121" spans="1:7">
      <c r="A121" s="2" t="s">
        <v>2246</v>
      </c>
      <c r="B121" s="2" t="s">
        <v>2247</v>
      </c>
      <c r="C121" s="2" t="s">
        <v>2119</v>
      </c>
      <c r="D121" s="2">
        <v>1993</v>
      </c>
      <c r="E121" s="2" t="s">
        <v>2136</v>
      </c>
      <c r="F121" s="2" t="s">
        <v>2124</v>
      </c>
      <c r="G121" s="3">
        <v>40458</v>
      </c>
    </row>
    <row r="122" spans="1:7">
      <c r="A122" s="2" t="s">
        <v>2248</v>
      </c>
      <c r="B122" s="2" t="s">
        <v>2249</v>
      </c>
      <c r="C122" s="2" t="s">
        <v>2119</v>
      </c>
      <c r="D122" s="2">
        <v>1984</v>
      </c>
      <c r="E122" s="2" t="s">
        <v>2136</v>
      </c>
      <c r="F122" s="2" t="s">
        <v>2124</v>
      </c>
      <c r="G122" s="3">
        <v>42571</v>
      </c>
    </row>
    <row r="123" spans="1:7">
      <c r="A123" s="2" t="s">
        <v>1847</v>
      </c>
      <c r="B123" s="2" t="s">
        <v>2250</v>
      </c>
      <c r="C123" s="2" t="s">
        <v>2123</v>
      </c>
      <c r="D123" s="2">
        <v>1987</v>
      </c>
      <c r="E123" s="2" t="s">
        <v>2120</v>
      </c>
      <c r="F123" s="2" t="s">
        <v>2121</v>
      </c>
      <c r="G123" s="3">
        <v>41767</v>
      </c>
    </row>
    <row r="124" spans="1:7">
      <c r="A124" s="2" t="s">
        <v>1270</v>
      </c>
      <c r="B124" s="2" t="s">
        <v>2251</v>
      </c>
      <c r="C124" s="2" t="s">
        <v>2119</v>
      </c>
      <c r="D124" s="2">
        <v>1977</v>
      </c>
      <c r="E124" s="2" t="s">
        <v>2136</v>
      </c>
      <c r="F124" s="2" t="s">
        <v>2124</v>
      </c>
      <c r="G124" s="3">
        <v>45287</v>
      </c>
    </row>
    <row r="125" spans="1:7">
      <c r="A125" s="2" t="s">
        <v>1369</v>
      </c>
      <c r="B125" s="2" t="s">
        <v>2252</v>
      </c>
      <c r="C125" s="2" t="s">
        <v>2123</v>
      </c>
      <c r="D125" s="2">
        <v>1986</v>
      </c>
      <c r="E125" s="2" t="s">
        <v>2136</v>
      </c>
      <c r="F125" s="2" t="s">
        <v>2124</v>
      </c>
      <c r="G125" s="3">
        <v>45051</v>
      </c>
    </row>
    <row r="126" spans="1:7">
      <c r="A126" s="2" t="s">
        <v>284</v>
      </c>
      <c r="B126" s="2" t="s">
        <v>2253</v>
      </c>
      <c r="C126" s="2" t="s">
        <v>2119</v>
      </c>
      <c r="D126" s="2">
        <v>1974</v>
      </c>
      <c r="E126" s="2" t="s">
        <v>2136</v>
      </c>
      <c r="F126" s="2" t="s">
        <v>2124</v>
      </c>
      <c r="G126" s="3">
        <v>40603</v>
      </c>
    </row>
    <row r="127" spans="1:7">
      <c r="A127" s="2" t="s">
        <v>2254</v>
      </c>
      <c r="B127" s="2" t="s">
        <v>2255</v>
      </c>
      <c r="C127" s="2" t="s">
        <v>2123</v>
      </c>
      <c r="D127" s="2">
        <v>1983</v>
      </c>
      <c r="E127" s="2" t="s">
        <v>2136</v>
      </c>
      <c r="F127" s="2" t="s">
        <v>2190</v>
      </c>
      <c r="G127" s="3">
        <v>41106</v>
      </c>
    </row>
    <row r="128" spans="1:7">
      <c r="A128" s="2" t="s">
        <v>427</v>
      </c>
      <c r="B128" s="2" t="s">
        <v>2256</v>
      </c>
      <c r="C128" s="2" t="s">
        <v>2123</v>
      </c>
      <c r="D128" s="2">
        <v>1973</v>
      </c>
      <c r="E128" s="2" t="s">
        <v>2120</v>
      </c>
      <c r="F128" s="2" t="s">
        <v>2124</v>
      </c>
      <c r="G128" s="3">
        <v>44009</v>
      </c>
    </row>
    <row r="129" spans="1:7">
      <c r="A129" s="2" t="s">
        <v>1297</v>
      </c>
      <c r="B129" s="2" t="s">
        <v>2156</v>
      </c>
      <c r="C129" s="2" t="s">
        <v>2119</v>
      </c>
      <c r="D129" s="2">
        <v>1995</v>
      </c>
      <c r="E129" s="2" t="s">
        <v>2136</v>
      </c>
      <c r="F129" s="2" t="s">
        <v>2190</v>
      </c>
      <c r="G129" s="3">
        <v>43803</v>
      </c>
    </row>
    <row r="130" spans="1:7">
      <c r="A130" s="2" t="s">
        <v>813</v>
      </c>
      <c r="B130" s="2" t="s">
        <v>2257</v>
      </c>
      <c r="C130" s="2" t="s">
        <v>2123</v>
      </c>
      <c r="D130" s="2">
        <v>1965</v>
      </c>
      <c r="E130" s="2" t="s">
        <v>2120</v>
      </c>
      <c r="F130" s="2" t="s">
        <v>2124</v>
      </c>
      <c r="G130" s="3">
        <v>41192</v>
      </c>
    </row>
    <row r="131" spans="1:7">
      <c r="A131" s="2" t="s">
        <v>394</v>
      </c>
      <c r="B131" s="2" t="s">
        <v>2203</v>
      </c>
      <c r="C131" s="2" t="s">
        <v>2123</v>
      </c>
      <c r="D131" s="2">
        <v>1981</v>
      </c>
      <c r="E131" s="2" t="s">
        <v>2136</v>
      </c>
      <c r="F131" s="2" t="s">
        <v>2121</v>
      </c>
      <c r="G131" s="3">
        <v>43721</v>
      </c>
    </row>
    <row r="132" spans="1:7">
      <c r="A132" s="2" t="s">
        <v>2064</v>
      </c>
      <c r="B132" s="2" t="s">
        <v>2161</v>
      </c>
      <c r="C132" s="2" t="s">
        <v>2123</v>
      </c>
      <c r="D132" s="2">
        <v>1986</v>
      </c>
      <c r="E132" s="2" t="s">
        <v>2120</v>
      </c>
      <c r="F132" s="2" t="s">
        <v>2190</v>
      </c>
      <c r="G132" s="3">
        <v>41760</v>
      </c>
    </row>
    <row r="133" spans="1:7">
      <c r="A133" s="2" t="s">
        <v>112</v>
      </c>
      <c r="B133" s="2" t="s">
        <v>2258</v>
      </c>
      <c r="C133" s="2" t="s">
        <v>2119</v>
      </c>
      <c r="D133" s="2">
        <v>2001</v>
      </c>
      <c r="E133" s="2" t="s">
        <v>2120</v>
      </c>
      <c r="F133" s="2" t="s">
        <v>2124</v>
      </c>
      <c r="G133" s="3">
        <v>45302</v>
      </c>
    </row>
    <row r="134" spans="1:7">
      <c r="A134" s="2" t="s">
        <v>1345</v>
      </c>
      <c r="B134" s="2" t="s">
        <v>2259</v>
      </c>
      <c r="C134" s="2" t="s">
        <v>2119</v>
      </c>
      <c r="D134" s="2">
        <v>1982</v>
      </c>
      <c r="E134" s="2" t="s">
        <v>2120</v>
      </c>
      <c r="F134" s="2" t="s">
        <v>2121</v>
      </c>
      <c r="G134" s="3">
        <v>40686</v>
      </c>
    </row>
    <row r="135" spans="1:7">
      <c r="A135" s="2" t="s">
        <v>376</v>
      </c>
      <c r="B135" s="2" t="s">
        <v>2260</v>
      </c>
      <c r="C135" s="2" t="s">
        <v>2123</v>
      </c>
      <c r="D135" s="2">
        <v>1963</v>
      </c>
      <c r="E135" s="2" t="s">
        <v>2120</v>
      </c>
      <c r="F135" s="2" t="s">
        <v>2124</v>
      </c>
      <c r="G135" s="3">
        <v>42923</v>
      </c>
    </row>
    <row r="136" spans="1:7">
      <c r="A136" s="2" t="s">
        <v>2261</v>
      </c>
      <c r="B136" s="2" t="s">
        <v>2234</v>
      </c>
      <c r="C136" s="2" t="s">
        <v>2123</v>
      </c>
      <c r="D136" s="2">
        <v>1996</v>
      </c>
      <c r="E136" s="2" t="s">
        <v>2136</v>
      </c>
      <c r="F136" s="2" t="s">
        <v>2190</v>
      </c>
      <c r="G136" s="3">
        <v>42615</v>
      </c>
    </row>
    <row r="137" spans="1:7">
      <c r="A137" s="2" t="s">
        <v>669</v>
      </c>
      <c r="B137" s="2" t="s">
        <v>2262</v>
      </c>
      <c r="C137" s="2" t="s">
        <v>2123</v>
      </c>
      <c r="D137" s="2">
        <v>1998</v>
      </c>
      <c r="E137" s="2" t="s">
        <v>2120</v>
      </c>
      <c r="F137" s="2" t="s">
        <v>2121</v>
      </c>
      <c r="G137" s="3">
        <v>43994</v>
      </c>
    </row>
    <row r="138" spans="1:7">
      <c r="A138" s="2" t="s">
        <v>1842</v>
      </c>
      <c r="B138" s="2" t="s">
        <v>2263</v>
      </c>
      <c r="C138" s="2" t="s">
        <v>2119</v>
      </c>
      <c r="D138" s="2">
        <v>2001</v>
      </c>
      <c r="E138" s="2" t="s">
        <v>2136</v>
      </c>
      <c r="F138" s="2" t="s">
        <v>2124</v>
      </c>
      <c r="G138" s="3">
        <v>44246</v>
      </c>
    </row>
    <row r="139" spans="1:7">
      <c r="A139" s="2" t="s">
        <v>631</v>
      </c>
      <c r="B139" s="2" t="s">
        <v>2264</v>
      </c>
      <c r="C139" s="2" t="s">
        <v>2123</v>
      </c>
      <c r="D139" s="2">
        <v>2002</v>
      </c>
      <c r="E139" s="2" t="s">
        <v>2120</v>
      </c>
      <c r="F139" s="2" t="s">
        <v>2121</v>
      </c>
      <c r="G139" s="3">
        <v>41418</v>
      </c>
    </row>
    <row r="140" spans="1:7">
      <c r="A140" s="2" t="s">
        <v>1833</v>
      </c>
      <c r="B140" s="2" t="s">
        <v>2265</v>
      </c>
      <c r="C140" s="2" t="s">
        <v>2123</v>
      </c>
      <c r="D140" s="2">
        <v>2000</v>
      </c>
      <c r="E140" s="2" t="s">
        <v>2120</v>
      </c>
      <c r="F140" s="2" t="s">
        <v>2121</v>
      </c>
      <c r="G140" s="3">
        <v>45059</v>
      </c>
    </row>
    <row r="141" spans="1:7">
      <c r="A141" s="2" t="s">
        <v>2266</v>
      </c>
      <c r="B141" s="2" t="s">
        <v>2267</v>
      </c>
      <c r="C141" s="2" t="s">
        <v>2123</v>
      </c>
      <c r="D141" s="2">
        <v>1996</v>
      </c>
      <c r="E141" s="2" t="s">
        <v>2120</v>
      </c>
      <c r="F141" s="2" t="s">
        <v>2124</v>
      </c>
      <c r="G141" s="3">
        <v>40456</v>
      </c>
    </row>
    <row r="142" spans="1:7">
      <c r="A142" s="2" t="s">
        <v>599</v>
      </c>
      <c r="B142" s="2" t="s">
        <v>2268</v>
      </c>
      <c r="C142" s="2" t="s">
        <v>2119</v>
      </c>
      <c r="D142" s="2">
        <v>2004</v>
      </c>
      <c r="E142" s="2" t="s">
        <v>2136</v>
      </c>
      <c r="F142" s="2" t="s">
        <v>2190</v>
      </c>
      <c r="G142" s="3">
        <v>42348</v>
      </c>
    </row>
    <row r="143" spans="1:7">
      <c r="A143" s="2" t="s">
        <v>618</v>
      </c>
      <c r="B143" s="2" t="s">
        <v>2252</v>
      </c>
      <c r="C143" s="2" t="s">
        <v>2123</v>
      </c>
      <c r="D143" s="2">
        <v>1968</v>
      </c>
      <c r="E143" s="2" t="s">
        <v>2120</v>
      </c>
      <c r="F143" s="2" t="s">
        <v>2121</v>
      </c>
      <c r="G143" s="3">
        <v>43840</v>
      </c>
    </row>
    <row r="144" spans="1:7">
      <c r="A144" s="2" t="s">
        <v>823</v>
      </c>
      <c r="B144" s="2" t="s">
        <v>2226</v>
      </c>
      <c r="C144" s="2" t="s">
        <v>2123</v>
      </c>
      <c r="D144" s="2">
        <v>1984</v>
      </c>
      <c r="E144" s="2" t="s">
        <v>2120</v>
      </c>
      <c r="F144" s="2" t="s">
        <v>2121</v>
      </c>
      <c r="G144" s="3">
        <v>44590</v>
      </c>
    </row>
    <row r="145" spans="1:7">
      <c r="A145" s="2" t="s">
        <v>543</v>
      </c>
      <c r="B145" s="2" t="s">
        <v>2269</v>
      </c>
      <c r="C145" s="2" t="s">
        <v>2123</v>
      </c>
      <c r="D145" s="2">
        <v>1999</v>
      </c>
      <c r="E145" s="2" t="s">
        <v>2120</v>
      </c>
      <c r="F145" s="2" t="s">
        <v>2124</v>
      </c>
      <c r="G145" s="3">
        <v>43234</v>
      </c>
    </row>
    <row r="146" spans="1:7">
      <c r="A146" s="2" t="s">
        <v>732</v>
      </c>
      <c r="B146" s="2" t="s">
        <v>2157</v>
      </c>
      <c r="C146" s="2" t="s">
        <v>2119</v>
      </c>
      <c r="D146" s="2">
        <v>1985</v>
      </c>
      <c r="E146" s="2" t="s">
        <v>2120</v>
      </c>
      <c r="F146" s="2" t="s">
        <v>2124</v>
      </c>
      <c r="G146" s="3">
        <v>42483</v>
      </c>
    </row>
    <row r="147" spans="1:7">
      <c r="A147" s="2" t="s">
        <v>1143</v>
      </c>
      <c r="B147" s="2" t="s">
        <v>2270</v>
      </c>
      <c r="C147" s="2" t="s">
        <v>2123</v>
      </c>
      <c r="D147" s="2">
        <v>1964</v>
      </c>
      <c r="E147" s="2" t="s">
        <v>2120</v>
      </c>
      <c r="F147" s="2" t="s">
        <v>2124</v>
      </c>
      <c r="G147" s="3">
        <v>44490</v>
      </c>
    </row>
    <row r="148" spans="1:7">
      <c r="A148" s="2" t="s">
        <v>1190</v>
      </c>
      <c r="B148" s="2" t="s">
        <v>2271</v>
      </c>
      <c r="C148" s="2" t="s">
        <v>2123</v>
      </c>
      <c r="D148" s="2">
        <v>1986</v>
      </c>
      <c r="E148" s="2" t="s">
        <v>2120</v>
      </c>
      <c r="F148" s="2" t="s">
        <v>2124</v>
      </c>
      <c r="G148" s="3">
        <v>42072</v>
      </c>
    </row>
    <row r="149" spans="1:7">
      <c r="A149" s="2" t="s">
        <v>979</v>
      </c>
      <c r="B149" s="2" t="s">
        <v>2272</v>
      </c>
      <c r="C149" s="2" t="s">
        <v>2119</v>
      </c>
      <c r="D149" s="2">
        <v>1960</v>
      </c>
      <c r="E149" s="2" t="s">
        <v>2120</v>
      </c>
      <c r="F149" s="2" t="s">
        <v>2124</v>
      </c>
      <c r="G149" s="3">
        <v>41731</v>
      </c>
    </row>
    <row r="150" spans="1:7">
      <c r="A150" s="2" t="s">
        <v>925</v>
      </c>
      <c r="B150" s="2" t="s">
        <v>2273</v>
      </c>
      <c r="C150" s="2" t="s">
        <v>2123</v>
      </c>
      <c r="D150" s="2">
        <v>1982</v>
      </c>
      <c r="E150" s="2" t="s">
        <v>2136</v>
      </c>
      <c r="F150" s="2" t="s">
        <v>2124</v>
      </c>
      <c r="G150" s="3">
        <v>42308</v>
      </c>
    </row>
    <row r="151" spans="1:7">
      <c r="A151" s="2" t="s">
        <v>575</v>
      </c>
      <c r="B151" s="2" t="s">
        <v>2274</v>
      </c>
      <c r="C151" s="2" t="s">
        <v>2123</v>
      </c>
      <c r="D151" s="2">
        <v>1992</v>
      </c>
      <c r="E151" s="2" t="s">
        <v>2136</v>
      </c>
      <c r="F151" s="2" t="s">
        <v>2124</v>
      </c>
      <c r="G151" s="3">
        <v>40485</v>
      </c>
    </row>
    <row r="152" spans="1:7">
      <c r="A152" s="2" t="s">
        <v>1778</v>
      </c>
      <c r="B152" s="2" t="s">
        <v>2275</v>
      </c>
      <c r="C152" s="2" t="s">
        <v>2119</v>
      </c>
      <c r="D152" s="2">
        <v>1961</v>
      </c>
      <c r="E152" s="2" t="s">
        <v>2136</v>
      </c>
      <c r="F152" s="2" t="s">
        <v>2124</v>
      </c>
      <c r="G152" s="3">
        <v>45517</v>
      </c>
    </row>
    <row r="153" spans="1:7">
      <c r="A153" s="2" t="s">
        <v>1008</v>
      </c>
      <c r="B153" s="2" t="s">
        <v>2152</v>
      </c>
      <c r="C153" s="2" t="s">
        <v>2123</v>
      </c>
      <c r="D153" s="2">
        <v>1980</v>
      </c>
      <c r="E153" s="2" t="s">
        <v>2120</v>
      </c>
      <c r="F153" s="2" t="s">
        <v>2124</v>
      </c>
      <c r="G153" s="3">
        <v>42736</v>
      </c>
    </row>
    <row r="154" spans="1:7">
      <c r="A154" s="2" t="s">
        <v>135</v>
      </c>
      <c r="B154" s="2" t="s">
        <v>2262</v>
      </c>
      <c r="C154" s="2" t="s">
        <v>2123</v>
      </c>
      <c r="D154" s="2">
        <v>1997</v>
      </c>
      <c r="E154" s="2" t="s">
        <v>2120</v>
      </c>
      <c r="F154" s="2" t="s">
        <v>2124</v>
      </c>
      <c r="G154" s="3">
        <v>41009</v>
      </c>
    </row>
    <row r="155" spans="1:7">
      <c r="A155" s="2" t="s">
        <v>236</v>
      </c>
      <c r="B155" s="2" t="s">
        <v>2276</v>
      </c>
      <c r="C155" s="2" t="s">
        <v>2119</v>
      </c>
      <c r="D155" s="2">
        <v>1989</v>
      </c>
      <c r="E155" s="2" t="s">
        <v>2120</v>
      </c>
      <c r="F155" s="2" t="s">
        <v>2124</v>
      </c>
      <c r="G155" s="3">
        <v>41519</v>
      </c>
    </row>
    <row r="156" spans="1:7">
      <c r="A156" s="2" t="s">
        <v>2277</v>
      </c>
      <c r="B156" s="2" t="s">
        <v>2230</v>
      </c>
      <c r="C156" s="2" t="s">
        <v>2119</v>
      </c>
      <c r="D156" s="2">
        <v>2004</v>
      </c>
      <c r="E156" s="2" t="s">
        <v>2120</v>
      </c>
      <c r="F156" s="2" t="s">
        <v>2124</v>
      </c>
      <c r="G156" s="3">
        <v>40599</v>
      </c>
    </row>
    <row r="157" spans="1:7">
      <c r="A157" s="2" t="s">
        <v>359</v>
      </c>
      <c r="B157" s="2" t="s">
        <v>2204</v>
      </c>
      <c r="C157" s="2" t="s">
        <v>2119</v>
      </c>
      <c r="D157" s="2">
        <v>1984</v>
      </c>
      <c r="E157" s="2" t="s">
        <v>2136</v>
      </c>
      <c r="F157" s="2" t="s">
        <v>2190</v>
      </c>
      <c r="G157" s="3">
        <v>43159</v>
      </c>
    </row>
    <row r="158" spans="1:7">
      <c r="A158" s="2" t="s">
        <v>1250</v>
      </c>
      <c r="B158" s="2" t="s">
        <v>2140</v>
      </c>
      <c r="C158" s="2" t="s">
        <v>2123</v>
      </c>
      <c r="D158" s="2">
        <v>1995</v>
      </c>
      <c r="E158" s="2" t="s">
        <v>2120</v>
      </c>
      <c r="F158" s="2" t="s">
        <v>2124</v>
      </c>
      <c r="G158" s="3">
        <v>41461</v>
      </c>
    </row>
    <row r="159" spans="1:7">
      <c r="A159" s="2" t="s">
        <v>2278</v>
      </c>
      <c r="B159" s="2" t="s">
        <v>2279</v>
      </c>
      <c r="C159" s="2" t="s">
        <v>2123</v>
      </c>
      <c r="D159" s="2">
        <v>1967</v>
      </c>
      <c r="E159" s="2" t="s">
        <v>2120</v>
      </c>
      <c r="F159" s="2" t="s">
        <v>2124</v>
      </c>
      <c r="G159" s="3">
        <v>41510</v>
      </c>
    </row>
    <row r="160" spans="1:7">
      <c r="A160" s="2" t="s">
        <v>1801</v>
      </c>
      <c r="B160" s="2" t="s">
        <v>2280</v>
      </c>
      <c r="C160" s="2" t="s">
        <v>2123</v>
      </c>
      <c r="D160" s="2">
        <v>1989</v>
      </c>
      <c r="E160" s="2" t="s">
        <v>2120</v>
      </c>
      <c r="F160" s="2" t="s">
        <v>2190</v>
      </c>
      <c r="G160" s="3">
        <v>40908</v>
      </c>
    </row>
    <row r="161" spans="1:7">
      <c r="A161" s="2" t="s">
        <v>413</v>
      </c>
      <c r="B161" s="2" t="s">
        <v>2281</v>
      </c>
      <c r="C161" s="2" t="s">
        <v>2119</v>
      </c>
      <c r="D161" s="2">
        <v>1987</v>
      </c>
      <c r="E161" s="2" t="s">
        <v>2120</v>
      </c>
      <c r="F161" s="2" t="s">
        <v>2124</v>
      </c>
      <c r="G161" s="3">
        <v>44448</v>
      </c>
    </row>
    <row r="162" spans="1:7">
      <c r="A162" s="2" t="s">
        <v>2282</v>
      </c>
      <c r="B162" s="2" t="s">
        <v>2131</v>
      </c>
      <c r="C162" s="2" t="s">
        <v>2123</v>
      </c>
      <c r="D162" s="2">
        <v>1982</v>
      </c>
      <c r="E162" s="2" t="s">
        <v>2136</v>
      </c>
      <c r="F162" s="2" t="s">
        <v>2121</v>
      </c>
      <c r="G162" s="3">
        <v>41795</v>
      </c>
    </row>
    <row r="163" spans="1:7">
      <c r="A163" s="2" t="s">
        <v>2283</v>
      </c>
      <c r="B163" s="2" t="s">
        <v>2284</v>
      </c>
      <c r="C163" s="2" t="s">
        <v>2123</v>
      </c>
      <c r="D163" s="2">
        <v>2003</v>
      </c>
      <c r="E163" s="2" t="s">
        <v>2136</v>
      </c>
      <c r="F163" s="2" t="s">
        <v>2124</v>
      </c>
      <c r="G163" s="3">
        <v>40616</v>
      </c>
    </row>
    <row r="164" spans="1:7">
      <c r="A164" s="2" t="s">
        <v>2285</v>
      </c>
      <c r="B164" s="2" t="s">
        <v>2286</v>
      </c>
      <c r="C164" s="2" t="s">
        <v>2119</v>
      </c>
      <c r="D164" s="2">
        <v>2001</v>
      </c>
      <c r="E164" s="2" t="s">
        <v>2120</v>
      </c>
      <c r="F164" s="2" t="s">
        <v>2121</v>
      </c>
      <c r="G164" s="3">
        <v>41491</v>
      </c>
    </row>
    <row r="165" spans="1:7">
      <c r="A165" s="2" t="s">
        <v>1389</v>
      </c>
      <c r="B165" s="2" t="s">
        <v>2177</v>
      </c>
      <c r="C165" s="2" t="s">
        <v>2123</v>
      </c>
      <c r="D165" s="2">
        <v>1983</v>
      </c>
      <c r="E165" s="2" t="s">
        <v>2136</v>
      </c>
      <c r="F165" s="2" t="s">
        <v>2121</v>
      </c>
      <c r="G165" s="3">
        <v>41677</v>
      </c>
    </row>
    <row r="166" spans="1:7">
      <c r="A166" s="2" t="s">
        <v>884</v>
      </c>
      <c r="B166" s="2" t="s">
        <v>2287</v>
      </c>
      <c r="C166" s="2" t="s">
        <v>2123</v>
      </c>
      <c r="D166" s="2">
        <v>1983</v>
      </c>
      <c r="E166" s="2" t="s">
        <v>2120</v>
      </c>
      <c r="F166" s="2" t="s">
        <v>2124</v>
      </c>
      <c r="G166" s="3">
        <v>41187</v>
      </c>
    </row>
    <row r="167" spans="1:7">
      <c r="A167" s="2" t="s">
        <v>150</v>
      </c>
      <c r="B167" s="2" t="s">
        <v>2288</v>
      </c>
      <c r="C167" s="2" t="s">
        <v>2123</v>
      </c>
      <c r="D167" s="2">
        <v>1998</v>
      </c>
      <c r="E167" s="2" t="s">
        <v>2120</v>
      </c>
      <c r="F167" s="2" t="s">
        <v>2190</v>
      </c>
      <c r="G167" s="3">
        <v>45686</v>
      </c>
    </row>
    <row r="168" spans="1:7">
      <c r="A168" s="2" t="s">
        <v>2289</v>
      </c>
      <c r="B168" s="2" t="s">
        <v>2286</v>
      </c>
      <c r="C168" s="2" t="s">
        <v>2119</v>
      </c>
      <c r="D168" s="2">
        <v>1983</v>
      </c>
      <c r="E168" s="2" t="s">
        <v>2120</v>
      </c>
      <c r="F168" s="2" t="s">
        <v>2121</v>
      </c>
      <c r="G168" s="3">
        <v>42687</v>
      </c>
    </row>
    <row r="169" spans="1:7">
      <c r="A169" s="2" t="s">
        <v>320</v>
      </c>
      <c r="B169" s="2" t="s">
        <v>2222</v>
      </c>
      <c r="C169" s="2" t="s">
        <v>2119</v>
      </c>
      <c r="D169" s="2">
        <v>1990</v>
      </c>
      <c r="E169" s="2" t="s">
        <v>2120</v>
      </c>
      <c r="F169" s="2" t="s">
        <v>2121</v>
      </c>
      <c r="G169" s="3">
        <v>43839</v>
      </c>
    </row>
    <row r="170" spans="1:7">
      <c r="A170" s="2" t="s">
        <v>370</v>
      </c>
      <c r="B170" s="2" t="s">
        <v>2290</v>
      </c>
      <c r="C170" s="2" t="s">
        <v>2119</v>
      </c>
      <c r="D170" s="2">
        <v>1958</v>
      </c>
      <c r="E170" s="2" t="s">
        <v>2120</v>
      </c>
      <c r="F170" s="2" t="s">
        <v>2124</v>
      </c>
      <c r="G170" s="3">
        <v>42106</v>
      </c>
    </row>
    <row r="171" spans="1:7">
      <c r="A171" s="2" t="s">
        <v>917</v>
      </c>
      <c r="B171" s="2" t="s">
        <v>2291</v>
      </c>
      <c r="C171" s="2" t="s">
        <v>2119</v>
      </c>
      <c r="D171" s="2">
        <v>1998</v>
      </c>
      <c r="E171" s="2" t="s">
        <v>2120</v>
      </c>
      <c r="F171" s="2" t="s">
        <v>2124</v>
      </c>
      <c r="G171" s="3">
        <v>43116</v>
      </c>
    </row>
    <row r="172" spans="1:7">
      <c r="A172" s="2" t="s">
        <v>2292</v>
      </c>
      <c r="B172" s="2" t="s">
        <v>2286</v>
      </c>
      <c r="C172" s="2" t="s">
        <v>2119</v>
      </c>
      <c r="D172" s="2">
        <v>1998</v>
      </c>
      <c r="E172" s="2" t="s">
        <v>2120</v>
      </c>
      <c r="F172" s="2" t="s">
        <v>2121</v>
      </c>
      <c r="G172" s="3">
        <v>40512</v>
      </c>
    </row>
    <row r="173" spans="1:7">
      <c r="A173" s="2" t="s">
        <v>1272</v>
      </c>
      <c r="B173" s="2" t="s">
        <v>2293</v>
      </c>
      <c r="C173" s="2" t="s">
        <v>2123</v>
      </c>
      <c r="D173" s="2">
        <v>2002</v>
      </c>
      <c r="E173" s="2" t="s">
        <v>2120</v>
      </c>
      <c r="F173" s="2" t="s">
        <v>2121</v>
      </c>
      <c r="G173" s="3">
        <v>40834</v>
      </c>
    </row>
    <row r="174" spans="1:7">
      <c r="A174" s="2" t="s">
        <v>1380</v>
      </c>
      <c r="B174" s="2" t="s">
        <v>2294</v>
      </c>
      <c r="C174" s="2" t="s">
        <v>2119</v>
      </c>
      <c r="D174" s="2">
        <v>2003</v>
      </c>
      <c r="E174" s="2" t="s">
        <v>2120</v>
      </c>
      <c r="F174" s="2" t="s">
        <v>2121</v>
      </c>
      <c r="G174" s="3">
        <v>45209</v>
      </c>
    </row>
    <row r="175" spans="1:7">
      <c r="A175" s="2" t="s">
        <v>675</v>
      </c>
      <c r="B175" s="2" t="s">
        <v>2295</v>
      </c>
      <c r="C175" s="2" t="s">
        <v>2123</v>
      </c>
      <c r="D175" s="2">
        <v>1971</v>
      </c>
      <c r="E175" s="2" t="s">
        <v>2136</v>
      </c>
      <c r="F175" s="2" t="s">
        <v>2124</v>
      </c>
      <c r="G175" s="3">
        <v>41531</v>
      </c>
    </row>
    <row r="176" spans="1:7">
      <c r="A176" s="2" t="s">
        <v>713</v>
      </c>
      <c r="B176" s="2" t="s">
        <v>2296</v>
      </c>
      <c r="C176" s="2" t="s">
        <v>2123</v>
      </c>
      <c r="D176" s="2">
        <v>1999</v>
      </c>
      <c r="E176" s="2" t="s">
        <v>2120</v>
      </c>
      <c r="F176" s="2" t="s">
        <v>2124</v>
      </c>
      <c r="G176" s="3">
        <v>42831</v>
      </c>
    </row>
    <row r="177" spans="1:7">
      <c r="A177" s="2" t="s">
        <v>1573</v>
      </c>
      <c r="B177" s="2" t="s">
        <v>2297</v>
      </c>
      <c r="C177" s="2" t="s">
        <v>2119</v>
      </c>
      <c r="D177" s="2">
        <v>1971</v>
      </c>
      <c r="E177" s="2" t="s">
        <v>2120</v>
      </c>
      <c r="F177" s="2" t="s">
        <v>2190</v>
      </c>
      <c r="G177" s="3">
        <v>41885</v>
      </c>
    </row>
    <row r="178" spans="1:7">
      <c r="A178" s="2" t="s">
        <v>1111</v>
      </c>
      <c r="B178" s="2" t="s">
        <v>2298</v>
      </c>
      <c r="C178" s="2" t="s">
        <v>2119</v>
      </c>
      <c r="D178" s="2">
        <v>1987</v>
      </c>
      <c r="E178" s="2" t="s">
        <v>2120</v>
      </c>
      <c r="F178" s="2" t="s">
        <v>2124</v>
      </c>
      <c r="G178" s="3">
        <v>41670</v>
      </c>
    </row>
    <row r="179" spans="1:7">
      <c r="A179" s="2" t="s">
        <v>1136</v>
      </c>
      <c r="B179" s="2" t="s">
        <v>2299</v>
      </c>
      <c r="C179" s="2" t="s">
        <v>2123</v>
      </c>
      <c r="D179" s="2">
        <v>2002</v>
      </c>
      <c r="E179" s="2" t="s">
        <v>2120</v>
      </c>
      <c r="F179" s="2" t="s">
        <v>2190</v>
      </c>
      <c r="G179" s="3">
        <v>41561</v>
      </c>
    </row>
    <row r="180" spans="1:7">
      <c r="A180" s="2" t="s">
        <v>1194</v>
      </c>
      <c r="B180" s="2" t="s">
        <v>2300</v>
      </c>
      <c r="C180" s="2" t="s">
        <v>2119</v>
      </c>
      <c r="D180" s="2">
        <v>1996</v>
      </c>
      <c r="E180" s="2" t="s">
        <v>2120</v>
      </c>
      <c r="F180" s="2" t="s">
        <v>2121</v>
      </c>
      <c r="G180" s="3">
        <v>43890</v>
      </c>
    </row>
    <row r="181" spans="1:7">
      <c r="A181" s="2" t="s">
        <v>2301</v>
      </c>
      <c r="B181" s="2" t="s">
        <v>2198</v>
      </c>
      <c r="C181" s="2" t="s">
        <v>2123</v>
      </c>
      <c r="D181" s="2">
        <v>2004</v>
      </c>
      <c r="E181" s="2" t="s">
        <v>2120</v>
      </c>
      <c r="F181" s="2" t="s">
        <v>2124</v>
      </c>
      <c r="G181" s="3">
        <v>43222</v>
      </c>
    </row>
    <row r="182" spans="1:7">
      <c r="A182" s="2" t="s">
        <v>2302</v>
      </c>
      <c r="B182" s="2" t="s">
        <v>2303</v>
      </c>
      <c r="C182" s="2" t="s">
        <v>2119</v>
      </c>
      <c r="D182" s="2">
        <v>1990</v>
      </c>
      <c r="E182" s="2" t="s">
        <v>2120</v>
      </c>
      <c r="F182" s="2" t="s">
        <v>2121</v>
      </c>
      <c r="G182" s="3">
        <v>43802</v>
      </c>
    </row>
    <row r="183" spans="1:7">
      <c r="A183" s="2" t="s">
        <v>566</v>
      </c>
      <c r="B183" s="2" t="s">
        <v>2304</v>
      </c>
      <c r="C183" s="2" t="s">
        <v>2123</v>
      </c>
      <c r="D183" s="2">
        <v>1996</v>
      </c>
      <c r="E183" s="2" t="s">
        <v>2120</v>
      </c>
      <c r="F183" s="2" t="s">
        <v>2121</v>
      </c>
      <c r="G183" s="3">
        <v>42256</v>
      </c>
    </row>
    <row r="184" spans="1:7">
      <c r="A184" s="2" t="s">
        <v>1413</v>
      </c>
      <c r="B184" s="2" t="s">
        <v>2305</v>
      </c>
      <c r="C184" s="2" t="s">
        <v>2119</v>
      </c>
      <c r="D184" s="2">
        <v>1955</v>
      </c>
      <c r="E184" s="2" t="s">
        <v>2120</v>
      </c>
      <c r="F184" s="2" t="s">
        <v>2124</v>
      </c>
      <c r="G184" s="3">
        <v>45225</v>
      </c>
    </row>
    <row r="185" spans="1:7">
      <c r="A185" s="2" t="s">
        <v>1083</v>
      </c>
      <c r="B185" s="2" t="s">
        <v>2306</v>
      </c>
      <c r="C185" s="2" t="s">
        <v>2119</v>
      </c>
      <c r="D185" s="2">
        <v>1987</v>
      </c>
      <c r="E185" s="2" t="s">
        <v>2136</v>
      </c>
      <c r="F185" s="2" t="s">
        <v>2124</v>
      </c>
      <c r="G185" s="3">
        <v>42040</v>
      </c>
    </row>
    <row r="186" spans="1:7">
      <c r="A186" s="2" t="s">
        <v>2307</v>
      </c>
      <c r="B186" s="2" t="s">
        <v>2208</v>
      </c>
      <c r="C186" s="2" t="s">
        <v>2123</v>
      </c>
      <c r="D186" s="2">
        <v>1962</v>
      </c>
      <c r="E186" s="2" t="s">
        <v>2120</v>
      </c>
      <c r="F186" s="2" t="s">
        <v>2124</v>
      </c>
      <c r="G186" s="3">
        <v>44464</v>
      </c>
    </row>
    <row r="187" spans="1:7">
      <c r="A187" s="2" t="s">
        <v>1055</v>
      </c>
      <c r="B187" s="2" t="s">
        <v>2308</v>
      </c>
      <c r="C187" s="2" t="s">
        <v>2123</v>
      </c>
      <c r="D187" s="2">
        <v>1990</v>
      </c>
      <c r="E187" s="2" t="s">
        <v>2120</v>
      </c>
      <c r="F187" s="2" t="s">
        <v>2124</v>
      </c>
      <c r="G187" s="3">
        <v>45290</v>
      </c>
    </row>
    <row r="188" spans="1:7">
      <c r="A188" s="2" t="s">
        <v>392</v>
      </c>
      <c r="B188" s="2" t="s">
        <v>2290</v>
      </c>
      <c r="C188" s="2" t="s">
        <v>2119</v>
      </c>
      <c r="D188" s="2">
        <v>1971</v>
      </c>
      <c r="E188" s="2" t="s">
        <v>2136</v>
      </c>
      <c r="F188" s="2" t="s">
        <v>2124</v>
      </c>
      <c r="G188" s="3">
        <v>41402</v>
      </c>
    </row>
    <row r="189" spans="1:7">
      <c r="A189" s="2" t="s">
        <v>783</v>
      </c>
      <c r="B189" s="2" t="s">
        <v>2273</v>
      </c>
      <c r="C189" s="2" t="s">
        <v>2123</v>
      </c>
      <c r="D189" s="2">
        <v>1992</v>
      </c>
      <c r="E189" s="2" t="s">
        <v>2136</v>
      </c>
      <c r="F189" s="2" t="s">
        <v>2121</v>
      </c>
      <c r="G189" s="3">
        <v>43471</v>
      </c>
    </row>
    <row r="190" spans="1:7">
      <c r="A190" s="2" t="s">
        <v>305</v>
      </c>
      <c r="B190" s="2" t="s">
        <v>2309</v>
      </c>
      <c r="C190" s="2" t="s">
        <v>2119</v>
      </c>
      <c r="D190" s="2">
        <v>1962</v>
      </c>
      <c r="E190" s="2" t="s">
        <v>2136</v>
      </c>
      <c r="F190" s="2" t="s">
        <v>2190</v>
      </c>
      <c r="G190" s="3">
        <v>45050</v>
      </c>
    </row>
    <row r="191" spans="1:7">
      <c r="A191" s="2" t="s">
        <v>908</v>
      </c>
      <c r="B191" s="2" t="s">
        <v>2310</v>
      </c>
      <c r="C191" s="2" t="s">
        <v>2119</v>
      </c>
      <c r="D191" s="2">
        <v>2002</v>
      </c>
      <c r="E191" s="2" t="s">
        <v>2136</v>
      </c>
      <c r="F191" s="2" t="s">
        <v>2124</v>
      </c>
      <c r="G191" s="3">
        <v>40182</v>
      </c>
    </row>
    <row r="192" spans="1:7">
      <c r="A192" s="2" t="s">
        <v>1641</v>
      </c>
      <c r="B192" s="2" t="s">
        <v>2311</v>
      </c>
      <c r="C192" s="2" t="s">
        <v>2123</v>
      </c>
      <c r="D192" s="2">
        <v>1958</v>
      </c>
      <c r="E192" s="2" t="s">
        <v>2120</v>
      </c>
      <c r="F192" s="2" t="s">
        <v>2124</v>
      </c>
      <c r="G192" s="3">
        <v>41038</v>
      </c>
    </row>
    <row r="193" spans="1:7">
      <c r="A193" s="2" t="s">
        <v>2312</v>
      </c>
      <c r="B193" s="2" t="s">
        <v>2313</v>
      </c>
      <c r="C193" s="2" t="s">
        <v>2123</v>
      </c>
      <c r="D193" s="2">
        <v>1984</v>
      </c>
      <c r="E193" s="2" t="s">
        <v>2120</v>
      </c>
      <c r="F193" s="2" t="s">
        <v>2121</v>
      </c>
      <c r="G193" s="3">
        <v>45484</v>
      </c>
    </row>
    <row r="194" spans="1:7">
      <c r="A194" s="2" t="s">
        <v>1525</v>
      </c>
      <c r="B194" s="2" t="s">
        <v>2314</v>
      </c>
      <c r="C194" s="2" t="s">
        <v>2119</v>
      </c>
      <c r="D194" s="2">
        <v>1973</v>
      </c>
      <c r="E194" s="2" t="s">
        <v>2120</v>
      </c>
      <c r="F194" s="2" t="s">
        <v>2124</v>
      </c>
      <c r="G194" s="3">
        <v>40576</v>
      </c>
    </row>
    <row r="195" spans="1:7">
      <c r="A195" s="2" t="s">
        <v>1032</v>
      </c>
      <c r="B195" s="2" t="s">
        <v>2315</v>
      </c>
      <c r="C195" s="2" t="s">
        <v>2119</v>
      </c>
      <c r="D195" s="2">
        <v>1988</v>
      </c>
      <c r="E195" s="2" t="s">
        <v>2120</v>
      </c>
      <c r="F195" s="2" t="s">
        <v>2124</v>
      </c>
      <c r="G195" s="3">
        <v>43990</v>
      </c>
    </row>
    <row r="196" spans="1:7">
      <c r="A196" s="2" t="s">
        <v>2316</v>
      </c>
      <c r="B196" s="2" t="s">
        <v>2151</v>
      </c>
      <c r="C196" s="2" t="s">
        <v>2119</v>
      </c>
      <c r="D196" s="2">
        <v>1975</v>
      </c>
      <c r="E196" s="2" t="s">
        <v>2120</v>
      </c>
      <c r="F196" s="2" t="s">
        <v>2124</v>
      </c>
      <c r="G196" s="3">
        <v>40496</v>
      </c>
    </row>
    <row r="197" spans="1:7">
      <c r="A197" s="2" t="s">
        <v>2317</v>
      </c>
      <c r="B197" s="2" t="s">
        <v>2318</v>
      </c>
      <c r="C197" s="2" t="s">
        <v>2119</v>
      </c>
      <c r="D197" s="2">
        <v>2002</v>
      </c>
      <c r="E197" s="2" t="s">
        <v>2136</v>
      </c>
      <c r="F197" s="2" t="s">
        <v>2124</v>
      </c>
      <c r="G197" s="3">
        <v>40609</v>
      </c>
    </row>
    <row r="198" spans="1:7">
      <c r="A198" s="2" t="s">
        <v>2319</v>
      </c>
      <c r="B198" s="2" t="s">
        <v>2320</v>
      </c>
      <c r="C198" s="2" t="s">
        <v>2119</v>
      </c>
      <c r="D198" s="2">
        <v>1997</v>
      </c>
      <c r="E198" s="2" t="s">
        <v>2120</v>
      </c>
      <c r="F198" s="2" t="s">
        <v>2124</v>
      </c>
      <c r="G198" s="3">
        <v>45438</v>
      </c>
    </row>
    <row r="199" spans="1:7">
      <c r="A199" s="2" t="s">
        <v>581</v>
      </c>
      <c r="B199" s="2" t="s">
        <v>2321</v>
      </c>
      <c r="C199" s="2" t="s">
        <v>2123</v>
      </c>
      <c r="D199" s="2">
        <v>1957</v>
      </c>
      <c r="E199" s="2" t="s">
        <v>2120</v>
      </c>
      <c r="F199" s="2" t="s">
        <v>2124</v>
      </c>
      <c r="G199" s="3">
        <v>41840</v>
      </c>
    </row>
    <row r="200" spans="1:7">
      <c r="A200" s="2" t="s">
        <v>893</v>
      </c>
      <c r="B200" s="2" t="s">
        <v>2247</v>
      </c>
      <c r="C200" s="2" t="s">
        <v>2119</v>
      </c>
      <c r="D200" s="2">
        <v>2000</v>
      </c>
      <c r="E200" s="2" t="s">
        <v>2120</v>
      </c>
      <c r="F200" s="2" t="s">
        <v>2124</v>
      </c>
      <c r="G200" s="3">
        <v>45345</v>
      </c>
    </row>
    <row r="201" spans="1:7">
      <c r="A201" s="2" t="s">
        <v>1964</v>
      </c>
      <c r="B201" s="2" t="s">
        <v>2130</v>
      </c>
      <c r="C201" s="2" t="s">
        <v>2119</v>
      </c>
      <c r="D201" s="2">
        <v>1999</v>
      </c>
      <c r="E201" s="2" t="s">
        <v>2136</v>
      </c>
      <c r="F201" s="2" t="s">
        <v>2121</v>
      </c>
      <c r="G201" s="3">
        <v>43760</v>
      </c>
    </row>
    <row r="202" spans="1:7">
      <c r="A202" s="2" t="s">
        <v>2322</v>
      </c>
      <c r="B202" s="2" t="s">
        <v>2323</v>
      </c>
      <c r="C202" s="2" t="s">
        <v>2123</v>
      </c>
      <c r="D202" s="2">
        <v>2000</v>
      </c>
      <c r="E202" s="2" t="s">
        <v>2136</v>
      </c>
      <c r="F202" s="2" t="s">
        <v>2124</v>
      </c>
      <c r="G202" s="3">
        <v>44974</v>
      </c>
    </row>
    <row r="203" spans="1:7">
      <c r="A203" s="2" t="s">
        <v>2324</v>
      </c>
      <c r="B203" s="2" t="s">
        <v>2325</v>
      </c>
      <c r="C203" s="2" t="s">
        <v>2123</v>
      </c>
      <c r="D203" s="2">
        <v>1959</v>
      </c>
      <c r="E203" s="2" t="s">
        <v>2120</v>
      </c>
      <c r="F203" s="2" t="s">
        <v>2121</v>
      </c>
      <c r="G203" s="3">
        <v>41504</v>
      </c>
    </row>
    <row r="204" spans="1:7">
      <c r="A204" s="2" t="s">
        <v>1382</v>
      </c>
      <c r="B204" s="2" t="s">
        <v>2288</v>
      </c>
      <c r="C204" s="2" t="s">
        <v>2123</v>
      </c>
      <c r="D204" s="2">
        <v>1959</v>
      </c>
      <c r="E204" s="2" t="s">
        <v>2120</v>
      </c>
      <c r="F204" s="2" t="s">
        <v>2121</v>
      </c>
      <c r="G204" s="3">
        <v>45371</v>
      </c>
    </row>
    <row r="205" spans="1:7">
      <c r="A205" s="2" t="s">
        <v>268</v>
      </c>
      <c r="B205" s="2" t="s">
        <v>2326</v>
      </c>
      <c r="C205" s="2" t="s">
        <v>2123</v>
      </c>
      <c r="D205" s="2">
        <v>1961</v>
      </c>
      <c r="E205" s="2" t="s">
        <v>2136</v>
      </c>
      <c r="F205" s="2" t="s">
        <v>2121</v>
      </c>
      <c r="G205" s="3">
        <v>41811</v>
      </c>
    </row>
    <row r="206" spans="1:7">
      <c r="A206" s="2" t="s">
        <v>2327</v>
      </c>
      <c r="B206" s="2" t="s">
        <v>2328</v>
      </c>
      <c r="C206" s="2" t="s">
        <v>2123</v>
      </c>
      <c r="D206" s="2">
        <v>1996</v>
      </c>
      <c r="E206" s="2" t="s">
        <v>2136</v>
      </c>
      <c r="F206" s="2" t="s">
        <v>2124</v>
      </c>
      <c r="G206" s="3">
        <v>42198</v>
      </c>
    </row>
    <row r="207" spans="1:7">
      <c r="A207" s="2" t="s">
        <v>1117</v>
      </c>
      <c r="B207" s="2" t="s">
        <v>2329</v>
      </c>
      <c r="C207" s="2" t="s">
        <v>2123</v>
      </c>
      <c r="D207" s="2">
        <v>1959</v>
      </c>
      <c r="E207" s="2" t="s">
        <v>2136</v>
      </c>
      <c r="F207" s="2" t="s">
        <v>2190</v>
      </c>
      <c r="G207" s="3">
        <v>45374</v>
      </c>
    </row>
    <row r="208" spans="1:7">
      <c r="A208" s="2" t="s">
        <v>1945</v>
      </c>
      <c r="B208" s="2" t="s">
        <v>2330</v>
      </c>
      <c r="C208" s="2" t="s">
        <v>2119</v>
      </c>
      <c r="D208" s="2">
        <v>1968</v>
      </c>
      <c r="E208" s="2" t="s">
        <v>2120</v>
      </c>
      <c r="F208" s="2" t="s">
        <v>2121</v>
      </c>
      <c r="G208" s="3">
        <v>41858</v>
      </c>
    </row>
    <row r="209" spans="1:7">
      <c r="A209" s="2" t="s">
        <v>1385</v>
      </c>
      <c r="B209" s="2" t="s">
        <v>2189</v>
      </c>
      <c r="C209" s="2" t="s">
        <v>2119</v>
      </c>
      <c r="D209" s="2">
        <v>1984</v>
      </c>
      <c r="E209" s="2" t="s">
        <v>2120</v>
      </c>
      <c r="F209" s="2" t="s">
        <v>2124</v>
      </c>
      <c r="G209" s="3">
        <v>42494</v>
      </c>
    </row>
    <row r="210" spans="1:7">
      <c r="A210" s="2" t="s">
        <v>1956</v>
      </c>
      <c r="B210" s="2" t="s">
        <v>2272</v>
      </c>
      <c r="C210" s="2" t="s">
        <v>2119</v>
      </c>
      <c r="D210" s="2">
        <v>1996</v>
      </c>
      <c r="E210" s="2" t="s">
        <v>2120</v>
      </c>
      <c r="F210" s="2" t="s">
        <v>2124</v>
      </c>
      <c r="G210" s="3">
        <v>42535</v>
      </c>
    </row>
    <row r="211" spans="1:7">
      <c r="A211" s="2" t="s">
        <v>190</v>
      </c>
      <c r="B211" s="2" t="s">
        <v>2331</v>
      </c>
      <c r="C211" s="2" t="s">
        <v>2123</v>
      </c>
      <c r="D211" s="2">
        <v>1984</v>
      </c>
      <c r="E211" s="2" t="s">
        <v>2120</v>
      </c>
      <c r="F211" s="2" t="s">
        <v>2121</v>
      </c>
      <c r="G211" s="3">
        <v>43019</v>
      </c>
    </row>
    <row r="212" spans="1:7">
      <c r="A212" s="2" t="s">
        <v>1075</v>
      </c>
      <c r="B212" s="2" t="s">
        <v>2332</v>
      </c>
      <c r="C212" s="2" t="s">
        <v>2123</v>
      </c>
      <c r="D212" s="2">
        <v>1989</v>
      </c>
      <c r="E212" s="2" t="s">
        <v>2136</v>
      </c>
      <c r="F212" s="2" t="s">
        <v>2121</v>
      </c>
      <c r="G212" s="3">
        <v>44885</v>
      </c>
    </row>
    <row r="213" spans="1:7">
      <c r="A213" s="2" t="s">
        <v>240</v>
      </c>
      <c r="B213" s="2" t="s">
        <v>2333</v>
      </c>
      <c r="C213" s="2" t="s">
        <v>2119</v>
      </c>
      <c r="D213" s="2">
        <v>1985</v>
      </c>
      <c r="E213" s="2" t="s">
        <v>2120</v>
      </c>
      <c r="F213" s="2" t="s">
        <v>2124</v>
      </c>
      <c r="G213" s="3">
        <v>40621</v>
      </c>
    </row>
    <row r="214" spans="1:7">
      <c r="A214" s="2" t="s">
        <v>2334</v>
      </c>
      <c r="B214" s="2" t="s">
        <v>2297</v>
      </c>
      <c r="C214" s="2" t="s">
        <v>2119</v>
      </c>
      <c r="D214" s="2">
        <v>1968</v>
      </c>
      <c r="E214" s="2" t="s">
        <v>2136</v>
      </c>
      <c r="F214" s="2" t="s">
        <v>2121</v>
      </c>
      <c r="G214" s="3">
        <v>44230</v>
      </c>
    </row>
    <row r="215" spans="1:7">
      <c r="A215" s="2" t="s">
        <v>1897</v>
      </c>
      <c r="B215" s="2" t="s">
        <v>2335</v>
      </c>
      <c r="C215" s="2" t="s">
        <v>2119</v>
      </c>
      <c r="D215" s="2">
        <v>1977</v>
      </c>
      <c r="E215" s="2" t="s">
        <v>2136</v>
      </c>
      <c r="F215" s="2" t="s">
        <v>2124</v>
      </c>
      <c r="G215" s="3">
        <v>41937</v>
      </c>
    </row>
    <row r="216" spans="1:7">
      <c r="A216" s="2" t="s">
        <v>372</v>
      </c>
      <c r="B216" s="2" t="s">
        <v>2336</v>
      </c>
      <c r="C216" s="2" t="s">
        <v>2123</v>
      </c>
      <c r="D216" s="2">
        <v>1972</v>
      </c>
      <c r="E216" s="2" t="s">
        <v>2136</v>
      </c>
      <c r="F216" s="2" t="s">
        <v>2121</v>
      </c>
      <c r="G216" s="3">
        <v>44195</v>
      </c>
    </row>
    <row r="217" spans="1:7">
      <c r="A217" s="2" t="s">
        <v>272</v>
      </c>
      <c r="B217" s="2" t="s">
        <v>2337</v>
      </c>
      <c r="C217" s="2" t="s">
        <v>2123</v>
      </c>
      <c r="D217" s="2">
        <v>1980</v>
      </c>
      <c r="E217" s="2" t="s">
        <v>2120</v>
      </c>
      <c r="F217" s="2" t="s">
        <v>2190</v>
      </c>
      <c r="G217" s="3">
        <v>40884</v>
      </c>
    </row>
    <row r="218" spans="1:7">
      <c r="A218" s="2" t="s">
        <v>1967</v>
      </c>
      <c r="B218" s="2" t="s">
        <v>2220</v>
      </c>
      <c r="C218" s="2" t="s">
        <v>2123</v>
      </c>
      <c r="D218" s="2">
        <v>1974</v>
      </c>
      <c r="E218" s="2" t="s">
        <v>2120</v>
      </c>
      <c r="F218" s="2" t="s">
        <v>2190</v>
      </c>
      <c r="G218" s="3">
        <v>44284</v>
      </c>
    </row>
    <row r="219" spans="1:7">
      <c r="A219" s="2" t="s">
        <v>1048</v>
      </c>
      <c r="B219" s="2" t="s">
        <v>2338</v>
      </c>
      <c r="C219" s="2" t="s">
        <v>2119</v>
      </c>
      <c r="D219" s="2">
        <v>1975</v>
      </c>
      <c r="E219" s="2" t="s">
        <v>2120</v>
      </c>
      <c r="F219" s="2" t="s">
        <v>2124</v>
      </c>
      <c r="G219" s="3">
        <v>45825</v>
      </c>
    </row>
    <row r="220" spans="1:7">
      <c r="A220" s="2" t="s">
        <v>1513</v>
      </c>
      <c r="B220" s="2" t="s">
        <v>2339</v>
      </c>
      <c r="C220" s="2" t="s">
        <v>2123</v>
      </c>
      <c r="D220" s="2">
        <v>1990</v>
      </c>
      <c r="E220" s="2" t="s">
        <v>2120</v>
      </c>
      <c r="F220" s="2" t="s">
        <v>2121</v>
      </c>
      <c r="G220" s="3">
        <v>43867</v>
      </c>
    </row>
    <row r="221" spans="1:7">
      <c r="A221" s="2" t="s">
        <v>809</v>
      </c>
      <c r="B221" s="2" t="s">
        <v>2340</v>
      </c>
      <c r="C221" s="2" t="s">
        <v>2119</v>
      </c>
      <c r="D221" s="2">
        <v>1986</v>
      </c>
      <c r="E221" s="2" t="s">
        <v>2136</v>
      </c>
      <c r="F221" s="2" t="s">
        <v>2124</v>
      </c>
      <c r="G221" s="3">
        <v>42071</v>
      </c>
    </row>
    <row r="222" spans="1:7">
      <c r="A222" s="2" t="s">
        <v>915</v>
      </c>
      <c r="B222" s="2" t="s">
        <v>2330</v>
      </c>
      <c r="C222" s="2" t="s">
        <v>2119</v>
      </c>
      <c r="D222" s="2">
        <v>1992</v>
      </c>
      <c r="E222" s="2" t="s">
        <v>2136</v>
      </c>
      <c r="F222" s="2" t="s">
        <v>2124</v>
      </c>
      <c r="G222" s="3">
        <v>42370</v>
      </c>
    </row>
    <row r="223" spans="1:7">
      <c r="A223" s="2" t="s">
        <v>435</v>
      </c>
      <c r="B223" s="2" t="s">
        <v>2161</v>
      </c>
      <c r="C223" s="2" t="s">
        <v>2123</v>
      </c>
      <c r="D223" s="2">
        <v>1972</v>
      </c>
      <c r="E223" s="2" t="s">
        <v>2120</v>
      </c>
      <c r="F223" s="2" t="s">
        <v>2124</v>
      </c>
      <c r="G223" s="3">
        <v>44456</v>
      </c>
    </row>
    <row r="224" spans="1:7">
      <c r="A224" s="2" t="s">
        <v>2341</v>
      </c>
      <c r="B224" s="2" t="s">
        <v>2252</v>
      </c>
      <c r="C224" s="2" t="s">
        <v>2123</v>
      </c>
      <c r="D224" s="2">
        <v>1980</v>
      </c>
      <c r="E224" s="2" t="s">
        <v>2120</v>
      </c>
      <c r="F224" s="2" t="s">
        <v>2190</v>
      </c>
      <c r="G224" s="3">
        <v>41012</v>
      </c>
    </row>
    <row r="225" spans="1:7">
      <c r="A225" s="2" t="s">
        <v>1096</v>
      </c>
      <c r="B225" s="2" t="s">
        <v>2342</v>
      </c>
      <c r="C225" s="2" t="s">
        <v>2123</v>
      </c>
      <c r="D225" s="2">
        <v>1982</v>
      </c>
      <c r="E225" s="2" t="s">
        <v>2136</v>
      </c>
      <c r="F225" s="2" t="s">
        <v>2121</v>
      </c>
      <c r="G225" s="3">
        <v>42615</v>
      </c>
    </row>
    <row r="226" spans="1:7">
      <c r="A226" s="2" t="s">
        <v>788</v>
      </c>
      <c r="B226" s="2" t="s">
        <v>2251</v>
      </c>
      <c r="C226" s="2" t="s">
        <v>2119</v>
      </c>
      <c r="D226" s="2">
        <v>1970</v>
      </c>
      <c r="E226" s="2" t="s">
        <v>2136</v>
      </c>
      <c r="F226" s="2" t="s">
        <v>2124</v>
      </c>
      <c r="G226" s="3">
        <v>43360</v>
      </c>
    </row>
    <row r="227" spans="1:7">
      <c r="A227" s="2" t="s">
        <v>1134</v>
      </c>
      <c r="B227" s="2" t="s">
        <v>2244</v>
      </c>
      <c r="C227" s="2" t="s">
        <v>2123</v>
      </c>
      <c r="D227" s="2">
        <v>1983</v>
      </c>
      <c r="E227" s="2" t="s">
        <v>2136</v>
      </c>
      <c r="F227" s="2" t="s">
        <v>2121</v>
      </c>
      <c r="G227" s="3">
        <v>44278</v>
      </c>
    </row>
    <row r="228" spans="1:7">
      <c r="A228" s="2" t="s">
        <v>896</v>
      </c>
      <c r="B228" s="2" t="s">
        <v>2130</v>
      </c>
      <c r="C228" s="2" t="s">
        <v>2119</v>
      </c>
      <c r="D228" s="2">
        <v>1958</v>
      </c>
      <c r="E228" s="2" t="s">
        <v>2120</v>
      </c>
      <c r="F228" s="2" t="s">
        <v>2121</v>
      </c>
      <c r="G228" s="3">
        <v>40224</v>
      </c>
    </row>
    <row r="229" spans="1:7">
      <c r="A229" s="2" t="s">
        <v>28</v>
      </c>
      <c r="B229" s="2" t="s">
        <v>2343</v>
      </c>
      <c r="C229" s="2" t="s">
        <v>2123</v>
      </c>
      <c r="D229" s="2">
        <v>1985</v>
      </c>
      <c r="E229" s="2" t="s">
        <v>2120</v>
      </c>
      <c r="F229" s="2" t="s">
        <v>2121</v>
      </c>
      <c r="G229" s="3">
        <v>43629</v>
      </c>
    </row>
    <row r="230" spans="1:7">
      <c r="A230" s="2" t="s">
        <v>1696</v>
      </c>
      <c r="B230" s="2" t="s">
        <v>2344</v>
      </c>
      <c r="C230" s="2" t="s">
        <v>2123</v>
      </c>
      <c r="D230" s="2">
        <v>1995</v>
      </c>
      <c r="E230" s="2" t="s">
        <v>2136</v>
      </c>
      <c r="F230" s="2" t="s">
        <v>2121</v>
      </c>
      <c r="G230" s="3">
        <v>45914</v>
      </c>
    </row>
    <row r="231" spans="1:7">
      <c r="A231" s="2" t="s">
        <v>274</v>
      </c>
      <c r="B231" s="2" t="s">
        <v>2345</v>
      </c>
      <c r="C231" s="2" t="s">
        <v>2123</v>
      </c>
      <c r="D231" s="2">
        <v>1973</v>
      </c>
      <c r="E231" s="2" t="s">
        <v>2120</v>
      </c>
      <c r="F231" s="2" t="s">
        <v>2124</v>
      </c>
      <c r="G231" s="3">
        <v>42307</v>
      </c>
    </row>
    <row r="232" spans="1:7">
      <c r="A232" s="2" t="s">
        <v>1363</v>
      </c>
      <c r="B232" s="2" t="s">
        <v>2171</v>
      </c>
      <c r="C232" s="2" t="s">
        <v>2123</v>
      </c>
      <c r="D232" s="2">
        <v>1976</v>
      </c>
      <c r="E232" s="2" t="s">
        <v>2120</v>
      </c>
      <c r="F232" s="2" t="s">
        <v>2121</v>
      </c>
      <c r="G232" s="3">
        <v>41460</v>
      </c>
    </row>
    <row r="233" spans="1:7">
      <c r="A233" s="2" t="s">
        <v>331</v>
      </c>
      <c r="B233" s="2" t="s">
        <v>2184</v>
      </c>
      <c r="C233" s="2" t="s">
        <v>2119</v>
      </c>
      <c r="D233" s="2">
        <v>1985</v>
      </c>
      <c r="E233" s="2" t="s">
        <v>2120</v>
      </c>
      <c r="F233" s="2" t="s">
        <v>2124</v>
      </c>
      <c r="G233" s="3">
        <v>45710</v>
      </c>
    </row>
    <row r="234" spans="1:7">
      <c r="A234" s="2" t="s">
        <v>2346</v>
      </c>
      <c r="B234" s="2" t="s">
        <v>2347</v>
      </c>
      <c r="C234" s="2" t="s">
        <v>2123</v>
      </c>
      <c r="D234" s="2">
        <v>1980</v>
      </c>
      <c r="E234" s="2" t="s">
        <v>2120</v>
      </c>
      <c r="F234" s="2" t="s">
        <v>2121</v>
      </c>
      <c r="G234" s="3">
        <v>41050</v>
      </c>
    </row>
    <row r="235" spans="1:7">
      <c r="A235" s="2" t="s">
        <v>975</v>
      </c>
      <c r="B235" s="2" t="s">
        <v>2348</v>
      </c>
      <c r="C235" s="2" t="s">
        <v>2119</v>
      </c>
      <c r="D235" s="2">
        <v>1975</v>
      </c>
      <c r="E235" s="2" t="s">
        <v>2136</v>
      </c>
      <c r="F235" s="2" t="s">
        <v>2190</v>
      </c>
      <c r="G235" s="3">
        <v>41815</v>
      </c>
    </row>
    <row r="236" spans="1:7">
      <c r="A236" s="2" t="s">
        <v>1168</v>
      </c>
      <c r="B236" s="2" t="s">
        <v>2300</v>
      </c>
      <c r="C236" s="2" t="s">
        <v>2119</v>
      </c>
      <c r="D236" s="2">
        <v>1999</v>
      </c>
      <c r="E236" s="2" t="s">
        <v>2120</v>
      </c>
      <c r="F236" s="2" t="s">
        <v>2124</v>
      </c>
      <c r="G236" s="3">
        <v>44076</v>
      </c>
    </row>
    <row r="237" spans="1:7">
      <c r="A237" s="2" t="s">
        <v>623</v>
      </c>
      <c r="B237" s="2" t="s">
        <v>2349</v>
      </c>
      <c r="C237" s="2" t="s">
        <v>2123</v>
      </c>
      <c r="D237" s="2">
        <v>1997</v>
      </c>
      <c r="E237" s="2" t="s">
        <v>2120</v>
      </c>
      <c r="F237" s="2" t="s">
        <v>2124</v>
      </c>
      <c r="G237" s="3">
        <v>43922</v>
      </c>
    </row>
    <row r="238" spans="1:7">
      <c r="A238" s="2" t="s">
        <v>1997</v>
      </c>
      <c r="B238" s="2" t="s">
        <v>2229</v>
      </c>
      <c r="C238" s="2" t="s">
        <v>2123</v>
      </c>
      <c r="D238" s="2">
        <v>1987</v>
      </c>
      <c r="E238" s="2" t="s">
        <v>2136</v>
      </c>
      <c r="F238" s="2" t="s">
        <v>2121</v>
      </c>
      <c r="G238" s="3">
        <v>45208</v>
      </c>
    </row>
    <row r="239" spans="1:7">
      <c r="A239" s="2" t="s">
        <v>1759</v>
      </c>
      <c r="B239" s="2" t="s">
        <v>2173</v>
      </c>
      <c r="C239" s="2" t="s">
        <v>2123</v>
      </c>
      <c r="D239" s="2">
        <v>1977</v>
      </c>
      <c r="E239" s="2" t="s">
        <v>2120</v>
      </c>
      <c r="F239" s="2" t="s">
        <v>2124</v>
      </c>
      <c r="G239" s="3">
        <v>43608</v>
      </c>
    </row>
    <row r="240" spans="1:7">
      <c r="A240" s="2" t="s">
        <v>2350</v>
      </c>
      <c r="B240" s="2" t="s">
        <v>2351</v>
      </c>
      <c r="C240" s="2" t="s">
        <v>2119</v>
      </c>
      <c r="D240" s="2">
        <v>1977</v>
      </c>
      <c r="E240" s="2" t="s">
        <v>2120</v>
      </c>
      <c r="F240" s="2" t="s">
        <v>2121</v>
      </c>
      <c r="G240" s="3">
        <v>44496</v>
      </c>
    </row>
    <row r="241" spans="1:7">
      <c r="A241" s="2" t="s">
        <v>1026</v>
      </c>
      <c r="B241" s="2" t="s">
        <v>2352</v>
      </c>
      <c r="C241" s="2" t="s">
        <v>2119</v>
      </c>
      <c r="D241" s="2">
        <v>1974</v>
      </c>
      <c r="E241" s="2" t="s">
        <v>2120</v>
      </c>
      <c r="F241" s="2" t="s">
        <v>2121</v>
      </c>
      <c r="G241" s="3">
        <v>45375</v>
      </c>
    </row>
    <row r="242" spans="1:7">
      <c r="A242" s="2" t="s">
        <v>828</v>
      </c>
      <c r="B242" s="2" t="s">
        <v>2353</v>
      </c>
      <c r="C242" s="2" t="s">
        <v>2119</v>
      </c>
      <c r="D242" s="2">
        <v>1989</v>
      </c>
      <c r="E242" s="2" t="s">
        <v>2120</v>
      </c>
      <c r="F242" s="2" t="s">
        <v>2190</v>
      </c>
      <c r="G242" s="3">
        <v>43071</v>
      </c>
    </row>
    <row r="243" spans="1:7">
      <c r="A243" s="2" t="s">
        <v>1622</v>
      </c>
      <c r="B243" s="2" t="s">
        <v>2238</v>
      </c>
      <c r="C243" s="2" t="s">
        <v>2119</v>
      </c>
      <c r="D243" s="2">
        <v>2004</v>
      </c>
      <c r="E243" s="2" t="s">
        <v>2136</v>
      </c>
      <c r="F243" s="2" t="s">
        <v>2121</v>
      </c>
      <c r="G243" s="3">
        <v>44024</v>
      </c>
    </row>
    <row r="244" spans="1:7">
      <c r="A244" s="2" t="s">
        <v>350</v>
      </c>
      <c r="B244" s="2" t="s">
        <v>2354</v>
      </c>
      <c r="C244" s="2" t="s">
        <v>2123</v>
      </c>
      <c r="D244" s="2">
        <v>1994</v>
      </c>
      <c r="E244" s="2" t="s">
        <v>2136</v>
      </c>
      <c r="F244" s="2" t="s">
        <v>2190</v>
      </c>
      <c r="G244" s="3">
        <v>45739</v>
      </c>
    </row>
    <row r="245" spans="1:7">
      <c r="A245" s="2" t="s">
        <v>1246</v>
      </c>
      <c r="B245" s="2" t="s">
        <v>2259</v>
      </c>
      <c r="C245" s="2" t="s">
        <v>2119</v>
      </c>
      <c r="D245" s="2">
        <v>1998</v>
      </c>
      <c r="E245" s="2" t="s">
        <v>2136</v>
      </c>
      <c r="F245" s="2" t="s">
        <v>2124</v>
      </c>
      <c r="G245" s="3">
        <v>45539</v>
      </c>
    </row>
    <row r="246" spans="1:7">
      <c r="A246" s="2" t="s">
        <v>746</v>
      </c>
      <c r="B246" s="2" t="s">
        <v>2355</v>
      </c>
      <c r="C246" s="2" t="s">
        <v>2119</v>
      </c>
      <c r="D246" s="2">
        <v>1986</v>
      </c>
      <c r="E246" s="2" t="s">
        <v>2120</v>
      </c>
      <c r="F246" s="2" t="s">
        <v>2124</v>
      </c>
      <c r="G246" s="3">
        <v>43148</v>
      </c>
    </row>
    <row r="247" spans="1:7">
      <c r="A247" s="2" t="s">
        <v>164</v>
      </c>
      <c r="B247" s="2" t="s">
        <v>2356</v>
      </c>
      <c r="C247" s="2" t="s">
        <v>2119</v>
      </c>
      <c r="D247" s="2">
        <v>1962</v>
      </c>
      <c r="E247" s="2" t="s">
        <v>2136</v>
      </c>
      <c r="F247" s="2" t="s">
        <v>2190</v>
      </c>
      <c r="G247" s="3">
        <v>41329</v>
      </c>
    </row>
    <row r="248" spans="1:7">
      <c r="A248" s="2" t="s">
        <v>2357</v>
      </c>
      <c r="B248" s="2" t="s">
        <v>2353</v>
      </c>
      <c r="C248" s="2" t="s">
        <v>2119</v>
      </c>
      <c r="D248" s="2">
        <v>1990</v>
      </c>
      <c r="E248" s="2" t="s">
        <v>2120</v>
      </c>
      <c r="F248" s="2" t="s">
        <v>2124</v>
      </c>
      <c r="G248" s="3">
        <v>40768</v>
      </c>
    </row>
    <row r="249" spans="1:7">
      <c r="A249" s="2" t="s">
        <v>951</v>
      </c>
      <c r="B249" s="2" t="s">
        <v>2358</v>
      </c>
      <c r="C249" s="2" t="s">
        <v>2119</v>
      </c>
      <c r="D249" s="2">
        <v>1991</v>
      </c>
      <c r="E249" s="2" t="s">
        <v>2120</v>
      </c>
      <c r="F249" s="2" t="s">
        <v>2121</v>
      </c>
      <c r="G249" s="3">
        <v>41699</v>
      </c>
    </row>
    <row r="250" spans="1:7">
      <c r="A250" s="2" t="s">
        <v>560</v>
      </c>
      <c r="B250" s="2" t="s">
        <v>2359</v>
      </c>
      <c r="C250" s="2" t="s">
        <v>2119</v>
      </c>
      <c r="D250" s="2">
        <v>1997</v>
      </c>
      <c r="E250" s="2" t="s">
        <v>2120</v>
      </c>
      <c r="F250" s="2" t="s">
        <v>2124</v>
      </c>
      <c r="G250" s="3">
        <v>44557</v>
      </c>
    </row>
    <row r="251" spans="1:7">
      <c r="A251" s="2" t="s">
        <v>689</v>
      </c>
      <c r="B251" s="2" t="s">
        <v>2349</v>
      </c>
      <c r="C251" s="2" t="s">
        <v>2123</v>
      </c>
      <c r="D251" s="2">
        <v>2001</v>
      </c>
      <c r="E251" s="2" t="s">
        <v>2120</v>
      </c>
      <c r="F251" s="2" t="s">
        <v>2121</v>
      </c>
      <c r="G251" s="3">
        <v>42612</v>
      </c>
    </row>
    <row r="252" spans="1:7">
      <c r="A252" s="2" t="s">
        <v>286</v>
      </c>
      <c r="B252" s="2" t="s">
        <v>2315</v>
      </c>
      <c r="C252" s="2" t="s">
        <v>2119</v>
      </c>
      <c r="D252" s="2">
        <v>1974</v>
      </c>
      <c r="E252" s="2" t="s">
        <v>2120</v>
      </c>
      <c r="F252" s="2" t="s">
        <v>2121</v>
      </c>
      <c r="G252" s="3">
        <v>45677</v>
      </c>
    </row>
    <row r="253" spans="1:7">
      <c r="A253" s="2" t="s">
        <v>2360</v>
      </c>
      <c r="B253" s="2" t="s">
        <v>2234</v>
      </c>
      <c r="C253" s="2" t="s">
        <v>2123</v>
      </c>
      <c r="D253" s="2">
        <v>1984</v>
      </c>
      <c r="E253" s="2" t="s">
        <v>2136</v>
      </c>
      <c r="F253" s="2" t="s">
        <v>2124</v>
      </c>
      <c r="G253" s="3">
        <v>44743</v>
      </c>
    </row>
    <row r="254" spans="1:7">
      <c r="A254" s="2" t="s">
        <v>282</v>
      </c>
      <c r="B254" s="2" t="s">
        <v>2361</v>
      </c>
      <c r="C254" s="2" t="s">
        <v>2119</v>
      </c>
      <c r="D254" s="2">
        <v>2001</v>
      </c>
      <c r="E254" s="2" t="s">
        <v>2136</v>
      </c>
      <c r="F254" s="2" t="s">
        <v>2124</v>
      </c>
      <c r="G254" s="3">
        <v>41527</v>
      </c>
    </row>
    <row r="255" spans="1:7">
      <c r="A255" s="2" t="s">
        <v>2362</v>
      </c>
      <c r="B255" s="2" t="s">
        <v>2363</v>
      </c>
      <c r="C255" s="2" t="s">
        <v>2123</v>
      </c>
      <c r="D255" s="2">
        <v>1999</v>
      </c>
      <c r="E255" s="2" t="s">
        <v>2120</v>
      </c>
      <c r="F255" s="2" t="s">
        <v>2124</v>
      </c>
      <c r="G255" s="3">
        <v>45629</v>
      </c>
    </row>
    <row r="256" spans="1:7">
      <c r="A256" s="2" t="s">
        <v>2364</v>
      </c>
      <c r="B256" s="2" t="s">
        <v>2365</v>
      </c>
      <c r="C256" s="2" t="s">
        <v>2119</v>
      </c>
      <c r="D256" s="2">
        <v>1984</v>
      </c>
      <c r="E256" s="2" t="s">
        <v>2136</v>
      </c>
      <c r="F256" s="2" t="s">
        <v>2121</v>
      </c>
      <c r="G256" s="3">
        <v>41657</v>
      </c>
    </row>
    <row r="257" spans="1:7">
      <c r="A257" s="2" t="s">
        <v>299</v>
      </c>
      <c r="B257" s="2" t="s">
        <v>2338</v>
      </c>
      <c r="C257" s="2" t="s">
        <v>2119</v>
      </c>
      <c r="D257" s="2">
        <v>1992</v>
      </c>
      <c r="E257" s="2" t="s">
        <v>2120</v>
      </c>
      <c r="F257" s="2" t="s">
        <v>2124</v>
      </c>
      <c r="G257" s="3">
        <v>42886</v>
      </c>
    </row>
    <row r="258" spans="1:7">
      <c r="A258" s="2" t="s">
        <v>2366</v>
      </c>
      <c r="B258" s="2" t="s">
        <v>2367</v>
      </c>
      <c r="C258" s="2" t="s">
        <v>2123</v>
      </c>
      <c r="D258" s="2">
        <v>1986</v>
      </c>
      <c r="E258" s="2" t="s">
        <v>2136</v>
      </c>
      <c r="F258" s="2" t="s">
        <v>2124</v>
      </c>
      <c r="G258" s="3">
        <v>41926</v>
      </c>
    </row>
    <row r="259" spans="1:7">
      <c r="A259" s="2" t="s">
        <v>2368</v>
      </c>
      <c r="B259" s="2" t="s">
        <v>2369</v>
      </c>
      <c r="C259" s="2" t="s">
        <v>2119</v>
      </c>
      <c r="D259" s="2">
        <v>1970</v>
      </c>
      <c r="E259" s="2" t="s">
        <v>2120</v>
      </c>
      <c r="F259" s="2" t="s">
        <v>2121</v>
      </c>
      <c r="G259" s="3">
        <v>42975</v>
      </c>
    </row>
    <row r="260" spans="1:7">
      <c r="A260" s="2" t="s">
        <v>613</v>
      </c>
      <c r="B260" s="2" t="s">
        <v>2198</v>
      </c>
      <c r="C260" s="2" t="s">
        <v>2123</v>
      </c>
      <c r="D260" s="2">
        <v>1985</v>
      </c>
      <c r="E260" s="2" t="s">
        <v>2120</v>
      </c>
      <c r="F260" s="2" t="s">
        <v>2124</v>
      </c>
      <c r="G260" s="3">
        <v>42547</v>
      </c>
    </row>
    <row r="261" spans="1:7">
      <c r="A261" s="2" t="s">
        <v>2108</v>
      </c>
      <c r="B261" s="2" t="s">
        <v>2238</v>
      </c>
      <c r="C261" s="2" t="s">
        <v>2119</v>
      </c>
      <c r="D261" s="2">
        <v>1983</v>
      </c>
      <c r="E261" s="2" t="s">
        <v>2120</v>
      </c>
      <c r="F261" s="2" t="s">
        <v>2124</v>
      </c>
      <c r="G261" s="3">
        <v>44327</v>
      </c>
    </row>
    <row r="262" spans="1:7">
      <c r="A262" s="2" t="s">
        <v>638</v>
      </c>
      <c r="B262" s="2" t="s">
        <v>2235</v>
      </c>
      <c r="C262" s="2" t="s">
        <v>2123</v>
      </c>
      <c r="D262" s="2">
        <v>1987</v>
      </c>
      <c r="E262" s="2" t="s">
        <v>2120</v>
      </c>
      <c r="F262" s="2" t="s">
        <v>2124</v>
      </c>
      <c r="G262" s="3">
        <v>42630</v>
      </c>
    </row>
    <row r="263" spans="1:7">
      <c r="A263" s="2" t="s">
        <v>2370</v>
      </c>
      <c r="B263" s="2" t="s">
        <v>2158</v>
      </c>
      <c r="C263" s="2" t="s">
        <v>2123</v>
      </c>
      <c r="D263" s="2">
        <v>2004</v>
      </c>
      <c r="E263" s="2" t="s">
        <v>2120</v>
      </c>
      <c r="F263" s="2" t="s">
        <v>2124</v>
      </c>
      <c r="G263" s="3">
        <v>43505</v>
      </c>
    </row>
    <row r="264" spans="1:7">
      <c r="A264" s="2" t="s">
        <v>856</v>
      </c>
      <c r="B264" s="2" t="s">
        <v>2371</v>
      </c>
      <c r="C264" s="2" t="s">
        <v>2123</v>
      </c>
      <c r="D264" s="2">
        <v>1979</v>
      </c>
      <c r="E264" s="2" t="s">
        <v>2120</v>
      </c>
      <c r="F264" s="2" t="s">
        <v>2124</v>
      </c>
      <c r="G264" s="3">
        <v>44070</v>
      </c>
    </row>
    <row r="265" spans="1:7">
      <c r="A265" s="2" t="s">
        <v>2372</v>
      </c>
      <c r="B265" s="2" t="s">
        <v>2373</v>
      </c>
      <c r="C265" s="2" t="s">
        <v>2123</v>
      </c>
      <c r="D265" s="2">
        <v>1987</v>
      </c>
      <c r="E265" s="2" t="s">
        <v>2120</v>
      </c>
      <c r="F265" s="2" t="s">
        <v>2124</v>
      </c>
      <c r="G265" s="3">
        <v>41383</v>
      </c>
    </row>
    <row r="266" spans="1:7">
      <c r="A266" s="2" t="s">
        <v>2374</v>
      </c>
      <c r="B266" s="2" t="s">
        <v>2217</v>
      </c>
      <c r="C266" s="2" t="s">
        <v>2123</v>
      </c>
      <c r="D266" s="2">
        <v>1960</v>
      </c>
      <c r="E266" s="2" t="s">
        <v>2120</v>
      </c>
      <c r="F266" s="2" t="s">
        <v>2121</v>
      </c>
      <c r="G266" s="3">
        <v>41603</v>
      </c>
    </row>
    <row r="267" spans="1:7">
      <c r="A267" s="2" t="s">
        <v>1213</v>
      </c>
      <c r="B267" s="2" t="s">
        <v>2375</v>
      </c>
      <c r="C267" s="2" t="s">
        <v>2123</v>
      </c>
      <c r="D267" s="2">
        <v>1960</v>
      </c>
      <c r="E267" s="2" t="s">
        <v>2136</v>
      </c>
      <c r="F267" s="2" t="s">
        <v>2190</v>
      </c>
      <c r="G267" s="3">
        <v>45550</v>
      </c>
    </row>
    <row r="268" spans="1:7">
      <c r="A268" s="2" t="s">
        <v>460</v>
      </c>
      <c r="B268" s="2" t="s">
        <v>2340</v>
      </c>
      <c r="C268" s="2" t="s">
        <v>2119</v>
      </c>
      <c r="D268" s="2">
        <v>1997</v>
      </c>
      <c r="E268" s="2" t="s">
        <v>2120</v>
      </c>
      <c r="F268" s="2" t="s">
        <v>2124</v>
      </c>
      <c r="G268" s="3">
        <v>42653</v>
      </c>
    </row>
    <row r="269" spans="1:7">
      <c r="A269" s="2" t="s">
        <v>1547</v>
      </c>
      <c r="B269" s="2" t="s">
        <v>2376</v>
      </c>
      <c r="C269" s="2" t="s">
        <v>2119</v>
      </c>
      <c r="D269" s="2">
        <v>1979</v>
      </c>
      <c r="E269" s="2" t="s">
        <v>2120</v>
      </c>
      <c r="F269" s="2" t="s">
        <v>2121</v>
      </c>
      <c r="G269" s="3">
        <v>40626</v>
      </c>
    </row>
    <row r="270" spans="1:7">
      <c r="A270" s="2" t="s">
        <v>1612</v>
      </c>
      <c r="B270" s="2" t="s">
        <v>2377</v>
      </c>
      <c r="C270" s="2" t="s">
        <v>2123</v>
      </c>
      <c r="D270" s="2">
        <v>1970</v>
      </c>
      <c r="E270" s="2" t="s">
        <v>2136</v>
      </c>
      <c r="F270" s="2" t="s">
        <v>2124</v>
      </c>
      <c r="G270" s="3">
        <v>43493</v>
      </c>
    </row>
    <row r="271" spans="1:7">
      <c r="A271" s="2" t="s">
        <v>2378</v>
      </c>
      <c r="B271" s="2" t="s">
        <v>2287</v>
      </c>
      <c r="C271" s="2" t="s">
        <v>2123</v>
      </c>
      <c r="D271" s="2">
        <v>1993</v>
      </c>
      <c r="E271" s="2" t="s">
        <v>2120</v>
      </c>
      <c r="F271" s="2" t="s">
        <v>2190</v>
      </c>
      <c r="G271" s="3">
        <v>45580</v>
      </c>
    </row>
    <row r="272" spans="1:7">
      <c r="A272" s="2" t="s">
        <v>1948</v>
      </c>
      <c r="B272" s="2" t="s">
        <v>2204</v>
      </c>
      <c r="C272" s="2" t="s">
        <v>2119</v>
      </c>
      <c r="D272" s="2">
        <v>1989</v>
      </c>
      <c r="E272" s="2" t="s">
        <v>2120</v>
      </c>
      <c r="F272" s="2" t="s">
        <v>2124</v>
      </c>
      <c r="G272" s="3">
        <v>41422</v>
      </c>
    </row>
    <row r="273" spans="1:7">
      <c r="A273" s="2" t="s">
        <v>748</v>
      </c>
      <c r="B273" s="2" t="s">
        <v>2379</v>
      </c>
      <c r="C273" s="2" t="s">
        <v>2123</v>
      </c>
      <c r="D273" s="2">
        <v>1955</v>
      </c>
      <c r="E273" s="2" t="s">
        <v>2136</v>
      </c>
      <c r="F273" s="2" t="s">
        <v>2124</v>
      </c>
      <c r="G273" s="3">
        <v>40901</v>
      </c>
    </row>
    <row r="274" spans="1:7">
      <c r="A274" s="2" t="s">
        <v>2010</v>
      </c>
      <c r="B274" s="2" t="s">
        <v>2228</v>
      </c>
      <c r="C274" s="2" t="s">
        <v>2123</v>
      </c>
      <c r="D274" s="2">
        <v>1986</v>
      </c>
      <c r="E274" s="2" t="s">
        <v>2120</v>
      </c>
      <c r="F274" s="2" t="s">
        <v>2124</v>
      </c>
      <c r="G274" s="3">
        <v>43871</v>
      </c>
    </row>
    <row r="275" spans="1:7">
      <c r="A275" s="2" t="s">
        <v>1254</v>
      </c>
      <c r="B275" s="2" t="s">
        <v>2170</v>
      </c>
      <c r="C275" s="2" t="s">
        <v>2123</v>
      </c>
      <c r="D275" s="2">
        <v>1982</v>
      </c>
      <c r="E275" s="2" t="s">
        <v>2136</v>
      </c>
      <c r="F275" s="2" t="s">
        <v>2121</v>
      </c>
      <c r="G275" s="3">
        <v>41365</v>
      </c>
    </row>
    <row r="276" spans="1:7">
      <c r="A276" s="2" t="s">
        <v>773</v>
      </c>
      <c r="B276" s="2" t="s">
        <v>2234</v>
      </c>
      <c r="C276" s="2" t="s">
        <v>2123</v>
      </c>
      <c r="D276" s="2">
        <v>1992</v>
      </c>
      <c r="E276" s="2" t="s">
        <v>2136</v>
      </c>
      <c r="F276" s="2" t="s">
        <v>2124</v>
      </c>
      <c r="G276" s="3">
        <v>42260</v>
      </c>
    </row>
    <row r="277" spans="1:7">
      <c r="A277" s="2" t="s">
        <v>2380</v>
      </c>
      <c r="B277" s="2" t="s">
        <v>2381</v>
      </c>
      <c r="C277" s="2" t="s">
        <v>2123</v>
      </c>
      <c r="D277" s="2">
        <v>1963</v>
      </c>
      <c r="E277" s="2" t="s">
        <v>2136</v>
      </c>
      <c r="F277" s="2" t="s">
        <v>2121</v>
      </c>
      <c r="G277" s="3">
        <v>45243</v>
      </c>
    </row>
    <row r="278" spans="1:7">
      <c r="A278" s="2" t="s">
        <v>2382</v>
      </c>
      <c r="B278" s="2" t="s">
        <v>2225</v>
      </c>
      <c r="C278" s="2" t="s">
        <v>2119</v>
      </c>
      <c r="D278" s="2">
        <v>1979</v>
      </c>
      <c r="E278" s="2" t="s">
        <v>2120</v>
      </c>
      <c r="F278" s="2" t="s">
        <v>2190</v>
      </c>
      <c r="G278" s="3">
        <v>44163</v>
      </c>
    </row>
    <row r="279" spans="1:7">
      <c r="A279" s="2" t="s">
        <v>168</v>
      </c>
      <c r="B279" s="2" t="s">
        <v>2220</v>
      </c>
      <c r="C279" s="2" t="s">
        <v>2123</v>
      </c>
      <c r="D279" s="2">
        <v>1982</v>
      </c>
      <c r="E279" s="2" t="s">
        <v>2120</v>
      </c>
      <c r="F279" s="2" t="s">
        <v>2124</v>
      </c>
      <c r="G279" s="3">
        <v>45723</v>
      </c>
    </row>
    <row r="280" spans="1:7">
      <c r="A280" s="2" t="s">
        <v>1199</v>
      </c>
      <c r="B280" s="2" t="s">
        <v>2331</v>
      </c>
      <c r="C280" s="2" t="s">
        <v>2123</v>
      </c>
      <c r="D280" s="2">
        <v>1970</v>
      </c>
      <c r="E280" s="2" t="s">
        <v>2136</v>
      </c>
      <c r="F280" s="2" t="s">
        <v>2124</v>
      </c>
      <c r="G280" s="3">
        <v>43602</v>
      </c>
    </row>
    <row r="281" spans="1:7">
      <c r="A281" s="2" t="s">
        <v>2383</v>
      </c>
      <c r="B281" s="2" t="s">
        <v>2330</v>
      </c>
      <c r="C281" s="2" t="s">
        <v>2119</v>
      </c>
      <c r="D281" s="2">
        <v>2003</v>
      </c>
      <c r="E281" s="2" t="s">
        <v>2136</v>
      </c>
      <c r="F281" s="2" t="s">
        <v>2124</v>
      </c>
      <c r="G281" s="3">
        <v>42574</v>
      </c>
    </row>
    <row r="282" spans="1:7">
      <c r="A282" s="2" t="s">
        <v>877</v>
      </c>
      <c r="B282" s="2" t="s">
        <v>2126</v>
      </c>
      <c r="C282" s="2" t="s">
        <v>2123</v>
      </c>
      <c r="D282" s="2">
        <v>2004</v>
      </c>
      <c r="E282" s="2" t="s">
        <v>2136</v>
      </c>
      <c r="F282" s="2" t="s">
        <v>2121</v>
      </c>
      <c r="G282" s="3">
        <v>42899</v>
      </c>
    </row>
    <row r="283" spans="1:7">
      <c r="A283" s="2" t="s">
        <v>252</v>
      </c>
      <c r="B283" s="2" t="s">
        <v>2384</v>
      </c>
      <c r="C283" s="2" t="s">
        <v>2123</v>
      </c>
      <c r="D283" s="2">
        <v>1972</v>
      </c>
      <c r="E283" s="2" t="s">
        <v>2136</v>
      </c>
      <c r="F283" s="2" t="s">
        <v>2124</v>
      </c>
      <c r="G283" s="3">
        <v>42195</v>
      </c>
    </row>
    <row r="284" spans="1:7">
      <c r="A284" s="2" t="s">
        <v>507</v>
      </c>
      <c r="B284" s="2" t="s">
        <v>2385</v>
      </c>
      <c r="C284" s="2" t="s">
        <v>2119</v>
      </c>
      <c r="D284" s="2">
        <v>1982</v>
      </c>
      <c r="E284" s="2" t="s">
        <v>2136</v>
      </c>
      <c r="F284" s="2" t="s">
        <v>2124</v>
      </c>
      <c r="G284" s="3">
        <v>43875</v>
      </c>
    </row>
    <row r="285" spans="1:7">
      <c r="A285" s="2" t="s">
        <v>1252</v>
      </c>
      <c r="B285" s="2" t="s">
        <v>2386</v>
      </c>
      <c r="C285" s="2" t="s">
        <v>2123</v>
      </c>
      <c r="D285" s="2">
        <v>1977</v>
      </c>
      <c r="E285" s="2" t="s">
        <v>2120</v>
      </c>
      <c r="F285" s="2" t="s">
        <v>2124</v>
      </c>
      <c r="G285" s="3">
        <v>40525</v>
      </c>
    </row>
    <row r="286" spans="1:7">
      <c r="A286" s="2" t="s">
        <v>940</v>
      </c>
      <c r="B286" s="2" t="s">
        <v>2373</v>
      </c>
      <c r="C286" s="2" t="s">
        <v>2123</v>
      </c>
      <c r="D286" s="2">
        <v>2001</v>
      </c>
      <c r="E286" s="2" t="s">
        <v>2136</v>
      </c>
      <c r="F286" s="2" t="s">
        <v>2124</v>
      </c>
      <c r="G286" s="3">
        <v>44666</v>
      </c>
    </row>
    <row r="287" spans="1:7">
      <c r="A287" s="2" t="s">
        <v>192</v>
      </c>
      <c r="B287" s="2" t="s">
        <v>2303</v>
      </c>
      <c r="C287" s="2" t="s">
        <v>2119</v>
      </c>
      <c r="D287" s="2">
        <v>1988</v>
      </c>
      <c r="E287" s="2" t="s">
        <v>2120</v>
      </c>
      <c r="F287" s="2" t="s">
        <v>2124</v>
      </c>
      <c r="G287" s="3">
        <v>43306</v>
      </c>
    </row>
    <row r="288" spans="1:7">
      <c r="A288" s="2" t="s">
        <v>1131</v>
      </c>
      <c r="B288" s="2" t="s">
        <v>2198</v>
      </c>
      <c r="C288" s="2" t="s">
        <v>2123</v>
      </c>
      <c r="D288" s="2">
        <v>1991</v>
      </c>
      <c r="E288" s="2" t="s">
        <v>2120</v>
      </c>
      <c r="F288" s="2" t="s">
        <v>2124</v>
      </c>
      <c r="G288" s="3">
        <v>41871</v>
      </c>
    </row>
    <row r="289" spans="1:7">
      <c r="A289" s="2" t="s">
        <v>2387</v>
      </c>
      <c r="B289" s="2" t="s">
        <v>2388</v>
      </c>
      <c r="C289" s="2" t="s">
        <v>2123</v>
      </c>
      <c r="D289" s="2">
        <v>1982</v>
      </c>
      <c r="E289" s="2" t="s">
        <v>2120</v>
      </c>
      <c r="F289" s="2" t="s">
        <v>2124</v>
      </c>
      <c r="G289" s="3">
        <v>43088</v>
      </c>
    </row>
    <row r="290" spans="1:7">
      <c r="A290" s="2" t="s">
        <v>1877</v>
      </c>
      <c r="B290" s="2" t="s">
        <v>2389</v>
      </c>
      <c r="C290" s="2" t="s">
        <v>2123</v>
      </c>
      <c r="D290" s="2">
        <v>1983</v>
      </c>
      <c r="E290" s="2" t="s">
        <v>2120</v>
      </c>
      <c r="F290" s="2" t="s">
        <v>2124</v>
      </c>
      <c r="G290" s="3">
        <v>44454</v>
      </c>
    </row>
    <row r="291" spans="1:7">
      <c r="A291" s="2" t="s">
        <v>156</v>
      </c>
      <c r="B291" s="2" t="s">
        <v>2176</v>
      </c>
      <c r="C291" s="2" t="s">
        <v>2119</v>
      </c>
      <c r="D291" s="2">
        <v>1990</v>
      </c>
      <c r="E291" s="2" t="s">
        <v>2120</v>
      </c>
      <c r="F291" s="2" t="s">
        <v>2124</v>
      </c>
      <c r="G291" s="3">
        <v>41659</v>
      </c>
    </row>
    <row r="292" spans="1:7">
      <c r="A292" s="2" t="s">
        <v>1671</v>
      </c>
      <c r="B292" s="2" t="s">
        <v>2303</v>
      </c>
      <c r="C292" s="2" t="s">
        <v>2119</v>
      </c>
      <c r="D292" s="2">
        <v>1990</v>
      </c>
      <c r="E292" s="2" t="s">
        <v>2120</v>
      </c>
      <c r="F292" s="2" t="s">
        <v>2121</v>
      </c>
      <c r="G292" s="3">
        <v>41399</v>
      </c>
    </row>
    <row r="293" spans="1:7">
      <c r="A293" s="2" t="s">
        <v>2390</v>
      </c>
      <c r="B293" s="2" t="s">
        <v>2391</v>
      </c>
      <c r="C293" s="2" t="s">
        <v>2123</v>
      </c>
      <c r="D293" s="2">
        <v>1982</v>
      </c>
      <c r="E293" s="2" t="s">
        <v>2120</v>
      </c>
      <c r="F293" s="2" t="s">
        <v>2121</v>
      </c>
      <c r="G293" s="3">
        <v>40848</v>
      </c>
    </row>
    <row r="294" spans="1:7">
      <c r="A294" s="2" t="s">
        <v>2392</v>
      </c>
      <c r="B294" s="2" t="s">
        <v>2310</v>
      </c>
      <c r="C294" s="2" t="s">
        <v>2119</v>
      </c>
      <c r="D294" s="2">
        <v>1959</v>
      </c>
      <c r="E294" s="2" t="s">
        <v>2120</v>
      </c>
      <c r="F294" s="2" t="s">
        <v>2121</v>
      </c>
      <c r="G294" s="3">
        <v>40949</v>
      </c>
    </row>
    <row r="295" spans="1:7">
      <c r="A295" s="2" t="s">
        <v>39</v>
      </c>
      <c r="B295" s="2" t="s">
        <v>2393</v>
      </c>
      <c r="C295" s="2" t="s">
        <v>2123</v>
      </c>
      <c r="D295" s="2">
        <v>2000</v>
      </c>
      <c r="E295" s="2" t="s">
        <v>2120</v>
      </c>
      <c r="F295" s="2" t="s">
        <v>2124</v>
      </c>
      <c r="G295" s="3">
        <v>42322</v>
      </c>
    </row>
    <row r="296" spans="1:7">
      <c r="A296" s="2" t="s">
        <v>1748</v>
      </c>
      <c r="B296" s="2" t="s">
        <v>2394</v>
      </c>
      <c r="C296" s="2" t="s">
        <v>2119</v>
      </c>
      <c r="D296" s="2">
        <v>1968</v>
      </c>
      <c r="E296" s="2" t="s">
        <v>2120</v>
      </c>
      <c r="F296" s="2" t="s">
        <v>2124</v>
      </c>
      <c r="G296" s="3">
        <v>45165</v>
      </c>
    </row>
    <row r="297" spans="1:7">
      <c r="A297" s="2" t="s">
        <v>2395</v>
      </c>
      <c r="B297" s="2" t="s">
        <v>2396</v>
      </c>
      <c r="C297" s="2" t="s">
        <v>2119</v>
      </c>
      <c r="D297" s="2">
        <v>1980</v>
      </c>
      <c r="E297" s="2" t="s">
        <v>2136</v>
      </c>
      <c r="F297" s="2" t="s">
        <v>2124</v>
      </c>
      <c r="G297" s="3">
        <v>40404</v>
      </c>
    </row>
    <row r="298" spans="1:7">
      <c r="A298" s="2" t="s">
        <v>985</v>
      </c>
      <c r="B298" s="2" t="s">
        <v>2332</v>
      </c>
      <c r="C298" s="2" t="s">
        <v>2123</v>
      </c>
      <c r="D298" s="2">
        <v>1982</v>
      </c>
      <c r="E298" s="2" t="s">
        <v>2136</v>
      </c>
      <c r="F298" s="2" t="s">
        <v>2124</v>
      </c>
      <c r="G298" s="3">
        <v>40704</v>
      </c>
    </row>
    <row r="299" spans="1:7">
      <c r="A299" s="2" t="s">
        <v>2397</v>
      </c>
      <c r="B299" s="2" t="s">
        <v>2286</v>
      </c>
      <c r="C299" s="2" t="s">
        <v>2119</v>
      </c>
      <c r="D299" s="2">
        <v>1994</v>
      </c>
      <c r="E299" s="2" t="s">
        <v>2120</v>
      </c>
      <c r="F299" s="2" t="s">
        <v>2124</v>
      </c>
      <c r="G299" s="3">
        <v>42089</v>
      </c>
    </row>
    <row r="300" spans="1:7">
      <c r="A300" s="2" t="s">
        <v>2398</v>
      </c>
      <c r="B300" s="2" t="s">
        <v>2349</v>
      </c>
      <c r="C300" s="2" t="s">
        <v>2123</v>
      </c>
      <c r="D300" s="2">
        <v>1987</v>
      </c>
      <c r="E300" s="2" t="s">
        <v>2120</v>
      </c>
      <c r="F300" s="2" t="s">
        <v>2121</v>
      </c>
      <c r="G300" s="3">
        <v>43217</v>
      </c>
    </row>
    <row r="301" spans="1:7">
      <c r="A301" s="2" t="s">
        <v>1156</v>
      </c>
      <c r="B301" s="2" t="s">
        <v>2399</v>
      </c>
      <c r="C301" s="2" t="s">
        <v>2123</v>
      </c>
      <c r="D301" s="2">
        <v>1960</v>
      </c>
      <c r="E301" s="2" t="s">
        <v>2120</v>
      </c>
      <c r="F301" s="2" t="s">
        <v>2124</v>
      </c>
      <c r="G301" s="3">
        <v>44707</v>
      </c>
    </row>
    <row r="302" spans="1:7">
      <c r="A302" s="2" t="s">
        <v>847</v>
      </c>
      <c r="B302" s="2" t="s">
        <v>2234</v>
      </c>
      <c r="C302" s="2" t="s">
        <v>2123</v>
      </c>
      <c r="D302" s="2">
        <v>1997</v>
      </c>
      <c r="E302" s="2" t="s">
        <v>2136</v>
      </c>
      <c r="F302" s="2" t="s">
        <v>2121</v>
      </c>
      <c r="G302" s="3">
        <v>44139</v>
      </c>
    </row>
    <row r="303" spans="1:7">
      <c r="A303" s="2" t="s">
        <v>2400</v>
      </c>
      <c r="B303" s="2" t="s">
        <v>2401</v>
      </c>
      <c r="C303" s="2" t="s">
        <v>2123</v>
      </c>
      <c r="D303" s="2">
        <v>1979</v>
      </c>
      <c r="E303" s="2" t="s">
        <v>2120</v>
      </c>
      <c r="F303" s="2" t="s">
        <v>2124</v>
      </c>
      <c r="G303" s="3">
        <v>42626</v>
      </c>
    </row>
    <row r="304" spans="1:7">
      <c r="A304" s="2" t="s">
        <v>2402</v>
      </c>
      <c r="B304" s="2" t="s">
        <v>2403</v>
      </c>
      <c r="C304" s="2" t="s">
        <v>2119</v>
      </c>
      <c r="D304" s="2">
        <v>1969</v>
      </c>
      <c r="E304" s="2" t="s">
        <v>2120</v>
      </c>
      <c r="F304" s="2" t="s">
        <v>2124</v>
      </c>
      <c r="G304" s="3">
        <v>41195</v>
      </c>
    </row>
    <row r="305" spans="1:7">
      <c r="A305" s="2" t="s">
        <v>129</v>
      </c>
      <c r="B305" s="2" t="s">
        <v>2404</v>
      </c>
      <c r="C305" s="2" t="s">
        <v>2119</v>
      </c>
      <c r="D305" s="2">
        <v>1972</v>
      </c>
      <c r="E305" s="2" t="s">
        <v>2120</v>
      </c>
      <c r="F305" s="2" t="s">
        <v>2124</v>
      </c>
      <c r="G305" s="3">
        <v>45730</v>
      </c>
    </row>
    <row r="306" spans="1:7">
      <c r="A306" s="2" t="s">
        <v>2405</v>
      </c>
      <c r="B306" s="2" t="s">
        <v>2315</v>
      </c>
      <c r="C306" s="2" t="s">
        <v>2119</v>
      </c>
      <c r="D306" s="2">
        <v>2001</v>
      </c>
      <c r="E306" s="2" t="s">
        <v>2136</v>
      </c>
      <c r="F306" s="2" t="s">
        <v>2124</v>
      </c>
      <c r="G306" s="3">
        <v>41985</v>
      </c>
    </row>
    <row r="307" spans="1:7">
      <c r="A307" s="2" t="s">
        <v>935</v>
      </c>
      <c r="B307" s="2" t="s">
        <v>2406</v>
      </c>
      <c r="C307" s="2" t="s">
        <v>2119</v>
      </c>
      <c r="D307" s="2">
        <v>1971</v>
      </c>
      <c r="E307" s="2" t="s">
        <v>2120</v>
      </c>
      <c r="F307" s="2" t="s">
        <v>2124</v>
      </c>
      <c r="G307" s="3">
        <v>43333</v>
      </c>
    </row>
    <row r="308" spans="1:7">
      <c r="A308" s="2" t="s">
        <v>1292</v>
      </c>
      <c r="B308" s="2" t="s">
        <v>2407</v>
      </c>
      <c r="C308" s="2" t="s">
        <v>2123</v>
      </c>
      <c r="D308" s="2">
        <v>1965</v>
      </c>
      <c r="E308" s="2" t="s">
        <v>2136</v>
      </c>
      <c r="F308" s="2" t="s">
        <v>2124</v>
      </c>
      <c r="G308" s="3">
        <v>42094</v>
      </c>
    </row>
    <row r="309" spans="1:7">
      <c r="A309" s="2" t="s">
        <v>2408</v>
      </c>
      <c r="B309" s="2" t="s">
        <v>2212</v>
      </c>
      <c r="C309" s="2" t="s">
        <v>2123</v>
      </c>
      <c r="D309" s="2">
        <v>1982</v>
      </c>
      <c r="E309" s="2" t="s">
        <v>2120</v>
      </c>
      <c r="F309" s="2" t="s">
        <v>2121</v>
      </c>
      <c r="G309" s="3">
        <v>41655</v>
      </c>
    </row>
    <row r="310" spans="1:7">
      <c r="A310" s="2" t="s">
        <v>1432</v>
      </c>
      <c r="B310" s="2" t="s">
        <v>2409</v>
      </c>
      <c r="C310" s="2" t="s">
        <v>2119</v>
      </c>
      <c r="D310" s="2">
        <v>2001</v>
      </c>
      <c r="E310" s="2" t="s">
        <v>2120</v>
      </c>
      <c r="F310" s="2" t="s">
        <v>2124</v>
      </c>
      <c r="G310" s="3">
        <v>43605</v>
      </c>
    </row>
    <row r="311" spans="1:7">
      <c r="A311" s="2" t="s">
        <v>1211</v>
      </c>
      <c r="B311" s="2" t="s">
        <v>2363</v>
      </c>
      <c r="C311" s="2" t="s">
        <v>2123</v>
      </c>
      <c r="D311" s="2">
        <v>1958</v>
      </c>
      <c r="E311" s="2" t="s">
        <v>2120</v>
      </c>
      <c r="F311" s="2" t="s">
        <v>2124</v>
      </c>
      <c r="G311" s="3">
        <v>41553</v>
      </c>
    </row>
    <row r="312" spans="1:7">
      <c r="A312" s="2" t="s">
        <v>80</v>
      </c>
      <c r="B312" s="2" t="s">
        <v>2410</v>
      </c>
      <c r="C312" s="2" t="s">
        <v>2119</v>
      </c>
      <c r="D312" s="2">
        <v>1979</v>
      </c>
      <c r="E312" s="2" t="s">
        <v>2136</v>
      </c>
      <c r="F312" s="2" t="s">
        <v>2124</v>
      </c>
      <c r="G312" s="3">
        <v>44385</v>
      </c>
    </row>
    <row r="313" spans="1:7">
      <c r="A313" s="2" t="s">
        <v>509</v>
      </c>
      <c r="B313" s="2" t="s">
        <v>2411</v>
      </c>
      <c r="C313" s="2" t="s">
        <v>2123</v>
      </c>
      <c r="D313" s="2">
        <v>1986</v>
      </c>
      <c r="E313" s="2" t="s">
        <v>2120</v>
      </c>
      <c r="F313" s="2" t="s">
        <v>2124</v>
      </c>
      <c r="G313" s="3">
        <v>41830</v>
      </c>
    </row>
    <row r="314" spans="1:7">
      <c r="A314" s="2" t="s">
        <v>2412</v>
      </c>
      <c r="B314" s="2" t="s">
        <v>2413</v>
      </c>
      <c r="C314" s="2" t="s">
        <v>2119</v>
      </c>
      <c r="D314" s="2">
        <v>2004</v>
      </c>
      <c r="E314" s="2" t="s">
        <v>2136</v>
      </c>
      <c r="F314" s="2" t="s">
        <v>2124</v>
      </c>
      <c r="G314" s="3">
        <v>42549</v>
      </c>
    </row>
    <row r="315" spans="1:7">
      <c r="A315" s="2" t="s">
        <v>1004</v>
      </c>
      <c r="B315" s="2" t="s">
        <v>2414</v>
      </c>
      <c r="C315" s="2" t="s">
        <v>2123</v>
      </c>
      <c r="D315" s="2">
        <v>1999</v>
      </c>
      <c r="E315" s="2" t="s">
        <v>2136</v>
      </c>
      <c r="F315" s="2" t="s">
        <v>2124</v>
      </c>
      <c r="G315" s="3">
        <v>45420</v>
      </c>
    </row>
    <row r="316" spans="1:7">
      <c r="A316" s="2" t="s">
        <v>1675</v>
      </c>
      <c r="B316" s="2" t="s">
        <v>2415</v>
      </c>
      <c r="C316" s="2" t="s">
        <v>2119</v>
      </c>
      <c r="D316" s="2">
        <v>1980</v>
      </c>
      <c r="E316" s="2" t="s">
        <v>2120</v>
      </c>
      <c r="F316" s="2" t="s">
        <v>2124</v>
      </c>
      <c r="G316" s="3">
        <v>44492</v>
      </c>
    </row>
    <row r="317" spans="1:7">
      <c r="A317" s="2" t="s">
        <v>1357</v>
      </c>
      <c r="B317" s="2" t="s">
        <v>2220</v>
      </c>
      <c r="C317" s="2" t="s">
        <v>2123</v>
      </c>
      <c r="D317" s="2">
        <v>1985</v>
      </c>
      <c r="E317" s="2" t="s">
        <v>2136</v>
      </c>
      <c r="F317" s="2" t="s">
        <v>2124</v>
      </c>
      <c r="G317" s="3">
        <v>44859</v>
      </c>
    </row>
    <row r="318" spans="1:7">
      <c r="A318" s="2" t="s">
        <v>228</v>
      </c>
      <c r="B318" s="2" t="s">
        <v>2284</v>
      </c>
      <c r="C318" s="2" t="s">
        <v>2123</v>
      </c>
      <c r="D318" s="2">
        <v>1973</v>
      </c>
      <c r="E318" s="2" t="s">
        <v>2136</v>
      </c>
      <c r="F318" s="2" t="s">
        <v>2121</v>
      </c>
      <c r="G318" s="3">
        <v>41790</v>
      </c>
    </row>
    <row r="319" spans="1:7">
      <c r="A319" s="2" t="s">
        <v>1206</v>
      </c>
      <c r="B319" s="2" t="s">
        <v>2279</v>
      </c>
      <c r="C319" s="2" t="s">
        <v>2123</v>
      </c>
      <c r="D319" s="2">
        <v>1967</v>
      </c>
      <c r="E319" s="2" t="s">
        <v>2120</v>
      </c>
      <c r="F319" s="2" t="s">
        <v>2124</v>
      </c>
      <c r="G319" s="3">
        <v>42422</v>
      </c>
    </row>
    <row r="320" spans="1:7">
      <c r="A320" s="2" t="s">
        <v>1731</v>
      </c>
      <c r="B320" s="2" t="s">
        <v>2363</v>
      </c>
      <c r="C320" s="2" t="s">
        <v>2123</v>
      </c>
      <c r="D320" s="2">
        <v>1991</v>
      </c>
      <c r="E320" s="2" t="s">
        <v>2136</v>
      </c>
      <c r="F320" s="2" t="s">
        <v>2121</v>
      </c>
      <c r="G320" s="3">
        <v>44954</v>
      </c>
    </row>
    <row r="321" spans="1:7">
      <c r="A321" s="2" t="s">
        <v>533</v>
      </c>
      <c r="B321" s="2" t="s">
        <v>2257</v>
      </c>
      <c r="C321" s="2" t="s">
        <v>2123</v>
      </c>
      <c r="D321" s="2">
        <v>1964</v>
      </c>
      <c r="E321" s="2" t="s">
        <v>2136</v>
      </c>
      <c r="F321" s="2" t="s">
        <v>2124</v>
      </c>
      <c r="G321" s="3">
        <v>40632</v>
      </c>
    </row>
    <row r="322" spans="1:7">
      <c r="A322" s="2" t="s">
        <v>105</v>
      </c>
      <c r="B322" s="2" t="s">
        <v>2189</v>
      </c>
      <c r="C322" s="2" t="s">
        <v>2119</v>
      </c>
      <c r="D322" s="2">
        <v>1978</v>
      </c>
      <c r="E322" s="2" t="s">
        <v>2120</v>
      </c>
      <c r="F322" s="2" t="s">
        <v>2190</v>
      </c>
      <c r="G322" s="3">
        <v>40918</v>
      </c>
    </row>
    <row r="323" spans="1:7">
      <c r="A323" s="2" t="s">
        <v>449</v>
      </c>
      <c r="B323" s="2" t="s">
        <v>2416</v>
      </c>
      <c r="C323" s="2" t="s">
        <v>2119</v>
      </c>
      <c r="D323" s="2">
        <v>1971</v>
      </c>
      <c r="E323" s="2" t="s">
        <v>2120</v>
      </c>
      <c r="F323" s="2" t="s">
        <v>2124</v>
      </c>
      <c r="G323" s="3">
        <v>44792</v>
      </c>
    </row>
    <row r="324" spans="1:7">
      <c r="A324" s="2" t="s">
        <v>1396</v>
      </c>
      <c r="B324" s="2" t="s">
        <v>2206</v>
      </c>
      <c r="C324" s="2" t="s">
        <v>2119</v>
      </c>
      <c r="D324" s="2">
        <v>1972</v>
      </c>
      <c r="E324" s="2" t="s">
        <v>2120</v>
      </c>
      <c r="F324" s="2" t="s">
        <v>2124</v>
      </c>
      <c r="G324" s="3">
        <v>40217</v>
      </c>
    </row>
    <row r="325" spans="1:7">
      <c r="A325" s="2" t="s">
        <v>1287</v>
      </c>
      <c r="B325" s="2" t="s">
        <v>2176</v>
      </c>
      <c r="C325" s="2" t="s">
        <v>2119</v>
      </c>
      <c r="D325" s="2">
        <v>1964</v>
      </c>
      <c r="E325" s="2" t="s">
        <v>2120</v>
      </c>
      <c r="F325" s="2" t="s">
        <v>2124</v>
      </c>
      <c r="G325" s="3">
        <v>42808</v>
      </c>
    </row>
    <row r="326" spans="1:7">
      <c r="A326" s="2" t="s">
        <v>1468</v>
      </c>
      <c r="B326" s="2" t="s">
        <v>2417</v>
      </c>
      <c r="C326" s="2" t="s">
        <v>2119</v>
      </c>
      <c r="D326" s="2">
        <v>1996</v>
      </c>
      <c r="E326" s="2" t="s">
        <v>2120</v>
      </c>
      <c r="F326" s="2" t="s">
        <v>2121</v>
      </c>
      <c r="G326" s="3">
        <v>44232</v>
      </c>
    </row>
    <row r="327" spans="1:7">
      <c r="A327" s="2" t="s">
        <v>2418</v>
      </c>
      <c r="B327" s="2" t="s">
        <v>2419</v>
      </c>
      <c r="C327" s="2" t="s">
        <v>2123</v>
      </c>
      <c r="D327" s="2">
        <v>1998</v>
      </c>
      <c r="E327" s="2" t="s">
        <v>2120</v>
      </c>
      <c r="F327" s="2" t="s">
        <v>2124</v>
      </c>
      <c r="G327" s="3">
        <v>40904</v>
      </c>
    </row>
    <row r="328" spans="1:7">
      <c r="A328" s="2" t="s">
        <v>396</v>
      </c>
      <c r="B328" s="2" t="s">
        <v>2399</v>
      </c>
      <c r="C328" s="2" t="s">
        <v>2123</v>
      </c>
      <c r="D328" s="2">
        <v>1969</v>
      </c>
      <c r="E328" s="2" t="s">
        <v>2120</v>
      </c>
      <c r="F328" s="2" t="s">
        <v>2121</v>
      </c>
      <c r="G328" s="3">
        <v>40425</v>
      </c>
    </row>
    <row r="329" spans="1:7">
      <c r="A329" s="2" t="s">
        <v>2420</v>
      </c>
      <c r="B329" s="2" t="s">
        <v>2260</v>
      </c>
      <c r="C329" s="2" t="s">
        <v>2123</v>
      </c>
      <c r="D329" s="2">
        <v>1995</v>
      </c>
      <c r="E329" s="2" t="s">
        <v>2120</v>
      </c>
      <c r="F329" s="2" t="s">
        <v>2121</v>
      </c>
      <c r="G329" s="3">
        <v>45395</v>
      </c>
    </row>
    <row r="330" spans="1:7">
      <c r="A330" s="2" t="s">
        <v>2421</v>
      </c>
      <c r="B330" s="2" t="s">
        <v>2335</v>
      </c>
      <c r="C330" s="2" t="s">
        <v>2119</v>
      </c>
      <c r="D330" s="2">
        <v>1976</v>
      </c>
      <c r="E330" s="2" t="s">
        <v>2120</v>
      </c>
      <c r="F330" s="2" t="s">
        <v>2124</v>
      </c>
      <c r="G330" s="3">
        <v>40948</v>
      </c>
    </row>
    <row r="331" spans="1:7">
      <c r="A331" s="2" t="s">
        <v>1636</v>
      </c>
      <c r="B331" s="2" t="s">
        <v>2381</v>
      </c>
      <c r="C331" s="2" t="s">
        <v>2123</v>
      </c>
      <c r="D331" s="2">
        <v>1977</v>
      </c>
      <c r="E331" s="2" t="s">
        <v>2120</v>
      </c>
      <c r="F331" s="2" t="s">
        <v>2124</v>
      </c>
      <c r="G331" s="3">
        <v>42469</v>
      </c>
    </row>
    <row r="332" spans="1:7">
      <c r="A332" s="2" t="s">
        <v>419</v>
      </c>
      <c r="B332" s="2" t="s">
        <v>2153</v>
      </c>
      <c r="C332" s="2" t="s">
        <v>2123</v>
      </c>
      <c r="D332" s="2">
        <v>1983</v>
      </c>
      <c r="E332" s="2" t="s">
        <v>2120</v>
      </c>
      <c r="F332" s="2" t="s">
        <v>2124</v>
      </c>
      <c r="G332" s="3">
        <v>42038</v>
      </c>
    </row>
    <row r="333" spans="1:7">
      <c r="A333" s="2" t="s">
        <v>60</v>
      </c>
      <c r="B333" s="2" t="s">
        <v>2193</v>
      </c>
      <c r="C333" s="2" t="s">
        <v>2119</v>
      </c>
      <c r="D333" s="2">
        <v>1983</v>
      </c>
      <c r="E333" s="2" t="s">
        <v>2136</v>
      </c>
      <c r="F333" s="2" t="s">
        <v>2124</v>
      </c>
      <c r="G333" s="3">
        <v>45380</v>
      </c>
    </row>
    <row r="334" spans="1:7">
      <c r="A334" s="2" t="s">
        <v>2422</v>
      </c>
      <c r="B334" s="2" t="s">
        <v>2423</v>
      </c>
      <c r="C334" s="2" t="s">
        <v>2119</v>
      </c>
      <c r="D334" s="2">
        <v>1999</v>
      </c>
      <c r="E334" s="2" t="s">
        <v>2120</v>
      </c>
      <c r="F334" s="2" t="s">
        <v>2124</v>
      </c>
      <c r="G334" s="3">
        <v>40604</v>
      </c>
    </row>
    <row r="335" spans="1:7">
      <c r="A335" s="2" t="s">
        <v>2424</v>
      </c>
      <c r="B335" s="2" t="s">
        <v>2425</v>
      </c>
      <c r="C335" s="2" t="s">
        <v>2119</v>
      </c>
      <c r="D335" s="2">
        <v>1983</v>
      </c>
      <c r="E335" s="2" t="s">
        <v>2136</v>
      </c>
      <c r="F335" s="2" t="s">
        <v>2121</v>
      </c>
      <c r="G335" s="3">
        <v>44802</v>
      </c>
    </row>
    <row r="336" spans="1:7">
      <c r="A336" s="2" t="s">
        <v>326</v>
      </c>
      <c r="B336" s="2" t="s">
        <v>2426</v>
      </c>
      <c r="C336" s="2" t="s">
        <v>2119</v>
      </c>
      <c r="D336" s="2">
        <v>1999</v>
      </c>
      <c r="E336" s="2" t="s">
        <v>2120</v>
      </c>
      <c r="F336" s="2" t="s">
        <v>2124</v>
      </c>
      <c r="G336" s="3">
        <v>45750</v>
      </c>
    </row>
    <row r="337" spans="1:7">
      <c r="A337" s="2" t="s">
        <v>314</v>
      </c>
      <c r="B337" s="2" t="s">
        <v>2279</v>
      </c>
      <c r="C337" s="2" t="s">
        <v>2123</v>
      </c>
      <c r="D337" s="2">
        <v>1984</v>
      </c>
      <c r="E337" s="2" t="s">
        <v>2120</v>
      </c>
      <c r="F337" s="2" t="s">
        <v>2124</v>
      </c>
      <c r="G337" s="3">
        <v>44527</v>
      </c>
    </row>
    <row r="338" spans="1:7">
      <c r="A338" s="2" t="s">
        <v>677</v>
      </c>
      <c r="B338" s="2" t="s">
        <v>2427</v>
      </c>
      <c r="C338" s="2" t="s">
        <v>2123</v>
      </c>
      <c r="D338" s="2">
        <v>1985</v>
      </c>
      <c r="E338" s="2" t="s">
        <v>2120</v>
      </c>
      <c r="F338" s="2" t="s">
        <v>2124</v>
      </c>
      <c r="G338" s="3">
        <v>41321</v>
      </c>
    </row>
    <row r="339" spans="1:7">
      <c r="A339" s="2" t="s">
        <v>382</v>
      </c>
      <c r="B339" s="2" t="s">
        <v>2428</v>
      </c>
      <c r="C339" s="2" t="s">
        <v>2119</v>
      </c>
      <c r="D339" s="2">
        <v>1992</v>
      </c>
      <c r="E339" s="2" t="s">
        <v>2136</v>
      </c>
      <c r="F339" s="2" t="s">
        <v>2190</v>
      </c>
      <c r="G339" s="3">
        <v>40508</v>
      </c>
    </row>
    <row r="340" spans="1:7">
      <c r="A340" s="2" t="s">
        <v>401</v>
      </c>
      <c r="B340" s="2" t="s">
        <v>2192</v>
      </c>
      <c r="C340" s="2" t="s">
        <v>2119</v>
      </c>
      <c r="D340" s="2">
        <v>1991</v>
      </c>
      <c r="E340" s="2" t="s">
        <v>2120</v>
      </c>
      <c r="F340" s="2" t="s">
        <v>2121</v>
      </c>
      <c r="G340" s="3">
        <v>40472</v>
      </c>
    </row>
    <row r="341" spans="1:7">
      <c r="A341" s="2" t="s">
        <v>1065</v>
      </c>
      <c r="B341" s="2" t="s">
        <v>2198</v>
      </c>
      <c r="C341" s="2" t="s">
        <v>2123</v>
      </c>
      <c r="D341" s="2">
        <v>1970</v>
      </c>
      <c r="E341" s="2" t="s">
        <v>2120</v>
      </c>
      <c r="F341" s="2" t="s">
        <v>2124</v>
      </c>
      <c r="G341" s="3">
        <v>40501</v>
      </c>
    </row>
    <row r="342" spans="1:7">
      <c r="A342" s="2" t="s">
        <v>2429</v>
      </c>
      <c r="B342" s="2" t="s">
        <v>2198</v>
      </c>
      <c r="C342" s="2" t="s">
        <v>2123</v>
      </c>
      <c r="D342" s="2">
        <v>1981</v>
      </c>
      <c r="E342" s="2" t="s">
        <v>2120</v>
      </c>
      <c r="F342" s="2" t="s">
        <v>2124</v>
      </c>
      <c r="G342" s="3">
        <v>44387</v>
      </c>
    </row>
    <row r="343" spans="1:7">
      <c r="A343" s="2" t="s">
        <v>2430</v>
      </c>
      <c r="B343" s="2" t="s">
        <v>2391</v>
      </c>
      <c r="C343" s="2" t="s">
        <v>2123</v>
      </c>
      <c r="D343" s="2">
        <v>1990</v>
      </c>
      <c r="E343" s="2" t="s">
        <v>2136</v>
      </c>
      <c r="F343" s="2" t="s">
        <v>2124</v>
      </c>
      <c r="G343" s="3">
        <v>44370</v>
      </c>
    </row>
    <row r="344" spans="1:7">
      <c r="A344" s="2" t="s">
        <v>704</v>
      </c>
      <c r="B344" s="2" t="s">
        <v>2230</v>
      </c>
      <c r="C344" s="2" t="s">
        <v>2119</v>
      </c>
      <c r="D344" s="2">
        <v>1990</v>
      </c>
      <c r="E344" s="2" t="s">
        <v>2120</v>
      </c>
      <c r="F344" s="2" t="s">
        <v>2121</v>
      </c>
      <c r="G344" s="3">
        <v>44654</v>
      </c>
    </row>
    <row r="345" spans="1:7">
      <c r="A345" s="2" t="s">
        <v>2431</v>
      </c>
      <c r="B345" s="2" t="s">
        <v>2314</v>
      </c>
      <c r="C345" s="2" t="s">
        <v>2119</v>
      </c>
      <c r="D345" s="2">
        <v>1994</v>
      </c>
      <c r="E345" s="2" t="s">
        <v>2120</v>
      </c>
      <c r="F345" s="2" t="s">
        <v>2124</v>
      </c>
      <c r="G345" s="3">
        <v>44672</v>
      </c>
    </row>
    <row r="346" spans="1:7">
      <c r="A346" s="2" t="s">
        <v>1241</v>
      </c>
      <c r="B346" s="2" t="s">
        <v>2428</v>
      </c>
      <c r="C346" s="2" t="s">
        <v>2119</v>
      </c>
      <c r="D346" s="2">
        <v>2001</v>
      </c>
      <c r="E346" s="2" t="s">
        <v>2120</v>
      </c>
      <c r="F346" s="2" t="s">
        <v>2124</v>
      </c>
      <c r="G346" s="3">
        <v>42722</v>
      </c>
    </row>
    <row r="347" spans="1:7">
      <c r="A347" s="2" t="s">
        <v>2432</v>
      </c>
      <c r="B347" s="2" t="s">
        <v>2427</v>
      </c>
      <c r="C347" s="2" t="s">
        <v>2123</v>
      </c>
      <c r="D347" s="2">
        <v>1975</v>
      </c>
      <c r="E347" s="2" t="s">
        <v>2120</v>
      </c>
      <c r="F347" s="2" t="s">
        <v>2124</v>
      </c>
      <c r="G347" s="3">
        <v>44976</v>
      </c>
    </row>
    <row r="348" spans="1:7">
      <c r="A348" s="2" t="s">
        <v>1669</v>
      </c>
      <c r="B348" s="2" t="s">
        <v>2433</v>
      </c>
      <c r="C348" s="2" t="s">
        <v>2123</v>
      </c>
      <c r="D348" s="2">
        <v>1972</v>
      </c>
      <c r="E348" s="2" t="s">
        <v>2136</v>
      </c>
      <c r="F348" s="2" t="s">
        <v>2124</v>
      </c>
      <c r="G348" s="3">
        <v>42845</v>
      </c>
    </row>
    <row r="349" spans="1:7">
      <c r="A349" s="2" t="s">
        <v>475</v>
      </c>
      <c r="B349" s="2" t="s">
        <v>2263</v>
      </c>
      <c r="C349" s="2" t="s">
        <v>2119</v>
      </c>
      <c r="D349" s="2">
        <v>2000</v>
      </c>
      <c r="E349" s="2" t="s">
        <v>2120</v>
      </c>
      <c r="F349" s="2" t="s">
        <v>2124</v>
      </c>
      <c r="G349" s="3">
        <v>40357</v>
      </c>
    </row>
    <row r="350" spans="1:7">
      <c r="A350" s="2" t="s">
        <v>2434</v>
      </c>
      <c r="B350" s="2" t="s">
        <v>2126</v>
      </c>
      <c r="C350" s="2" t="s">
        <v>2123</v>
      </c>
      <c r="D350" s="2">
        <v>2000</v>
      </c>
      <c r="E350" s="2" t="s">
        <v>2120</v>
      </c>
      <c r="F350" s="2" t="s">
        <v>2124</v>
      </c>
      <c r="G350" s="3">
        <v>43356</v>
      </c>
    </row>
    <row r="351" spans="1:7">
      <c r="A351" s="2" t="s">
        <v>2435</v>
      </c>
      <c r="B351" s="2" t="s">
        <v>2436</v>
      </c>
      <c r="C351" s="2" t="s">
        <v>2119</v>
      </c>
      <c r="D351" s="2">
        <v>1995</v>
      </c>
      <c r="E351" s="2" t="s">
        <v>2120</v>
      </c>
      <c r="F351" s="2" t="s">
        <v>2124</v>
      </c>
      <c r="G351" s="3">
        <v>45730</v>
      </c>
    </row>
    <row r="352" spans="1:7">
      <c r="A352" s="2" t="s">
        <v>1085</v>
      </c>
      <c r="B352" s="2" t="s">
        <v>2371</v>
      </c>
      <c r="C352" s="2" t="s">
        <v>2123</v>
      </c>
      <c r="D352" s="2">
        <v>1980</v>
      </c>
      <c r="E352" s="2" t="s">
        <v>2120</v>
      </c>
      <c r="F352" s="2" t="s">
        <v>2121</v>
      </c>
      <c r="G352" s="3">
        <v>45227</v>
      </c>
    </row>
    <row r="353" spans="1:7">
      <c r="A353" s="2" t="s">
        <v>706</v>
      </c>
      <c r="B353" s="2" t="s">
        <v>2415</v>
      </c>
      <c r="C353" s="2" t="s">
        <v>2119</v>
      </c>
      <c r="D353" s="2">
        <v>1968</v>
      </c>
      <c r="E353" s="2" t="s">
        <v>2136</v>
      </c>
      <c r="F353" s="2" t="s">
        <v>2190</v>
      </c>
      <c r="G353" s="3">
        <v>44072</v>
      </c>
    </row>
    <row r="354" spans="1:7">
      <c r="A354" s="2" t="s">
        <v>1533</v>
      </c>
      <c r="B354" s="2" t="s">
        <v>2203</v>
      </c>
      <c r="C354" s="2" t="s">
        <v>2123</v>
      </c>
      <c r="D354" s="2">
        <v>2000</v>
      </c>
      <c r="E354" s="2" t="s">
        <v>2120</v>
      </c>
      <c r="F354" s="2" t="s">
        <v>2121</v>
      </c>
      <c r="G354" s="3">
        <v>44978</v>
      </c>
    </row>
    <row r="355" spans="1:7">
      <c r="A355" s="2" t="s">
        <v>1596</v>
      </c>
      <c r="B355" s="2" t="s">
        <v>2437</v>
      </c>
      <c r="C355" s="2" t="s">
        <v>2119</v>
      </c>
      <c r="D355" s="2">
        <v>2003</v>
      </c>
      <c r="E355" s="2" t="s">
        <v>2120</v>
      </c>
      <c r="F355" s="2" t="s">
        <v>2124</v>
      </c>
      <c r="G355" s="3">
        <v>42467</v>
      </c>
    </row>
    <row r="356" spans="1:7">
      <c r="A356" s="2" t="s">
        <v>2438</v>
      </c>
      <c r="B356" s="2" t="s">
        <v>2171</v>
      </c>
      <c r="C356" s="2" t="s">
        <v>2123</v>
      </c>
      <c r="D356" s="2">
        <v>1999</v>
      </c>
      <c r="E356" s="2" t="s">
        <v>2136</v>
      </c>
      <c r="F356" s="2" t="s">
        <v>2124</v>
      </c>
      <c r="G356" s="3">
        <v>43067</v>
      </c>
    </row>
    <row r="357" spans="1:7">
      <c r="A357" s="2" t="s">
        <v>849</v>
      </c>
      <c r="B357" s="2" t="s">
        <v>2241</v>
      </c>
      <c r="C357" s="2" t="s">
        <v>2119</v>
      </c>
      <c r="D357" s="2">
        <v>1988</v>
      </c>
      <c r="E357" s="2" t="s">
        <v>2120</v>
      </c>
      <c r="F357" s="2" t="s">
        <v>2121</v>
      </c>
      <c r="G357" s="3">
        <v>40234</v>
      </c>
    </row>
    <row r="358" spans="1:7">
      <c r="A358" s="2" t="s">
        <v>423</v>
      </c>
      <c r="B358" s="2" t="s">
        <v>2439</v>
      </c>
      <c r="C358" s="2" t="s">
        <v>2119</v>
      </c>
      <c r="D358" s="2">
        <v>1985</v>
      </c>
      <c r="E358" s="2" t="s">
        <v>2120</v>
      </c>
      <c r="F358" s="2" t="s">
        <v>2124</v>
      </c>
      <c r="G358" s="3">
        <v>41366</v>
      </c>
    </row>
    <row r="359" spans="1:7">
      <c r="A359" s="2" t="s">
        <v>870</v>
      </c>
      <c r="B359" s="2" t="s">
        <v>2440</v>
      </c>
      <c r="C359" s="2" t="s">
        <v>2119</v>
      </c>
      <c r="D359" s="2">
        <v>1975</v>
      </c>
      <c r="E359" s="2" t="s">
        <v>2136</v>
      </c>
      <c r="F359" s="2" t="s">
        <v>2124</v>
      </c>
      <c r="G359" s="3">
        <v>45160</v>
      </c>
    </row>
    <row r="360" spans="1:7">
      <c r="A360" s="2" t="s">
        <v>1319</v>
      </c>
      <c r="B360" s="2" t="s">
        <v>2256</v>
      </c>
      <c r="C360" s="2" t="s">
        <v>2123</v>
      </c>
      <c r="D360" s="2">
        <v>1974</v>
      </c>
      <c r="E360" s="2" t="s">
        <v>2120</v>
      </c>
      <c r="F360" s="2" t="s">
        <v>2190</v>
      </c>
      <c r="G360" s="3">
        <v>40266</v>
      </c>
    </row>
    <row r="361" spans="1:7">
      <c r="A361" s="2" t="s">
        <v>862</v>
      </c>
      <c r="B361" s="2" t="s">
        <v>2441</v>
      </c>
      <c r="C361" s="2" t="s">
        <v>2123</v>
      </c>
      <c r="D361" s="2">
        <v>1989</v>
      </c>
      <c r="E361" s="2" t="s">
        <v>2120</v>
      </c>
      <c r="F361" s="2" t="s">
        <v>2190</v>
      </c>
      <c r="G361" s="3">
        <v>42738</v>
      </c>
    </row>
    <row r="362" spans="1:7">
      <c r="A362" s="2" t="s">
        <v>399</v>
      </c>
      <c r="B362" s="2" t="s">
        <v>2442</v>
      </c>
      <c r="C362" s="2" t="s">
        <v>2119</v>
      </c>
      <c r="D362" s="2">
        <v>1998</v>
      </c>
      <c r="E362" s="2" t="s">
        <v>2136</v>
      </c>
      <c r="F362" s="2" t="s">
        <v>2124</v>
      </c>
      <c r="G362" s="3">
        <v>43982</v>
      </c>
    </row>
    <row r="363" spans="1:7">
      <c r="A363" s="2" t="s">
        <v>1771</v>
      </c>
      <c r="B363" s="2" t="s">
        <v>2443</v>
      </c>
      <c r="C363" s="2" t="s">
        <v>2123</v>
      </c>
      <c r="D363" s="2">
        <v>1993</v>
      </c>
      <c r="E363" s="2" t="s">
        <v>2120</v>
      </c>
      <c r="F363" s="2" t="s">
        <v>2124</v>
      </c>
      <c r="G363" s="3">
        <v>40738</v>
      </c>
    </row>
    <row r="364" spans="1:7">
      <c r="A364" s="2" t="s">
        <v>1643</v>
      </c>
      <c r="B364" s="2" t="s">
        <v>2153</v>
      </c>
      <c r="C364" s="2" t="s">
        <v>2123</v>
      </c>
      <c r="D364" s="2">
        <v>1984</v>
      </c>
      <c r="E364" s="2" t="s">
        <v>2120</v>
      </c>
      <c r="F364" s="2" t="s">
        <v>2121</v>
      </c>
      <c r="G364" s="3">
        <v>44881</v>
      </c>
    </row>
    <row r="365" spans="1:7">
      <c r="A365" s="2" t="s">
        <v>1109</v>
      </c>
      <c r="B365" s="2" t="s">
        <v>2229</v>
      </c>
      <c r="C365" s="2" t="s">
        <v>2123</v>
      </c>
      <c r="D365" s="2">
        <v>1987</v>
      </c>
      <c r="E365" s="2" t="s">
        <v>2120</v>
      </c>
      <c r="F365" s="2" t="s">
        <v>2121</v>
      </c>
      <c r="G365" s="3">
        <v>44991</v>
      </c>
    </row>
    <row r="366" spans="1:7">
      <c r="A366" s="2" t="s">
        <v>2444</v>
      </c>
      <c r="B366" s="2" t="s">
        <v>2445</v>
      </c>
      <c r="C366" s="2" t="s">
        <v>2123</v>
      </c>
      <c r="D366" s="2">
        <v>1981</v>
      </c>
      <c r="E366" s="2" t="s">
        <v>2120</v>
      </c>
      <c r="F366" s="2" t="s">
        <v>2124</v>
      </c>
      <c r="G366" s="3">
        <v>42723</v>
      </c>
    </row>
    <row r="367" spans="1:7">
      <c r="A367" s="2" t="s">
        <v>503</v>
      </c>
      <c r="B367" s="2" t="s">
        <v>2133</v>
      </c>
      <c r="C367" s="2" t="s">
        <v>2123</v>
      </c>
      <c r="D367" s="2">
        <v>1992</v>
      </c>
      <c r="E367" s="2" t="s">
        <v>2120</v>
      </c>
      <c r="F367" s="2" t="s">
        <v>2124</v>
      </c>
      <c r="G367" s="3">
        <v>44347</v>
      </c>
    </row>
    <row r="368" spans="1:7">
      <c r="A368" s="2" t="s">
        <v>1277</v>
      </c>
      <c r="B368" s="2" t="s">
        <v>2446</v>
      </c>
      <c r="C368" s="2" t="s">
        <v>2123</v>
      </c>
      <c r="D368" s="2">
        <v>1978</v>
      </c>
      <c r="E368" s="2" t="s">
        <v>2120</v>
      </c>
      <c r="F368" s="2" t="s">
        <v>2124</v>
      </c>
      <c r="G368" s="3">
        <v>41719</v>
      </c>
    </row>
    <row r="369" spans="1:7">
      <c r="A369" s="2" t="s">
        <v>2447</v>
      </c>
      <c r="B369" s="2" t="s">
        <v>2244</v>
      </c>
      <c r="C369" s="2" t="s">
        <v>2123</v>
      </c>
      <c r="D369" s="2">
        <v>1992</v>
      </c>
      <c r="E369" s="2" t="s">
        <v>2120</v>
      </c>
      <c r="F369" s="2" t="s">
        <v>2124</v>
      </c>
      <c r="G369" s="3">
        <v>45350</v>
      </c>
    </row>
    <row r="370" spans="1:7">
      <c r="A370" s="2" t="s">
        <v>318</v>
      </c>
      <c r="B370" s="2" t="s">
        <v>2448</v>
      </c>
      <c r="C370" s="2" t="s">
        <v>2123</v>
      </c>
      <c r="D370" s="2">
        <v>1984</v>
      </c>
      <c r="E370" s="2" t="s">
        <v>2136</v>
      </c>
      <c r="F370" s="2" t="s">
        <v>2124</v>
      </c>
      <c r="G370" s="3">
        <v>45837</v>
      </c>
    </row>
    <row r="371" spans="1:7">
      <c r="A371" s="2" t="s">
        <v>2449</v>
      </c>
      <c r="B371" s="2" t="s">
        <v>2450</v>
      </c>
      <c r="C371" s="2" t="s">
        <v>2123</v>
      </c>
      <c r="D371" s="2">
        <v>1983</v>
      </c>
      <c r="E371" s="2" t="s">
        <v>2120</v>
      </c>
      <c r="F371" s="2" t="s">
        <v>2124</v>
      </c>
      <c r="G371" s="3">
        <v>40420</v>
      </c>
    </row>
    <row r="372" spans="1:7">
      <c r="A372" s="2" t="s">
        <v>232</v>
      </c>
      <c r="B372" s="2" t="s">
        <v>2201</v>
      </c>
      <c r="C372" s="2" t="s">
        <v>2123</v>
      </c>
      <c r="D372" s="2">
        <v>1996</v>
      </c>
      <c r="E372" s="2" t="s">
        <v>2120</v>
      </c>
      <c r="F372" s="2" t="s">
        <v>2121</v>
      </c>
      <c r="G372" s="3">
        <v>44532</v>
      </c>
    </row>
    <row r="373" spans="1:7">
      <c r="A373" s="2" t="s">
        <v>1620</v>
      </c>
      <c r="B373" s="2" t="s">
        <v>2129</v>
      </c>
      <c r="C373" s="2" t="s">
        <v>2123</v>
      </c>
      <c r="D373" s="2">
        <v>1974</v>
      </c>
      <c r="E373" s="2" t="s">
        <v>2120</v>
      </c>
      <c r="F373" s="2" t="s">
        <v>2124</v>
      </c>
      <c r="G373" s="3">
        <v>44425</v>
      </c>
    </row>
    <row r="374" spans="1:7">
      <c r="A374" s="2" t="s">
        <v>633</v>
      </c>
      <c r="B374" s="2" t="s">
        <v>2280</v>
      </c>
      <c r="C374" s="2" t="s">
        <v>2123</v>
      </c>
      <c r="D374" s="2">
        <v>1969</v>
      </c>
      <c r="E374" s="2" t="s">
        <v>2120</v>
      </c>
      <c r="F374" s="2" t="s">
        <v>2124</v>
      </c>
      <c r="G374" s="3">
        <v>44008</v>
      </c>
    </row>
    <row r="375" spans="1:7">
      <c r="A375" s="2" t="s">
        <v>734</v>
      </c>
      <c r="B375" s="2" t="s">
        <v>2253</v>
      </c>
      <c r="C375" s="2" t="s">
        <v>2119</v>
      </c>
      <c r="D375" s="2">
        <v>1992</v>
      </c>
      <c r="E375" s="2" t="s">
        <v>2136</v>
      </c>
      <c r="F375" s="2" t="s">
        <v>2124</v>
      </c>
      <c r="G375" s="3">
        <v>41358</v>
      </c>
    </row>
    <row r="376" spans="1:7">
      <c r="A376" s="2" t="s">
        <v>2451</v>
      </c>
      <c r="B376" s="2" t="s">
        <v>2265</v>
      </c>
      <c r="C376" s="2" t="s">
        <v>2123</v>
      </c>
      <c r="D376" s="2">
        <v>1977</v>
      </c>
      <c r="E376" s="2" t="s">
        <v>2120</v>
      </c>
      <c r="F376" s="2" t="s">
        <v>2121</v>
      </c>
      <c r="G376" s="3">
        <v>44948</v>
      </c>
    </row>
    <row r="377" spans="1:7">
      <c r="A377" s="2" t="s">
        <v>511</v>
      </c>
      <c r="B377" s="2" t="s">
        <v>2157</v>
      </c>
      <c r="C377" s="2" t="s">
        <v>2119</v>
      </c>
      <c r="D377" s="2">
        <v>1985</v>
      </c>
      <c r="E377" s="2" t="s">
        <v>2120</v>
      </c>
      <c r="F377" s="2" t="s">
        <v>2124</v>
      </c>
      <c r="G377" s="3">
        <v>43422</v>
      </c>
    </row>
    <row r="378" spans="1:7">
      <c r="A378" s="2" t="s">
        <v>1072</v>
      </c>
      <c r="B378" s="2" t="s">
        <v>2149</v>
      </c>
      <c r="C378" s="2" t="s">
        <v>2123</v>
      </c>
      <c r="D378" s="2">
        <v>1962</v>
      </c>
      <c r="E378" s="2" t="s">
        <v>2120</v>
      </c>
      <c r="F378" s="2" t="s">
        <v>2124</v>
      </c>
      <c r="G378" s="3">
        <v>41484</v>
      </c>
    </row>
    <row r="379" spans="1:7">
      <c r="A379" s="2" t="s">
        <v>178</v>
      </c>
      <c r="B379" s="2" t="s">
        <v>2452</v>
      </c>
      <c r="C379" s="2" t="s">
        <v>2123</v>
      </c>
      <c r="D379" s="2">
        <v>1955</v>
      </c>
      <c r="E379" s="2" t="s">
        <v>2136</v>
      </c>
      <c r="F379" s="2" t="s">
        <v>2124</v>
      </c>
      <c r="G379" s="3">
        <v>43606</v>
      </c>
    </row>
    <row r="380" spans="1:7">
      <c r="A380" s="2" t="s">
        <v>729</v>
      </c>
      <c r="B380" s="2" t="s">
        <v>2130</v>
      </c>
      <c r="C380" s="2" t="s">
        <v>2119</v>
      </c>
      <c r="D380" s="2">
        <v>2004</v>
      </c>
      <c r="E380" s="2" t="s">
        <v>2120</v>
      </c>
      <c r="F380" s="2" t="s">
        <v>2121</v>
      </c>
      <c r="G380" s="3">
        <v>45707</v>
      </c>
    </row>
    <row r="381" spans="1:7">
      <c r="A381" s="2" t="s">
        <v>1308</v>
      </c>
      <c r="B381" s="2" t="s">
        <v>2203</v>
      </c>
      <c r="C381" s="2" t="s">
        <v>2123</v>
      </c>
      <c r="D381" s="2">
        <v>1979</v>
      </c>
      <c r="E381" s="2" t="s">
        <v>2136</v>
      </c>
      <c r="F381" s="2" t="s">
        <v>2124</v>
      </c>
      <c r="G381" s="3">
        <v>42172</v>
      </c>
    </row>
    <row r="382" spans="1:7">
      <c r="A382" s="2" t="s">
        <v>1068</v>
      </c>
      <c r="B382" s="2" t="s">
        <v>2453</v>
      </c>
      <c r="C382" s="2" t="s">
        <v>2123</v>
      </c>
      <c r="D382" s="2">
        <v>1981</v>
      </c>
      <c r="E382" s="2" t="s">
        <v>2120</v>
      </c>
      <c r="F382" s="2" t="s">
        <v>2190</v>
      </c>
      <c r="G382" s="3">
        <v>42560</v>
      </c>
    </row>
    <row r="383" spans="1:7">
      <c r="A383" s="2" t="s">
        <v>2454</v>
      </c>
      <c r="B383" s="2" t="s">
        <v>2455</v>
      </c>
      <c r="C383" s="2" t="s">
        <v>2119</v>
      </c>
      <c r="D383" s="2">
        <v>1980</v>
      </c>
      <c r="E383" s="2" t="s">
        <v>2136</v>
      </c>
      <c r="F383" s="2" t="s">
        <v>2124</v>
      </c>
      <c r="G383" s="3">
        <v>45514</v>
      </c>
    </row>
    <row r="384" spans="1:7">
      <c r="A384" s="2" t="s">
        <v>1587</v>
      </c>
      <c r="B384" s="2" t="s">
        <v>2267</v>
      </c>
      <c r="C384" s="2" t="s">
        <v>2123</v>
      </c>
      <c r="D384" s="2">
        <v>1998</v>
      </c>
      <c r="E384" s="2" t="s">
        <v>2120</v>
      </c>
      <c r="F384" s="2" t="s">
        <v>2124</v>
      </c>
      <c r="G384" s="3">
        <v>41745</v>
      </c>
    </row>
    <row r="385" spans="1:7">
      <c r="A385" s="2" t="s">
        <v>1038</v>
      </c>
      <c r="B385" s="2" t="s">
        <v>2425</v>
      </c>
      <c r="C385" s="2" t="s">
        <v>2119</v>
      </c>
      <c r="D385" s="2">
        <v>1976</v>
      </c>
      <c r="E385" s="2" t="s">
        <v>2120</v>
      </c>
      <c r="F385" s="2" t="s">
        <v>2121</v>
      </c>
      <c r="G385" s="3">
        <v>42975</v>
      </c>
    </row>
    <row r="386" spans="1:7">
      <c r="A386" s="2" t="s">
        <v>1523</v>
      </c>
      <c r="B386" s="2" t="s">
        <v>2456</v>
      </c>
      <c r="C386" s="2" t="s">
        <v>2123</v>
      </c>
      <c r="D386" s="2">
        <v>1994</v>
      </c>
      <c r="E386" s="2" t="s">
        <v>2120</v>
      </c>
      <c r="F386" s="2" t="s">
        <v>2124</v>
      </c>
      <c r="G386" s="3">
        <v>41225</v>
      </c>
    </row>
    <row r="387" spans="1:7">
      <c r="A387" s="2" t="s">
        <v>2097</v>
      </c>
      <c r="B387" s="2" t="s">
        <v>2352</v>
      </c>
      <c r="C387" s="2" t="s">
        <v>2119</v>
      </c>
      <c r="D387" s="2">
        <v>1999</v>
      </c>
      <c r="E387" s="2" t="s">
        <v>2136</v>
      </c>
      <c r="F387" s="2" t="s">
        <v>2124</v>
      </c>
      <c r="G387" s="3">
        <v>43070</v>
      </c>
    </row>
    <row r="388" spans="1:7">
      <c r="A388" s="2" t="s">
        <v>839</v>
      </c>
      <c r="B388" s="2" t="s">
        <v>2356</v>
      </c>
      <c r="C388" s="2" t="s">
        <v>2119</v>
      </c>
      <c r="D388" s="2">
        <v>1992</v>
      </c>
      <c r="E388" s="2" t="s">
        <v>2120</v>
      </c>
      <c r="F388" s="2" t="s">
        <v>2124</v>
      </c>
      <c r="G388" s="3">
        <v>44078</v>
      </c>
    </row>
    <row r="389" spans="1:7">
      <c r="A389" s="2" t="s">
        <v>1231</v>
      </c>
      <c r="B389" s="2" t="s">
        <v>2163</v>
      </c>
      <c r="C389" s="2" t="s">
        <v>2123</v>
      </c>
      <c r="D389" s="2">
        <v>2000</v>
      </c>
      <c r="E389" s="2" t="s">
        <v>2120</v>
      </c>
      <c r="F389" s="2" t="s">
        <v>2190</v>
      </c>
      <c r="G389" s="3">
        <v>42315</v>
      </c>
    </row>
    <row r="390" spans="1:7">
      <c r="A390" s="2" t="s">
        <v>2457</v>
      </c>
      <c r="B390" s="2" t="s">
        <v>2351</v>
      </c>
      <c r="C390" s="2" t="s">
        <v>2119</v>
      </c>
      <c r="D390" s="2">
        <v>2004</v>
      </c>
      <c r="E390" s="2" t="s">
        <v>2120</v>
      </c>
      <c r="F390" s="2" t="s">
        <v>2124</v>
      </c>
      <c r="G390" s="3">
        <v>44358</v>
      </c>
    </row>
    <row r="391" spans="1:7">
      <c r="A391" s="2" t="s">
        <v>798</v>
      </c>
      <c r="B391" s="2" t="s">
        <v>2458</v>
      </c>
      <c r="C391" s="2" t="s">
        <v>2123</v>
      </c>
      <c r="D391" s="2">
        <v>1996</v>
      </c>
      <c r="E391" s="2" t="s">
        <v>2120</v>
      </c>
      <c r="F391" s="2" t="s">
        <v>2124</v>
      </c>
      <c r="G391" s="3">
        <v>42394</v>
      </c>
    </row>
    <row r="392" spans="1:7">
      <c r="A392" s="2" t="s">
        <v>807</v>
      </c>
      <c r="B392" s="2" t="s">
        <v>2253</v>
      </c>
      <c r="C392" s="2" t="s">
        <v>2119</v>
      </c>
      <c r="D392" s="2">
        <v>1993</v>
      </c>
      <c r="E392" s="2" t="s">
        <v>2120</v>
      </c>
      <c r="F392" s="2" t="s">
        <v>2124</v>
      </c>
      <c r="G392" s="3">
        <v>43373</v>
      </c>
    </row>
    <row r="393" spans="1:7">
      <c r="A393" s="2" t="s">
        <v>1477</v>
      </c>
      <c r="B393" s="2" t="s">
        <v>2459</v>
      </c>
      <c r="C393" s="2" t="s">
        <v>2123</v>
      </c>
      <c r="D393" s="2">
        <v>1973</v>
      </c>
      <c r="E393" s="2" t="s">
        <v>2136</v>
      </c>
      <c r="F393" s="2" t="s">
        <v>2124</v>
      </c>
      <c r="G393" s="3">
        <v>45608</v>
      </c>
    </row>
    <row r="394" spans="1:7">
      <c r="A394" s="2" t="s">
        <v>127</v>
      </c>
      <c r="B394" s="2" t="s">
        <v>2122</v>
      </c>
      <c r="C394" s="2" t="s">
        <v>2123</v>
      </c>
      <c r="D394" s="2">
        <v>2001</v>
      </c>
      <c r="E394" s="2" t="s">
        <v>2136</v>
      </c>
      <c r="F394" s="2" t="s">
        <v>2121</v>
      </c>
      <c r="G394" s="3">
        <v>41758</v>
      </c>
    </row>
    <row r="395" spans="1:7">
      <c r="A395" s="2" t="s">
        <v>1590</v>
      </c>
      <c r="B395" s="2" t="s">
        <v>2185</v>
      </c>
      <c r="C395" s="2" t="s">
        <v>2119</v>
      </c>
      <c r="D395" s="2">
        <v>1975</v>
      </c>
      <c r="E395" s="2" t="s">
        <v>2120</v>
      </c>
      <c r="F395" s="2" t="s">
        <v>2121</v>
      </c>
      <c r="G395" s="3">
        <v>42492</v>
      </c>
    </row>
    <row r="396" spans="1:7">
      <c r="A396" s="2" t="s">
        <v>1810</v>
      </c>
      <c r="B396" s="2" t="s">
        <v>2330</v>
      </c>
      <c r="C396" s="2" t="s">
        <v>2119</v>
      </c>
      <c r="D396" s="2">
        <v>1997</v>
      </c>
      <c r="E396" s="2" t="s">
        <v>2136</v>
      </c>
      <c r="F396" s="2" t="s">
        <v>2121</v>
      </c>
      <c r="G396" s="3">
        <v>41261</v>
      </c>
    </row>
    <row r="397" spans="1:7">
      <c r="A397" s="2" t="s">
        <v>2460</v>
      </c>
      <c r="B397" s="2" t="s">
        <v>2414</v>
      </c>
      <c r="C397" s="2" t="s">
        <v>2123</v>
      </c>
      <c r="D397" s="2">
        <v>1982</v>
      </c>
      <c r="E397" s="2" t="s">
        <v>2136</v>
      </c>
      <c r="F397" s="2" t="s">
        <v>2121</v>
      </c>
      <c r="G397" s="3">
        <v>43558</v>
      </c>
    </row>
    <row r="398" spans="1:7">
      <c r="A398" s="2" t="s">
        <v>821</v>
      </c>
      <c r="B398" s="2" t="s">
        <v>2461</v>
      </c>
      <c r="C398" s="2" t="s">
        <v>2119</v>
      </c>
      <c r="D398" s="2">
        <v>2004</v>
      </c>
      <c r="E398" s="2" t="s">
        <v>2120</v>
      </c>
      <c r="F398" s="2" t="s">
        <v>2190</v>
      </c>
      <c r="G398" s="3">
        <v>40979</v>
      </c>
    </row>
    <row r="399" spans="1:7">
      <c r="A399" s="2" t="s">
        <v>479</v>
      </c>
      <c r="B399" s="2" t="s">
        <v>2410</v>
      </c>
      <c r="C399" s="2" t="s">
        <v>2119</v>
      </c>
      <c r="D399" s="2">
        <v>1977</v>
      </c>
      <c r="E399" s="2" t="s">
        <v>2120</v>
      </c>
      <c r="F399" s="2" t="s">
        <v>2124</v>
      </c>
      <c r="G399" s="3">
        <v>45728</v>
      </c>
    </row>
    <row r="400" spans="1:7">
      <c r="A400" s="2" t="s">
        <v>1645</v>
      </c>
      <c r="B400" s="2" t="s">
        <v>2462</v>
      </c>
      <c r="C400" s="2" t="s">
        <v>2119</v>
      </c>
      <c r="D400" s="2">
        <v>1991</v>
      </c>
      <c r="E400" s="2" t="s">
        <v>2120</v>
      </c>
      <c r="F400" s="2" t="s">
        <v>2121</v>
      </c>
      <c r="G400" s="3">
        <v>41458</v>
      </c>
    </row>
    <row r="401" spans="1:7">
      <c r="A401" s="2" t="s">
        <v>1601</v>
      </c>
      <c r="B401" s="2" t="s">
        <v>2150</v>
      </c>
      <c r="C401" s="2" t="s">
        <v>2123</v>
      </c>
      <c r="D401" s="2">
        <v>1979</v>
      </c>
      <c r="E401" s="2" t="s">
        <v>2120</v>
      </c>
      <c r="F401" s="2" t="s">
        <v>2124</v>
      </c>
      <c r="G401" s="3">
        <v>42043</v>
      </c>
    </row>
    <row r="402" spans="1:7">
      <c r="A402" s="2" t="s">
        <v>1686</v>
      </c>
      <c r="B402" s="2" t="s">
        <v>2165</v>
      </c>
      <c r="C402" s="2" t="s">
        <v>2119</v>
      </c>
      <c r="D402" s="2">
        <v>1988</v>
      </c>
      <c r="E402" s="2" t="s">
        <v>2136</v>
      </c>
      <c r="F402" s="2" t="s">
        <v>2121</v>
      </c>
      <c r="G402" s="3">
        <v>44891</v>
      </c>
    </row>
    <row r="403" spans="1:7">
      <c r="A403" s="2" t="s">
        <v>260</v>
      </c>
      <c r="B403" s="2" t="s">
        <v>2463</v>
      </c>
      <c r="C403" s="2" t="s">
        <v>2123</v>
      </c>
      <c r="D403" s="2">
        <v>1999</v>
      </c>
      <c r="E403" s="2" t="s">
        <v>2136</v>
      </c>
      <c r="F403" s="2" t="s">
        <v>2124</v>
      </c>
      <c r="G403" s="3">
        <v>40530</v>
      </c>
    </row>
    <row r="404" spans="1:7">
      <c r="A404" s="2" t="s">
        <v>2464</v>
      </c>
      <c r="B404" s="2" t="s">
        <v>2465</v>
      </c>
      <c r="C404" s="2" t="s">
        <v>2123</v>
      </c>
      <c r="D404" s="2">
        <v>1993</v>
      </c>
      <c r="E404" s="2" t="s">
        <v>2120</v>
      </c>
      <c r="F404" s="2" t="s">
        <v>2124</v>
      </c>
      <c r="G404" s="3">
        <v>43010</v>
      </c>
    </row>
    <row r="405" spans="1:7">
      <c r="A405" s="2" t="s">
        <v>2466</v>
      </c>
      <c r="B405" s="2" t="s">
        <v>2171</v>
      </c>
      <c r="C405" s="2" t="s">
        <v>2123</v>
      </c>
      <c r="D405" s="2">
        <v>1994</v>
      </c>
      <c r="E405" s="2" t="s">
        <v>2120</v>
      </c>
      <c r="F405" s="2" t="s">
        <v>2121</v>
      </c>
      <c r="G405" s="3">
        <v>41987</v>
      </c>
    </row>
    <row r="406" spans="1:7">
      <c r="A406" s="2" t="s">
        <v>53</v>
      </c>
      <c r="B406" s="2" t="s">
        <v>2467</v>
      </c>
      <c r="C406" s="2" t="s">
        <v>2123</v>
      </c>
      <c r="D406" s="2">
        <v>2003</v>
      </c>
      <c r="E406" s="2" t="s">
        <v>2120</v>
      </c>
      <c r="F406" s="2" t="s">
        <v>2190</v>
      </c>
      <c r="G406" s="3">
        <v>45844</v>
      </c>
    </row>
    <row r="407" spans="1:7">
      <c r="A407" s="2" t="s">
        <v>202</v>
      </c>
      <c r="B407" s="2" t="s">
        <v>2202</v>
      </c>
      <c r="C407" s="2" t="s">
        <v>2119</v>
      </c>
      <c r="D407" s="2">
        <v>1962</v>
      </c>
      <c r="E407" s="2" t="s">
        <v>2136</v>
      </c>
      <c r="F407" s="2" t="s">
        <v>2124</v>
      </c>
      <c r="G407" s="3">
        <v>44372</v>
      </c>
    </row>
    <row r="408" spans="1:7">
      <c r="A408" s="2" t="s">
        <v>2468</v>
      </c>
      <c r="B408" s="2" t="s">
        <v>2236</v>
      </c>
      <c r="C408" s="2" t="s">
        <v>2123</v>
      </c>
      <c r="D408" s="2">
        <v>1996</v>
      </c>
      <c r="E408" s="2" t="s">
        <v>2120</v>
      </c>
      <c r="F408" s="2" t="s">
        <v>2121</v>
      </c>
      <c r="G408" s="3">
        <v>44759</v>
      </c>
    </row>
    <row r="409" spans="1:7">
      <c r="A409" s="2" t="s">
        <v>569</v>
      </c>
      <c r="B409" s="2" t="s">
        <v>2419</v>
      </c>
      <c r="C409" s="2" t="s">
        <v>2123</v>
      </c>
      <c r="D409" s="2">
        <v>1972</v>
      </c>
      <c r="E409" s="2" t="s">
        <v>2136</v>
      </c>
      <c r="F409" s="2" t="s">
        <v>2124</v>
      </c>
      <c r="G409" s="3">
        <v>42311</v>
      </c>
    </row>
    <row r="410" spans="1:7">
      <c r="A410" s="2" t="s">
        <v>2469</v>
      </c>
      <c r="B410" s="2" t="s">
        <v>2470</v>
      </c>
      <c r="C410" s="2" t="s">
        <v>2123</v>
      </c>
      <c r="D410" s="2">
        <v>1981</v>
      </c>
      <c r="E410" s="2" t="s">
        <v>2120</v>
      </c>
      <c r="F410" s="2" t="s">
        <v>2124</v>
      </c>
      <c r="G410" s="3">
        <v>42723</v>
      </c>
    </row>
    <row r="411" spans="1:7">
      <c r="A411" s="2" t="s">
        <v>1775</v>
      </c>
      <c r="B411" s="2" t="s">
        <v>2347</v>
      </c>
      <c r="C411" s="2" t="s">
        <v>2123</v>
      </c>
      <c r="D411" s="2">
        <v>1994</v>
      </c>
      <c r="E411" s="2" t="s">
        <v>2120</v>
      </c>
      <c r="F411" s="2" t="s">
        <v>2124</v>
      </c>
      <c r="G411" s="3">
        <v>42159</v>
      </c>
    </row>
    <row r="412" spans="1:7">
      <c r="A412" s="2" t="s">
        <v>352</v>
      </c>
      <c r="B412" s="2" t="s">
        <v>2340</v>
      </c>
      <c r="C412" s="2" t="s">
        <v>2119</v>
      </c>
      <c r="D412" s="2">
        <v>2002</v>
      </c>
      <c r="E412" s="2" t="s">
        <v>2120</v>
      </c>
      <c r="F412" s="2" t="s">
        <v>2124</v>
      </c>
      <c r="G412" s="3">
        <v>45976</v>
      </c>
    </row>
    <row r="413" spans="1:7">
      <c r="A413" s="2" t="s">
        <v>607</v>
      </c>
      <c r="B413" s="2" t="s">
        <v>2339</v>
      </c>
      <c r="C413" s="2" t="s">
        <v>2123</v>
      </c>
      <c r="D413" s="2">
        <v>1992</v>
      </c>
      <c r="E413" s="2" t="s">
        <v>2120</v>
      </c>
      <c r="F413" s="2" t="s">
        <v>2124</v>
      </c>
      <c r="G413" s="3">
        <v>41565</v>
      </c>
    </row>
    <row r="414" spans="1:7">
      <c r="A414" s="2" t="s">
        <v>288</v>
      </c>
      <c r="B414" s="2" t="s">
        <v>2323</v>
      </c>
      <c r="C414" s="2" t="s">
        <v>2123</v>
      </c>
      <c r="D414" s="2">
        <v>2004</v>
      </c>
      <c r="E414" s="2" t="s">
        <v>2136</v>
      </c>
      <c r="F414" s="2" t="s">
        <v>2124</v>
      </c>
      <c r="G414" s="3">
        <v>41869</v>
      </c>
    </row>
    <row r="415" spans="1:7">
      <c r="A415" s="2" t="s">
        <v>2471</v>
      </c>
      <c r="B415" s="2" t="s">
        <v>2259</v>
      </c>
      <c r="C415" s="2" t="s">
        <v>2119</v>
      </c>
      <c r="D415" s="2">
        <v>1981</v>
      </c>
      <c r="E415" s="2" t="s">
        <v>2120</v>
      </c>
      <c r="F415" s="2" t="s">
        <v>2124</v>
      </c>
      <c r="G415" s="3">
        <v>42479</v>
      </c>
    </row>
    <row r="416" spans="1:7">
      <c r="A416" s="2" t="s">
        <v>276</v>
      </c>
      <c r="B416" s="2" t="s">
        <v>2237</v>
      </c>
      <c r="C416" s="2" t="s">
        <v>2123</v>
      </c>
      <c r="D416" s="2">
        <v>1994</v>
      </c>
      <c r="E416" s="2" t="s">
        <v>2120</v>
      </c>
      <c r="F416" s="2" t="s">
        <v>2124</v>
      </c>
      <c r="G416" s="3">
        <v>42837</v>
      </c>
    </row>
    <row r="417" spans="1:7">
      <c r="A417" s="2" t="s">
        <v>2472</v>
      </c>
      <c r="B417" s="2" t="s">
        <v>2417</v>
      </c>
      <c r="C417" s="2" t="s">
        <v>2119</v>
      </c>
      <c r="D417" s="2">
        <v>1981</v>
      </c>
      <c r="E417" s="2" t="s">
        <v>2120</v>
      </c>
      <c r="F417" s="2" t="s">
        <v>2124</v>
      </c>
      <c r="G417" s="3">
        <v>40267</v>
      </c>
    </row>
    <row r="418" spans="1:7">
      <c r="A418" s="2" t="s">
        <v>2021</v>
      </c>
      <c r="B418" s="2" t="s">
        <v>2455</v>
      </c>
      <c r="C418" s="2" t="s">
        <v>2119</v>
      </c>
      <c r="D418" s="2">
        <v>1996</v>
      </c>
      <c r="E418" s="2" t="s">
        <v>2120</v>
      </c>
      <c r="F418" s="2" t="s">
        <v>2121</v>
      </c>
      <c r="G418" s="3">
        <v>42345</v>
      </c>
    </row>
    <row r="419" spans="1:7">
      <c r="A419" s="2" t="s">
        <v>1558</v>
      </c>
      <c r="B419" s="2" t="s">
        <v>2148</v>
      </c>
      <c r="C419" s="2" t="s">
        <v>2119</v>
      </c>
      <c r="D419" s="2">
        <v>1987</v>
      </c>
      <c r="E419" s="2" t="s">
        <v>2136</v>
      </c>
      <c r="F419" s="2" t="s">
        <v>2124</v>
      </c>
      <c r="G419" s="3">
        <v>43122</v>
      </c>
    </row>
    <row r="420" spans="1:7">
      <c r="A420" s="2" t="s">
        <v>1578</v>
      </c>
      <c r="B420" s="2" t="s">
        <v>2320</v>
      </c>
      <c r="C420" s="2" t="s">
        <v>2119</v>
      </c>
      <c r="D420" s="2">
        <v>1991</v>
      </c>
      <c r="E420" s="2" t="s">
        <v>2136</v>
      </c>
      <c r="F420" s="2" t="s">
        <v>2121</v>
      </c>
      <c r="G420" s="3">
        <v>45528</v>
      </c>
    </row>
    <row r="421" spans="1:7">
      <c r="A421" s="2" t="s">
        <v>216</v>
      </c>
      <c r="B421" s="2" t="s">
        <v>2363</v>
      </c>
      <c r="C421" s="2" t="s">
        <v>2123</v>
      </c>
      <c r="D421" s="2">
        <v>1996</v>
      </c>
      <c r="E421" s="2" t="s">
        <v>2120</v>
      </c>
      <c r="F421" s="2" t="s">
        <v>2124</v>
      </c>
      <c r="G421" s="3">
        <v>41367</v>
      </c>
    </row>
    <row r="422" spans="1:7">
      <c r="A422" s="2" t="s">
        <v>726</v>
      </c>
      <c r="B422" s="2" t="s">
        <v>2340</v>
      </c>
      <c r="C422" s="2" t="s">
        <v>2119</v>
      </c>
      <c r="D422" s="2">
        <v>2003</v>
      </c>
      <c r="E422" s="2" t="s">
        <v>2120</v>
      </c>
      <c r="F422" s="2" t="s">
        <v>2190</v>
      </c>
      <c r="G422" s="3">
        <v>45766</v>
      </c>
    </row>
    <row r="423" spans="1:7">
      <c r="A423" s="2" t="s">
        <v>1302</v>
      </c>
      <c r="B423" s="2" t="s">
        <v>2473</v>
      </c>
      <c r="C423" s="2" t="s">
        <v>2123</v>
      </c>
      <c r="D423" s="2">
        <v>1995</v>
      </c>
      <c r="E423" s="2" t="s">
        <v>2120</v>
      </c>
      <c r="F423" s="2" t="s">
        <v>2121</v>
      </c>
      <c r="G423" s="3">
        <v>43286</v>
      </c>
    </row>
    <row r="424" spans="1:7">
      <c r="A424" s="2" t="s">
        <v>468</v>
      </c>
      <c r="B424" s="2" t="s">
        <v>2303</v>
      </c>
      <c r="C424" s="2" t="s">
        <v>2119</v>
      </c>
      <c r="D424" s="2">
        <v>1975</v>
      </c>
      <c r="E424" s="2" t="s">
        <v>2120</v>
      </c>
      <c r="F424" s="2" t="s">
        <v>2190</v>
      </c>
      <c r="G424" s="3">
        <v>42256</v>
      </c>
    </row>
    <row r="425" spans="1:7">
      <c r="A425" s="2" t="s">
        <v>751</v>
      </c>
      <c r="B425" s="2" t="s">
        <v>2474</v>
      </c>
      <c r="C425" s="2" t="s">
        <v>2123</v>
      </c>
      <c r="D425" s="2">
        <v>1970</v>
      </c>
      <c r="E425" s="2" t="s">
        <v>2136</v>
      </c>
      <c r="F425" s="2" t="s">
        <v>2190</v>
      </c>
      <c r="G425" s="3">
        <v>45959</v>
      </c>
    </row>
    <row r="426" spans="1:7">
      <c r="A426" s="2" t="s">
        <v>2475</v>
      </c>
      <c r="B426" s="2" t="s">
        <v>2163</v>
      </c>
      <c r="C426" s="2" t="s">
        <v>2123</v>
      </c>
      <c r="D426" s="2">
        <v>1987</v>
      </c>
      <c r="E426" s="2" t="s">
        <v>2120</v>
      </c>
      <c r="F426" s="2" t="s">
        <v>2124</v>
      </c>
      <c r="G426" s="3">
        <v>42633</v>
      </c>
    </row>
    <row r="427" spans="1:7">
      <c r="A427" s="2" t="s">
        <v>2476</v>
      </c>
      <c r="B427" s="2" t="s">
        <v>2255</v>
      </c>
      <c r="C427" s="2" t="s">
        <v>2123</v>
      </c>
      <c r="D427" s="2">
        <v>1994</v>
      </c>
      <c r="E427" s="2" t="s">
        <v>2120</v>
      </c>
      <c r="F427" s="2" t="s">
        <v>2124</v>
      </c>
      <c r="G427" s="3">
        <v>43467</v>
      </c>
    </row>
    <row r="428" spans="1:7">
      <c r="A428" s="2" t="s">
        <v>1808</v>
      </c>
      <c r="B428" s="2" t="s">
        <v>2375</v>
      </c>
      <c r="C428" s="2" t="s">
        <v>2123</v>
      </c>
      <c r="D428" s="2">
        <v>1985</v>
      </c>
      <c r="E428" s="2" t="s">
        <v>2120</v>
      </c>
      <c r="F428" s="2" t="s">
        <v>2121</v>
      </c>
      <c r="G428" s="3">
        <v>40201</v>
      </c>
    </row>
    <row r="429" spans="1:7">
      <c r="A429" s="2" t="s">
        <v>891</v>
      </c>
      <c r="B429" s="2" t="s">
        <v>2118</v>
      </c>
      <c r="C429" s="2" t="s">
        <v>2119</v>
      </c>
      <c r="D429" s="2">
        <v>1978</v>
      </c>
      <c r="E429" s="2" t="s">
        <v>2120</v>
      </c>
      <c r="F429" s="2" t="s">
        <v>2124</v>
      </c>
      <c r="G429" s="3">
        <v>43629</v>
      </c>
    </row>
    <row r="430" spans="1:7">
      <c r="A430" s="2" t="s">
        <v>771</v>
      </c>
      <c r="B430" s="2" t="s">
        <v>2147</v>
      </c>
      <c r="C430" s="2" t="s">
        <v>2123</v>
      </c>
      <c r="D430" s="2">
        <v>1956</v>
      </c>
      <c r="E430" s="2" t="s">
        <v>2136</v>
      </c>
      <c r="F430" s="2" t="s">
        <v>2124</v>
      </c>
      <c r="G430" s="3">
        <v>41526</v>
      </c>
    </row>
    <row r="431" spans="1:7">
      <c r="A431" s="2" t="s">
        <v>2041</v>
      </c>
      <c r="B431" s="2" t="s">
        <v>2376</v>
      </c>
      <c r="C431" s="2" t="s">
        <v>2119</v>
      </c>
      <c r="D431" s="2">
        <v>1985</v>
      </c>
      <c r="E431" s="2" t="s">
        <v>2120</v>
      </c>
      <c r="F431" s="2" t="s">
        <v>2124</v>
      </c>
      <c r="G431" s="3">
        <v>41779</v>
      </c>
    </row>
    <row r="432" spans="1:7">
      <c r="A432" s="2" t="s">
        <v>2477</v>
      </c>
      <c r="B432" s="2" t="s">
        <v>2332</v>
      </c>
      <c r="C432" s="2" t="s">
        <v>2123</v>
      </c>
      <c r="D432" s="2">
        <v>1980</v>
      </c>
      <c r="E432" s="2" t="s">
        <v>2120</v>
      </c>
      <c r="F432" s="2" t="s">
        <v>2190</v>
      </c>
      <c r="G432" s="3">
        <v>45304</v>
      </c>
    </row>
    <row r="433" spans="1:7">
      <c r="A433" s="2" t="s">
        <v>471</v>
      </c>
      <c r="B433" s="2" t="s">
        <v>2478</v>
      </c>
      <c r="C433" s="2" t="s">
        <v>2123</v>
      </c>
      <c r="D433" s="2">
        <v>2003</v>
      </c>
      <c r="E433" s="2" t="s">
        <v>2120</v>
      </c>
      <c r="F433" s="2" t="s">
        <v>2121</v>
      </c>
      <c r="G433" s="3">
        <v>40670</v>
      </c>
    </row>
    <row r="434" spans="1:7">
      <c r="A434" s="2" t="s">
        <v>1236</v>
      </c>
      <c r="B434" s="2" t="s">
        <v>2417</v>
      </c>
      <c r="C434" s="2" t="s">
        <v>2119</v>
      </c>
      <c r="D434" s="2">
        <v>1993</v>
      </c>
      <c r="E434" s="2" t="s">
        <v>2120</v>
      </c>
      <c r="F434" s="2" t="s">
        <v>2124</v>
      </c>
      <c r="G434" s="3">
        <v>43198</v>
      </c>
    </row>
    <row r="435" spans="1:7">
      <c r="A435" s="2" t="s">
        <v>1741</v>
      </c>
      <c r="B435" s="2" t="s">
        <v>2450</v>
      </c>
      <c r="C435" s="2" t="s">
        <v>2123</v>
      </c>
      <c r="D435" s="2">
        <v>2000</v>
      </c>
      <c r="E435" s="2" t="s">
        <v>2120</v>
      </c>
      <c r="F435" s="2" t="s">
        <v>2121</v>
      </c>
      <c r="G435" s="3">
        <v>41726</v>
      </c>
    </row>
    <row r="436" spans="1:7">
      <c r="A436" s="2" t="s">
        <v>409</v>
      </c>
      <c r="B436" s="2" t="s">
        <v>2193</v>
      </c>
      <c r="C436" s="2" t="s">
        <v>2119</v>
      </c>
      <c r="D436" s="2">
        <v>1966</v>
      </c>
      <c r="E436" s="2" t="s">
        <v>2120</v>
      </c>
      <c r="F436" s="2" t="s">
        <v>2124</v>
      </c>
      <c r="G436" s="3">
        <v>44936</v>
      </c>
    </row>
    <row r="437" spans="1:7">
      <c r="A437" s="2" t="s">
        <v>2479</v>
      </c>
      <c r="B437" s="2" t="s">
        <v>2480</v>
      </c>
      <c r="C437" s="2" t="s">
        <v>2119</v>
      </c>
      <c r="D437" s="2">
        <v>1976</v>
      </c>
      <c r="E437" s="2" t="s">
        <v>2120</v>
      </c>
      <c r="F437" s="2" t="s">
        <v>2124</v>
      </c>
      <c r="G437" s="3">
        <v>42040</v>
      </c>
    </row>
    <row r="438" spans="1:7">
      <c r="A438" s="2" t="s">
        <v>1371</v>
      </c>
      <c r="B438" s="2" t="s">
        <v>2122</v>
      </c>
      <c r="C438" s="2" t="s">
        <v>2123</v>
      </c>
      <c r="D438" s="2">
        <v>1996</v>
      </c>
      <c r="E438" s="2" t="s">
        <v>2120</v>
      </c>
      <c r="F438" s="2" t="s">
        <v>2121</v>
      </c>
      <c r="G438" s="3">
        <v>45501</v>
      </c>
    </row>
    <row r="439" spans="1:7">
      <c r="A439" s="2" t="s">
        <v>68</v>
      </c>
      <c r="B439" s="2" t="s">
        <v>2419</v>
      </c>
      <c r="C439" s="2" t="s">
        <v>2123</v>
      </c>
      <c r="D439" s="2">
        <v>1993</v>
      </c>
      <c r="E439" s="2" t="s">
        <v>2136</v>
      </c>
      <c r="F439" s="2" t="s">
        <v>2124</v>
      </c>
      <c r="G439" s="3">
        <v>43932</v>
      </c>
    </row>
    <row r="440" spans="1:7">
      <c r="A440" s="2" t="s">
        <v>758</v>
      </c>
      <c r="B440" s="2" t="s">
        <v>2481</v>
      </c>
      <c r="C440" s="2" t="s">
        <v>2123</v>
      </c>
      <c r="D440" s="2">
        <v>1987</v>
      </c>
      <c r="E440" s="2" t="s">
        <v>2120</v>
      </c>
      <c r="F440" s="2" t="s">
        <v>2124</v>
      </c>
      <c r="G440" s="3">
        <v>43521</v>
      </c>
    </row>
    <row r="441" spans="1:7">
      <c r="A441" s="2" t="s">
        <v>523</v>
      </c>
      <c r="B441" s="2" t="s">
        <v>2373</v>
      </c>
      <c r="C441" s="2" t="s">
        <v>2123</v>
      </c>
      <c r="D441" s="2">
        <v>1985</v>
      </c>
      <c r="E441" s="2" t="s">
        <v>2136</v>
      </c>
      <c r="F441" s="2" t="s">
        <v>2124</v>
      </c>
      <c r="G441" s="3">
        <v>41117</v>
      </c>
    </row>
    <row r="442" spans="1:7">
      <c r="A442" s="2" t="s">
        <v>337</v>
      </c>
      <c r="B442" s="2" t="s">
        <v>2149</v>
      </c>
      <c r="C442" s="2" t="s">
        <v>2123</v>
      </c>
      <c r="D442" s="2">
        <v>1999</v>
      </c>
      <c r="E442" s="2" t="s">
        <v>2120</v>
      </c>
      <c r="F442" s="2" t="s">
        <v>2124</v>
      </c>
      <c r="G442" s="3">
        <v>41748</v>
      </c>
    </row>
    <row r="443" spans="1:7">
      <c r="A443" s="2" t="s">
        <v>1962</v>
      </c>
      <c r="B443" s="2" t="s">
        <v>2410</v>
      </c>
      <c r="C443" s="2" t="s">
        <v>2119</v>
      </c>
      <c r="D443" s="2">
        <v>1971</v>
      </c>
      <c r="E443" s="2" t="s">
        <v>2136</v>
      </c>
      <c r="F443" s="2" t="s">
        <v>2124</v>
      </c>
      <c r="G443" s="3">
        <v>42119</v>
      </c>
    </row>
    <row r="444" spans="1:7">
      <c r="A444" s="2" t="s">
        <v>2482</v>
      </c>
      <c r="B444" s="2" t="s">
        <v>2216</v>
      </c>
      <c r="C444" s="2" t="s">
        <v>2119</v>
      </c>
      <c r="D444" s="2">
        <v>1957</v>
      </c>
      <c r="E444" s="2" t="s">
        <v>2120</v>
      </c>
      <c r="F444" s="2" t="s">
        <v>2124</v>
      </c>
      <c r="G444" s="3">
        <v>42636</v>
      </c>
    </row>
    <row r="445" spans="1:7">
      <c r="A445" s="2" t="s">
        <v>805</v>
      </c>
      <c r="B445" s="2" t="s">
        <v>2371</v>
      </c>
      <c r="C445" s="2" t="s">
        <v>2123</v>
      </c>
      <c r="D445" s="2">
        <v>2001</v>
      </c>
      <c r="E445" s="2" t="s">
        <v>2120</v>
      </c>
      <c r="F445" s="2" t="s">
        <v>2190</v>
      </c>
      <c r="G445" s="3">
        <v>41830</v>
      </c>
    </row>
    <row r="446" spans="1:7">
      <c r="A446" s="2" t="s">
        <v>928</v>
      </c>
      <c r="B446" s="2" t="s">
        <v>2483</v>
      </c>
      <c r="C446" s="2" t="s">
        <v>2123</v>
      </c>
      <c r="D446" s="2">
        <v>2000</v>
      </c>
      <c r="E446" s="2" t="s">
        <v>2120</v>
      </c>
      <c r="F446" s="2" t="s">
        <v>2121</v>
      </c>
      <c r="G446" s="3">
        <v>42975</v>
      </c>
    </row>
    <row r="447" spans="1:7">
      <c r="A447" s="2" t="s">
        <v>200</v>
      </c>
      <c r="B447" s="2" t="s">
        <v>2484</v>
      </c>
      <c r="C447" s="2" t="s">
        <v>2123</v>
      </c>
      <c r="D447" s="2">
        <v>1976</v>
      </c>
      <c r="E447" s="2" t="s">
        <v>2120</v>
      </c>
      <c r="F447" s="2" t="s">
        <v>2124</v>
      </c>
      <c r="G447" s="3">
        <v>44477</v>
      </c>
    </row>
    <row r="448" spans="1:7">
      <c r="A448" s="2" t="s">
        <v>1692</v>
      </c>
      <c r="B448" s="2" t="s">
        <v>2197</v>
      </c>
      <c r="C448" s="2" t="s">
        <v>2119</v>
      </c>
      <c r="D448" s="2">
        <v>1998</v>
      </c>
      <c r="E448" s="2" t="s">
        <v>2120</v>
      </c>
      <c r="F448" s="2" t="s">
        <v>2124</v>
      </c>
      <c r="G448" s="3">
        <v>42860</v>
      </c>
    </row>
    <row r="449" spans="1:7">
      <c r="A449" s="2" t="s">
        <v>2485</v>
      </c>
      <c r="B449" s="2" t="s">
        <v>2170</v>
      </c>
      <c r="C449" s="2" t="s">
        <v>2123</v>
      </c>
      <c r="D449" s="2">
        <v>2002</v>
      </c>
      <c r="E449" s="2" t="s">
        <v>2120</v>
      </c>
      <c r="F449" s="2" t="s">
        <v>2124</v>
      </c>
      <c r="G449" s="3">
        <v>41761</v>
      </c>
    </row>
    <row r="450" spans="1:7">
      <c r="A450" s="2" t="s">
        <v>2486</v>
      </c>
      <c r="B450" s="2" t="s">
        <v>2376</v>
      </c>
      <c r="C450" s="2" t="s">
        <v>2119</v>
      </c>
      <c r="D450" s="2">
        <v>1999</v>
      </c>
      <c r="E450" s="2" t="s">
        <v>2120</v>
      </c>
      <c r="F450" s="2" t="s">
        <v>2124</v>
      </c>
      <c r="G450" s="3">
        <v>40350</v>
      </c>
    </row>
    <row r="451" spans="1:7">
      <c r="A451" s="2" t="s">
        <v>2487</v>
      </c>
      <c r="B451" s="2" t="s">
        <v>2463</v>
      </c>
      <c r="C451" s="2" t="s">
        <v>2123</v>
      </c>
      <c r="D451" s="2">
        <v>1998</v>
      </c>
      <c r="E451" s="2" t="s">
        <v>2120</v>
      </c>
      <c r="F451" s="2" t="s">
        <v>2124</v>
      </c>
      <c r="G451" s="3">
        <v>42554</v>
      </c>
    </row>
    <row r="452" spans="1:7">
      <c r="A452" s="2" t="s">
        <v>198</v>
      </c>
      <c r="B452" s="2" t="s">
        <v>2290</v>
      </c>
      <c r="C452" s="2" t="s">
        <v>2119</v>
      </c>
      <c r="D452" s="2">
        <v>1990</v>
      </c>
      <c r="E452" s="2" t="s">
        <v>2120</v>
      </c>
      <c r="F452" s="2" t="s">
        <v>2190</v>
      </c>
      <c r="G452" s="3">
        <v>42380</v>
      </c>
    </row>
    <row r="453" spans="1:7">
      <c r="A453" s="2" t="s">
        <v>1043</v>
      </c>
      <c r="B453" s="2" t="s">
        <v>2262</v>
      </c>
      <c r="C453" s="2" t="s">
        <v>2123</v>
      </c>
      <c r="D453" s="2">
        <v>1980</v>
      </c>
      <c r="E453" s="2" t="s">
        <v>2120</v>
      </c>
      <c r="F453" s="2" t="s">
        <v>2124</v>
      </c>
      <c r="G453" s="3">
        <v>40438</v>
      </c>
    </row>
    <row r="454" spans="1:7">
      <c r="A454" s="2" t="s">
        <v>185</v>
      </c>
      <c r="B454" s="2" t="s">
        <v>2463</v>
      </c>
      <c r="C454" s="2" t="s">
        <v>2123</v>
      </c>
      <c r="D454" s="2">
        <v>1973</v>
      </c>
      <c r="E454" s="2" t="s">
        <v>2136</v>
      </c>
      <c r="F454" s="2" t="s">
        <v>2121</v>
      </c>
      <c r="G454" s="3">
        <v>43394</v>
      </c>
    </row>
    <row r="455" spans="1:7">
      <c r="A455" s="2" t="s">
        <v>1090</v>
      </c>
      <c r="B455" s="2" t="s">
        <v>2187</v>
      </c>
      <c r="C455" s="2" t="s">
        <v>2119</v>
      </c>
      <c r="D455" s="2">
        <v>1994</v>
      </c>
      <c r="E455" s="2" t="s">
        <v>2120</v>
      </c>
      <c r="F455" s="2" t="s">
        <v>2124</v>
      </c>
      <c r="G455" s="3">
        <v>45183</v>
      </c>
    </row>
    <row r="456" spans="1:7">
      <c r="A456" s="2" t="s">
        <v>172</v>
      </c>
      <c r="B456" s="2" t="s">
        <v>2452</v>
      </c>
      <c r="C456" s="2" t="s">
        <v>2123</v>
      </c>
      <c r="D456" s="2">
        <v>1980</v>
      </c>
      <c r="E456" s="2" t="s">
        <v>2120</v>
      </c>
      <c r="F456" s="2" t="s">
        <v>2190</v>
      </c>
      <c r="G456" s="3">
        <v>45005</v>
      </c>
    </row>
    <row r="457" spans="1:7">
      <c r="A457" s="2" t="s">
        <v>515</v>
      </c>
      <c r="B457" s="2" t="s">
        <v>2488</v>
      </c>
      <c r="C457" s="2" t="s">
        <v>2123</v>
      </c>
      <c r="D457" s="2">
        <v>1972</v>
      </c>
      <c r="E457" s="2" t="s">
        <v>2120</v>
      </c>
      <c r="F457" s="2" t="s">
        <v>2124</v>
      </c>
      <c r="G457" s="3">
        <v>44906</v>
      </c>
    </row>
    <row r="458" spans="1:7">
      <c r="A458" s="2" t="s">
        <v>1289</v>
      </c>
      <c r="B458" s="2" t="s">
        <v>2189</v>
      </c>
      <c r="C458" s="2" t="s">
        <v>2119</v>
      </c>
      <c r="D458" s="2">
        <v>1979</v>
      </c>
      <c r="E458" s="2" t="s">
        <v>2120</v>
      </c>
      <c r="F458" s="2" t="s">
        <v>2124</v>
      </c>
      <c r="G458" s="3">
        <v>42035</v>
      </c>
    </row>
    <row r="459" spans="1:7">
      <c r="A459" s="2" t="s">
        <v>1604</v>
      </c>
      <c r="B459" s="2" t="s">
        <v>2391</v>
      </c>
      <c r="C459" s="2" t="s">
        <v>2123</v>
      </c>
      <c r="D459" s="2">
        <v>2000</v>
      </c>
      <c r="E459" s="2" t="s">
        <v>2120</v>
      </c>
      <c r="F459" s="2" t="s">
        <v>2121</v>
      </c>
      <c r="G459" s="3">
        <v>45675</v>
      </c>
    </row>
    <row r="460" spans="1:7">
      <c r="A460" s="2" t="s">
        <v>1400</v>
      </c>
      <c r="B460" s="2" t="s">
        <v>2306</v>
      </c>
      <c r="C460" s="2" t="s">
        <v>2119</v>
      </c>
      <c r="D460" s="2">
        <v>1977</v>
      </c>
      <c r="E460" s="2" t="s">
        <v>2120</v>
      </c>
      <c r="F460" s="2" t="s">
        <v>2124</v>
      </c>
      <c r="G460" s="3">
        <v>44839</v>
      </c>
    </row>
    <row r="461" spans="1:7">
      <c r="A461" s="2" t="s">
        <v>2489</v>
      </c>
      <c r="B461" s="2" t="s">
        <v>2483</v>
      </c>
      <c r="C461" s="2" t="s">
        <v>2123</v>
      </c>
      <c r="D461" s="2">
        <v>1959</v>
      </c>
      <c r="E461" s="2" t="s">
        <v>2120</v>
      </c>
      <c r="F461" s="2" t="s">
        <v>2121</v>
      </c>
      <c r="G461" s="3">
        <v>41811</v>
      </c>
    </row>
    <row r="462" spans="1:7">
      <c r="A462" s="2" t="s">
        <v>1314</v>
      </c>
      <c r="B462" s="2" t="s">
        <v>2490</v>
      </c>
      <c r="C462" s="2" t="s">
        <v>2119</v>
      </c>
      <c r="D462" s="2">
        <v>1990</v>
      </c>
      <c r="E462" s="2" t="s">
        <v>2120</v>
      </c>
      <c r="F462" s="2" t="s">
        <v>2121</v>
      </c>
      <c r="G462" s="3">
        <v>42129</v>
      </c>
    </row>
    <row r="463" spans="1:7">
      <c r="A463" s="2" t="s">
        <v>462</v>
      </c>
      <c r="B463" s="2" t="s">
        <v>2491</v>
      </c>
      <c r="C463" s="2" t="s">
        <v>2123</v>
      </c>
      <c r="D463" s="2">
        <v>1965</v>
      </c>
      <c r="E463" s="2" t="s">
        <v>2136</v>
      </c>
      <c r="F463" s="2" t="s">
        <v>2124</v>
      </c>
      <c r="G463" s="3">
        <v>43149</v>
      </c>
    </row>
    <row r="464" spans="1:7">
      <c r="A464" s="2" t="s">
        <v>685</v>
      </c>
      <c r="B464" s="2" t="s">
        <v>2492</v>
      </c>
      <c r="C464" s="2" t="s">
        <v>2123</v>
      </c>
      <c r="D464" s="2">
        <v>2000</v>
      </c>
      <c r="E464" s="2" t="s">
        <v>2136</v>
      </c>
      <c r="F464" s="2" t="s">
        <v>2124</v>
      </c>
      <c r="G464" s="3">
        <v>45948</v>
      </c>
    </row>
    <row r="465" spans="1:7">
      <c r="A465" s="2" t="s">
        <v>122</v>
      </c>
      <c r="B465" s="2" t="s">
        <v>2355</v>
      </c>
      <c r="C465" s="2" t="s">
        <v>2119</v>
      </c>
      <c r="D465" s="2">
        <v>1987</v>
      </c>
      <c r="E465" s="2" t="s">
        <v>2136</v>
      </c>
      <c r="F465" s="2" t="s">
        <v>2121</v>
      </c>
      <c r="G465" s="3">
        <v>43039</v>
      </c>
    </row>
    <row r="466" spans="1:7">
      <c r="A466" s="2" t="s">
        <v>91</v>
      </c>
      <c r="B466" s="2" t="s">
        <v>2342</v>
      </c>
      <c r="C466" s="2" t="s">
        <v>2123</v>
      </c>
      <c r="D466" s="2">
        <v>1956</v>
      </c>
      <c r="E466" s="2" t="s">
        <v>2136</v>
      </c>
      <c r="F466" s="2" t="s">
        <v>2124</v>
      </c>
      <c r="G466" s="3">
        <v>43828</v>
      </c>
    </row>
    <row r="467" spans="1:7">
      <c r="A467" s="2" t="s">
        <v>1886</v>
      </c>
      <c r="B467" s="2" t="s">
        <v>2145</v>
      </c>
      <c r="C467" s="2" t="s">
        <v>2119</v>
      </c>
      <c r="D467" s="2">
        <v>1990</v>
      </c>
      <c r="E467" s="2" t="s">
        <v>2120</v>
      </c>
      <c r="F467" s="2" t="s">
        <v>2121</v>
      </c>
      <c r="G467" s="3">
        <v>42244</v>
      </c>
    </row>
    <row r="468" spans="1:7">
      <c r="A468" s="2" t="s">
        <v>1851</v>
      </c>
      <c r="B468" s="2" t="s">
        <v>2493</v>
      </c>
      <c r="C468" s="2" t="s">
        <v>2119</v>
      </c>
      <c r="D468" s="2">
        <v>2002</v>
      </c>
      <c r="E468" s="2" t="s">
        <v>2120</v>
      </c>
      <c r="F468" s="2" t="s">
        <v>2124</v>
      </c>
      <c r="G468" s="3">
        <v>41643</v>
      </c>
    </row>
    <row r="469" spans="1:7">
      <c r="A469" s="2" t="s">
        <v>1248</v>
      </c>
      <c r="B469" s="2" t="s">
        <v>2416</v>
      </c>
      <c r="C469" s="2" t="s">
        <v>2119</v>
      </c>
      <c r="D469" s="2">
        <v>1981</v>
      </c>
      <c r="E469" s="2" t="s">
        <v>2136</v>
      </c>
      <c r="F469" s="2" t="s">
        <v>2124</v>
      </c>
      <c r="G469" s="3">
        <v>40733</v>
      </c>
    </row>
    <row r="470" spans="1:7">
      <c r="A470" s="2" t="s">
        <v>1243</v>
      </c>
      <c r="B470" s="2" t="s">
        <v>2425</v>
      </c>
      <c r="C470" s="2" t="s">
        <v>2119</v>
      </c>
      <c r="D470" s="2">
        <v>2001</v>
      </c>
      <c r="E470" s="2" t="s">
        <v>2120</v>
      </c>
      <c r="F470" s="2" t="s">
        <v>2124</v>
      </c>
      <c r="G470" s="3">
        <v>40368</v>
      </c>
    </row>
    <row r="471" spans="1:7">
      <c r="A471" s="2" t="s">
        <v>1449</v>
      </c>
      <c r="B471" s="2" t="s">
        <v>2407</v>
      </c>
      <c r="C471" s="2" t="s">
        <v>2123</v>
      </c>
      <c r="D471" s="2">
        <v>1977</v>
      </c>
      <c r="E471" s="2" t="s">
        <v>2136</v>
      </c>
      <c r="F471" s="2" t="s">
        <v>2124</v>
      </c>
      <c r="G471" s="3">
        <v>43452</v>
      </c>
    </row>
    <row r="472" spans="1:7">
      <c r="A472" s="2" t="s">
        <v>1124</v>
      </c>
      <c r="B472" s="2" t="s">
        <v>2139</v>
      </c>
      <c r="C472" s="2" t="s">
        <v>2123</v>
      </c>
      <c r="D472" s="2">
        <v>1978</v>
      </c>
      <c r="E472" s="2" t="s">
        <v>2120</v>
      </c>
      <c r="F472" s="2" t="s">
        <v>2124</v>
      </c>
      <c r="G472" s="3">
        <v>42159</v>
      </c>
    </row>
    <row r="473" spans="1:7">
      <c r="A473" s="2" t="s">
        <v>2494</v>
      </c>
      <c r="B473" s="2" t="s">
        <v>2325</v>
      </c>
      <c r="C473" s="2" t="s">
        <v>2123</v>
      </c>
      <c r="D473" s="2">
        <v>1991</v>
      </c>
      <c r="E473" s="2" t="s">
        <v>2120</v>
      </c>
      <c r="F473" s="2" t="s">
        <v>2121</v>
      </c>
      <c r="G473" s="3">
        <v>44893</v>
      </c>
    </row>
    <row r="474" spans="1:7">
      <c r="A474" s="2" t="s">
        <v>13</v>
      </c>
      <c r="B474" s="2" t="s">
        <v>2208</v>
      </c>
      <c r="C474" s="2" t="s">
        <v>2123</v>
      </c>
      <c r="D474" s="2">
        <v>1973</v>
      </c>
      <c r="E474" s="2" t="s">
        <v>2120</v>
      </c>
      <c r="F474" s="2" t="s">
        <v>2121</v>
      </c>
      <c r="G474" s="3">
        <v>45420</v>
      </c>
    </row>
    <row r="475" spans="1:7">
      <c r="A475" s="2" t="s">
        <v>2495</v>
      </c>
      <c r="B475" s="2" t="s">
        <v>2342</v>
      </c>
      <c r="C475" s="2" t="s">
        <v>2123</v>
      </c>
      <c r="D475" s="2">
        <v>1980</v>
      </c>
      <c r="E475" s="2" t="s">
        <v>2136</v>
      </c>
      <c r="F475" s="2" t="s">
        <v>2124</v>
      </c>
      <c r="G475" s="3">
        <v>44162</v>
      </c>
    </row>
    <row r="476" spans="1:7">
      <c r="A476" s="2" t="s">
        <v>1079</v>
      </c>
      <c r="B476" s="2" t="s">
        <v>2268</v>
      </c>
      <c r="C476" s="2" t="s">
        <v>2119</v>
      </c>
      <c r="D476" s="2">
        <v>1963</v>
      </c>
      <c r="E476" s="2" t="s">
        <v>2120</v>
      </c>
      <c r="F476" s="2" t="s">
        <v>2124</v>
      </c>
      <c r="G476" s="3">
        <v>45309</v>
      </c>
    </row>
    <row r="477" spans="1:7">
      <c r="A477" s="2" t="s">
        <v>2496</v>
      </c>
      <c r="B477" s="2" t="s">
        <v>2428</v>
      </c>
      <c r="C477" s="2" t="s">
        <v>2119</v>
      </c>
      <c r="D477" s="2">
        <v>2004</v>
      </c>
      <c r="E477" s="2" t="s">
        <v>2120</v>
      </c>
      <c r="F477" s="2" t="s">
        <v>2190</v>
      </c>
      <c r="G477" s="3">
        <v>40290</v>
      </c>
    </row>
    <row r="478" spans="1:7">
      <c r="A478" s="2" t="s">
        <v>1493</v>
      </c>
      <c r="B478" s="2" t="s">
        <v>2195</v>
      </c>
      <c r="C478" s="2" t="s">
        <v>2119</v>
      </c>
      <c r="D478" s="2">
        <v>1992</v>
      </c>
      <c r="E478" s="2" t="s">
        <v>2120</v>
      </c>
      <c r="F478" s="2" t="s">
        <v>2124</v>
      </c>
      <c r="G478" s="3">
        <v>42875</v>
      </c>
    </row>
    <row r="479" spans="1:7">
      <c r="A479" s="2" t="s">
        <v>2497</v>
      </c>
      <c r="B479" s="2" t="s">
        <v>2208</v>
      </c>
      <c r="C479" s="2" t="s">
        <v>2123</v>
      </c>
      <c r="D479" s="2">
        <v>1972</v>
      </c>
      <c r="E479" s="2" t="s">
        <v>2120</v>
      </c>
      <c r="F479" s="2" t="s">
        <v>2121</v>
      </c>
      <c r="G479" s="3">
        <v>40915</v>
      </c>
    </row>
    <row r="480" spans="1:7">
      <c r="A480" s="2" t="s">
        <v>2498</v>
      </c>
      <c r="B480" s="2" t="s">
        <v>2204</v>
      </c>
      <c r="C480" s="2" t="s">
        <v>2119</v>
      </c>
      <c r="D480" s="2">
        <v>1981</v>
      </c>
      <c r="E480" s="2" t="s">
        <v>2136</v>
      </c>
      <c r="F480" s="2" t="s">
        <v>2121</v>
      </c>
      <c r="G480" s="3">
        <v>41435</v>
      </c>
    </row>
    <row r="481" spans="1:7">
      <c r="A481" s="2" t="s">
        <v>1706</v>
      </c>
      <c r="B481" s="2" t="s">
        <v>2499</v>
      </c>
      <c r="C481" s="2" t="s">
        <v>2119</v>
      </c>
      <c r="D481" s="2">
        <v>1995</v>
      </c>
      <c r="E481" s="2" t="s">
        <v>2120</v>
      </c>
      <c r="F481" s="2" t="s">
        <v>2121</v>
      </c>
      <c r="G481" s="3">
        <v>40438</v>
      </c>
    </row>
    <row r="482" spans="1:7">
      <c r="A482" s="2" t="s">
        <v>932</v>
      </c>
      <c r="B482" s="2" t="s">
        <v>2403</v>
      </c>
      <c r="C482" s="2" t="s">
        <v>2119</v>
      </c>
      <c r="D482" s="2">
        <v>1997</v>
      </c>
      <c r="E482" s="2" t="s">
        <v>2136</v>
      </c>
      <c r="F482" s="2" t="s">
        <v>2124</v>
      </c>
      <c r="G482" s="3">
        <v>42458</v>
      </c>
    </row>
    <row r="483" spans="1:7">
      <c r="A483" s="2" t="s">
        <v>552</v>
      </c>
      <c r="B483" s="2" t="s">
        <v>2340</v>
      </c>
      <c r="C483" s="2" t="s">
        <v>2119</v>
      </c>
      <c r="D483" s="2">
        <v>1976</v>
      </c>
      <c r="E483" s="2" t="s">
        <v>2120</v>
      </c>
      <c r="F483" s="2" t="s">
        <v>2124</v>
      </c>
      <c r="G483" s="3">
        <v>43148</v>
      </c>
    </row>
    <row r="484" spans="1:7">
      <c r="A484" s="2" t="s">
        <v>826</v>
      </c>
      <c r="B484" s="2" t="s">
        <v>2203</v>
      </c>
      <c r="C484" s="2" t="s">
        <v>2123</v>
      </c>
      <c r="D484" s="2">
        <v>1996</v>
      </c>
      <c r="E484" s="2" t="s">
        <v>2120</v>
      </c>
      <c r="F484" s="2" t="s">
        <v>2124</v>
      </c>
      <c r="G484" s="3">
        <v>41277</v>
      </c>
    </row>
    <row r="485" spans="1:7">
      <c r="A485" s="2" t="s">
        <v>354</v>
      </c>
      <c r="B485" s="2" t="s">
        <v>2411</v>
      </c>
      <c r="C485" s="2" t="s">
        <v>2123</v>
      </c>
      <c r="D485" s="2">
        <v>1987</v>
      </c>
      <c r="E485" s="2" t="s">
        <v>2120</v>
      </c>
      <c r="F485" s="2" t="s">
        <v>2124</v>
      </c>
      <c r="G485" s="3">
        <v>45143</v>
      </c>
    </row>
    <row r="486" spans="1:7">
      <c r="A486" s="2" t="s">
        <v>616</v>
      </c>
      <c r="B486" s="2" t="s">
        <v>2399</v>
      </c>
      <c r="C486" s="2" t="s">
        <v>2123</v>
      </c>
      <c r="D486" s="2">
        <v>2000</v>
      </c>
      <c r="E486" s="2" t="s">
        <v>2136</v>
      </c>
      <c r="F486" s="2" t="s">
        <v>2121</v>
      </c>
      <c r="G486" s="3">
        <v>44508</v>
      </c>
    </row>
    <row r="487" spans="1:7">
      <c r="A487" s="2" t="s">
        <v>2500</v>
      </c>
      <c r="B487" s="2" t="s">
        <v>2165</v>
      </c>
      <c r="C487" s="2" t="s">
        <v>2119</v>
      </c>
      <c r="D487" s="2">
        <v>1976</v>
      </c>
      <c r="E487" s="2" t="s">
        <v>2136</v>
      </c>
      <c r="F487" s="2" t="s">
        <v>2124</v>
      </c>
      <c r="G487" s="3">
        <v>45390</v>
      </c>
    </row>
    <row r="488" spans="1:7">
      <c r="A488" s="2" t="s">
        <v>386</v>
      </c>
      <c r="B488" s="2" t="s">
        <v>2130</v>
      </c>
      <c r="C488" s="2" t="s">
        <v>2119</v>
      </c>
      <c r="D488" s="2">
        <v>1974</v>
      </c>
      <c r="E488" s="2" t="s">
        <v>2136</v>
      </c>
      <c r="F488" s="2" t="s">
        <v>2124</v>
      </c>
      <c r="G488" s="3">
        <v>45585</v>
      </c>
    </row>
    <row r="489" spans="1:7">
      <c r="A489" s="2" t="s">
        <v>292</v>
      </c>
      <c r="B489" s="2" t="s">
        <v>2293</v>
      </c>
      <c r="C489" s="2" t="s">
        <v>2123</v>
      </c>
      <c r="D489" s="2">
        <v>1998</v>
      </c>
      <c r="E489" s="2" t="s">
        <v>2136</v>
      </c>
      <c r="F489" s="2" t="s">
        <v>2121</v>
      </c>
      <c r="G489" s="3">
        <v>43051</v>
      </c>
    </row>
    <row r="490" spans="1:7">
      <c r="A490" s="2" t="s">
        <v>2501</v>
      </c>
      <c r="B490" s="2" t="s">
        <v>2502</v>
      </c>
      <c r="C490" s="2" t="s">
        <v>2123</v>
      </c>
      <c r="D490" s="2">
        <v>1982</v>
      </c>
      <c r="E490" s="2" t="s">
        <v>2136</v>
      </c>
      <c r="F490" s="2" t="s">
        <v>2124</v>
      </c>
      <c r="G490" s="3">
        <v>45561</v>
      </c>
    </row>
    <row r="491" spans="1:7">
      <c r="A491" s="2" t="s">
        <v>1953</v>
      </c>
      <c r="B491" s="2" t="s">
        <v>2208</v>
      </c>
      <c r="C491" s="2" t="s">
        <v>2123</v>
      </c>
      <c r="D491" s="2">
        <v>1976</v>
      </c>
      <c r="E491" s="2" t="s">
        <v>2120</v>
      </c>
      <c r="F491" s="2" t="s">
        <v>2124</v>
      </c>
      <c r="G491" s="3">
        <v>42074</v>
      </c>
    </row>
    <row r="492" spans="1:7">
      <c r="A492" s="2" t="s">
        <v>744</v>
      </c>
      <c r="B492" s="2" t="s">
        <v>2270</v>
      </c>
      <c r="C492" s="2" t="s">
        <v>2123</v>
      </c>
      <c r="D492" s="2">
        <v>1996</v>
      </c>
      <c r="E492" s="2" t="s">
        <v>2120</v>
      </c>
      <c r="F492" s="2" t="s">
        <v>2124</v>
      </c>
      <c r="G492" s="3">
        <v>44263</v>
      </c>
    </row>
    <row r="493" spans="1:7">
      <c r="A493" s="2" t="s">
        <v>133</v>
      </c>
      <c r="B493" s="2" t="s">
        <v>2503</v>
      </c>
      <c r="C493" s="2" t="s">
        <v>2123</v>
      </c>
      <c r="D493" s="2">
        <v>2000</v>
      </c>
      <c r="E493" s="2" t="s">
        <v>2136</v>
      </c>
      <c r="F493" s="2" t="s">
        <v>2124</v>
      </c>
      <c r="G493" s="3">
        <v>41297</v>
      </c>
    </row>
    <row r="494" spans="1:7">
      <c r="A494" s="2" t="s">
        <v>1094</v>
      </c>
      <c r="B494" s="2" t="s">
        <v>2263</v>
      </c>
      <c r="C494" s="2" t="s">
        <v>2119</v>
      </c>
      <c r="D494" s="2">
        <v>1967</v>
      </c>
      <c r="E494" s="2" t="s">
        <v>2120</v>
      </c>
      <c r="F494" s="2" t="s">
        <v>2121</v>
      </c>
      <c r="G494" s="3">
        <v>42224</v>
      </c>
    </row>
    <row r="495" spans="1:7">
      <c r="A495" s="2" t="s">
        <v>1666</v>
      </c>
      <c r="B495" s="2" t="s">
        <v>2338</v>
      </c>
      <c r="C495" s="2" t="s">
        <v>2119</v>
      </c>
      <c r="D495" s="2">
        <v>1991</v>
      </c>
      <c r="E495" s="2" t="s">
        <v>2136</v>
      </c>
      <c r="F495" s="2" t="s">
        <v>2124</v>
      </c>
      <c r="G495" s="3">
        <v>40606</v>
      </c>
    </row>
    <row r="496" spans="1:7">
      <c r="A496" s="2" t="s">
        <v>776</v>
      </c>
      <c r="B496" s="2" t="s">
        <v>2279</v>
      </c>
      <c r="C496" s="2" t="s">
        <v>2123</v>
      </c>
      <c r="D496" s="2">
        <v>2000</v>
      </c>
      <c r="E496" s="2" t="s">
        <v>2120</v>
      </c>
      <c r="F496" s="2" t="s">
        <v>2121</v>
      </c>
      <c r="G496" s="3">
        <v>43775</v>
      </c>
    </row>
    <row r="497" spans="1:7">
      <c r="A497" s="2" t="s">
        <v>335</v>
      </c>
      <c r="B497" s="2" t="s">
        <v>2340</v>
      </c>
      <c r="C497" s="2" t="s">
        <v>2119</v>
      </c>
      <c r="D497" s="2">
        <v>2004</v>
      </c>
      <c r="E497" s="2" t="s">
        <v>2120</v>
      </c>
      <c r="F497" s="2" t="s">
        <v>2124</v>
      </c>
      <c r="G497" s="3">
        <v>41092</v>
      </c>
    </row>
    <row r="498" spans="1:7">
      <c r="A498" s="2" t="s">
        <v>2504</v>
      </c>
      <c r="B498" s="2" t="s">
        <v>2168</v>
      </c>
      <c r="C498" s="2" t="s">
        <v>2123</v>
      </c>
      <c r="D498" s="2">
        <v>2001</v>
      </c>
      <c r="E498" s="2" t="s">
        <v>2120</v>
      </c>
      <c r="F498" s="2" t="s">
        <v>2121</v>
      </c>
      <c r="G498" s="3">
        <v>40978</v>
      </c>
    </row>
    <row r="499" spans="1:7">
      <c r="A499" s="2" t="s">
        <v>2505</v>
      </c>
      <c r="B499" s="2" t="s">
        <v>2245</v>
      </c>
      <c r="C499" s="2" t="s">
        <v>2123</v>
      </c>
      <c r="D499" s="2">
        <v>1993</v>
      </c>
      <c r="E499" s="2" t="s">
        <v>2120</v>
      </c>
      <c r="F499" s="2" t="s">
        <v>2124</v>
      </c>
      <c r="G499" s="3">
        <v>45629</v>
      </c>
    </row>
    <row r="500" spans="1:7">
      <c r="A500" s="2" t="s">
        <v>2506</v>
      </c>
      <c r="B500" s="2" t="s">
        <v>2436</v>
      </c>
      <c r="C500" s="2" t="s">
        <v>2119</v>
      </c>
      <c r="D500" s="2">
        <v>2004</v>
      </c>
      <c r="E500" s="2" t="s">
        <v>2120</v>
      </c>
      <c r="F500" s="2" t="s">
        <v>2124</v>
      </c>
      <c r="G500" s="3">
        <v>45318</v>
      </c>
    </row>
    <row r="501" spans="1:7">
      <c r="A501" s="2" t="s">
        <v>1562</v>
      </c>
      <c r="B501" s="2" t="s">
        <v>2381</v>
      </c>
      <c r="C501" s="2" t="s">
        <v>2123</v>
      </c>
      <c r="D501" s="2">
        <v>1971</v>
      </c>
      <c r="E501" s="2" t="s">
        <v>2120</v>
      </c>
      <c r="F501" s="2" t="s">
        <v>2124</v>
      </c>
      <c r="G501" s="3">
        <v>45900</v>
      </c>
    </row>
    <row r="502" spans="1:7">
      <c r="A502" s="2" t="s">
        <v>930</v>
      </c>
      <c r="B502" s="2" t="s">
        <v>2200</v>
      </c>
      <c r="C502" s="2" t="s">
        <v>2123</v>
      </c>
      <c r="D502" s="2">
        <v>2004</v>
      </c>
      <c r="E502" s="2" t="s">
        <v>2120</v>
      </c>
      <c r="F502" s="2" t="s">
        <v>2121</v>
      </c>
      <c r="G502" s="3">
        <v>41165</v>
      </c>
    </row>
    <row r="503" spans="1:7">
      <c r="A503" s="2" t="s">
        <v>640</v>
      </c>
      <c r="B503" s="2" t="s">
        <v>2507</v>
      </c>
      <c r="C503" s="2" t="s">
        <v>2123</v>
      </c>
      <c r="D503" s="2">
        <v>1984</v>
      </c>
      <c r="E503" s="2" t="s">
        <v>2120</v>
      </c>
      <c r="F503" s="2" t="s">
        <v>2121</v>
      </c>
      <c r="G503" s="3">
        <v>41390</v>
      </c>
    </row>
    <row r="504" spans="1:7">
      <c r="A504" s="2" t="s">
        <v>2508</v>
      </c>
      <c r="B504" s="2" t="s">
        <v>2419</v>
      </c>
      <c r="C504" s="2" t="s">
        <v>2123</v>
      </c>
      <c r="D504" s="2">
        <v>1981</v>
      </c>
      <c r="E504" s="2" t="s">
        <v>2120</v>
      </c>
      <c r="F504" s="2" t="s">
        <v>2190</v>
      </c>
      <c r="G504" s="3">
        <v>43041</v>
      </c>
    </row>
    <row r="505" spans="1:7">
      <c r="A505" s="2" t="s">
        <v>1215</v>
      </c>
      <c r="B505" s="2" t="s">
        <v>2459</v>
      </c>
      <c r="C505" s="2" t="s">
        <v>2123</v>
      </c>
      <c r="D505" s="2">
        <v>1965</v>
      </c>
      <c r="E505" s="2" t="s">
        <v>2136</v>
      </c>
      <c r="F505" s="2" t="s">
        <v>2124</v>
      </c>
      <c r="G505" s="3">
        <v>42382</v>
      </c>
    </row>
    <row r="506" spans="1:7">
      <c r="A506" s="2" t="s">
        <v>973</v>
      </c>
      <c r="B506" s="2" t="s">
        <v>2509</v>
      </c>
      <c r="C506" s="2" t="s">
        <v>2123</v>
      </c>
      <c r="D506" s="2">
        <v>1987</v>
      </c>
      <c r="E506" s="2" t="s">
        <v>2120</v>
      </c>
      <c r="F506" s="2" t="s">
        <v>2124</v>
      </c>
      <c r="G506" s="3">
        <v>43149</v>
      </c>
    </row>
    <row r="507" spans="1:7">
      <c r="A507" s="2" t="s">
        <v>2510</v>
      </c>
      <c r="B507" s="2" t="s">
        <v>2492</v>
      </c>
      <c r="C507" s="2" t="s">
        <v>2123</v>
      </c>
      <c r="D507" s="2">
        <v>1994</v>
      </c>
      <c r="E507" s="2" t="s">
        <v>2120</v>
      </c>
      <c r="F507" s="2" t="s">
        <v>2124</v>
      </c>
      <c r="G507" s="3">
        <v>44674</v>
      </c>
    </row>
    <row r="508" spans="1:7">
      <c r="A508" s="2" t="s">
        <v>1015</v>
      </c>
      <c r="B508" s="2" t="s">
        <v>2193</v>
      </c>
      <c r="C508" s="2" t="s">
        <v>2119</v>
      </c>
      <c r="D508" s="2">
        <v>1995</v>
      </c>
      <c r="E508" s="2" t="s">
        <v>2120</v>
      </c>
      <c r="F508" s="2" t="s">
        <v>2124</v>
      </c>
      <c r="G508" s="3">
        <v>43612</v>
      </c>
    </row>
    <row r="509" spans="1:7">
      <c r="A509" s="2" t="s">
        <v>2511</v>
      </c>
      <c r="B509" s="2" t="s">
        <v>2512</v>
      </c>
      <c r="C509" s="2" t="s">
        <v>2123</v>
      </c>
      <c r="D509" s="2">
        <v>1996</v>
      </c>
      <c r="E509" s="2" t="s">
        <v>2136</v>
      </c>
      <c r="F509" s="2" t="s">
        <v>2121</v>
      </c>
      <c r="G509" s="3">
        <v>45380</v>
      </c>
    </row>
    <row r="510" spans="1:7">
      <c r="A510" s="2" t="s">
        <v>256</v>
      </c>
      <c r="B510" s="2" t="s">
        <v>2513</v>
      </c>
      <c r="C510" s="2" t="s">
        <v>2123</v>
      </c>
      <c r="D510" s="2">
        <v>1987</v>
      </c>
      <c r="E510" s="2" t="s">
        <v>2136</v>
      </c>
      <c r="F510" s="2" t="s">
        <v>2121</v>
      </c>
      <c r="G510" s="3">
        <v>43267</v>
      </c>
    </row>
    <row r="511" spans="1:7">
      <c r="A511" s="2" t="s">
        <v>144</v>
      </c>
      <c r="B511" s="2" t="s">
        <v>2337</v>
      </c>
      <c r="C511" s="2" t="s">
        <v>2123</v>
      </c>
      <c r="D511" s="2">
        <v>1970</v>
      </c>
      <c r="E511" s="2" t="s">
        <v>2136</v>
      </c>
      <c r="F511" s="2" t="s">
        <v>2121</v>
      </c>
      <c r="G511" s="3">
        <v>40584</v>
      </c>
    </row>
    <row r="512" spans="1:7">
      <c r="A512" s="2" t="s">
        <v>2027</v>
      </c>
      <c r="B512" s="2" t="s">
        <v>2514</v>
      </c>
      <c r="C512" s="2" t="s">
        <v>2119</v>
      </c>
      <c r="D512" s="2">
        <v>1992</v>
      </c>
      <c r="E512" s="2" t="s">
        <v>2120</v>
      </c>
      <c r="F512" s="2" t="s">
        <v>2124</v>
      </c>
      <c r="G512" s="3">
        <v>44911</v>
      </c>
    </row>
    <row r="513" spans="1:7">
      <c r="A513" s="2" t="s">
        <v>176</v>
      </c>
      <c r="B513" s="2" t="s">
        <v>2193</v>
      </c>
      <c r="C513" s="2" t="s">
        <v>2119</v>
      </c>
      <c r="D513" s="2">
        <v>1992</v>
      </c>
      <c r="E513" s="2" t="s">
        <v>2120</v>
      </c>
      <c r="F513" s="2" t="s">
        <v>2124</v>
      </c>
      <c r="G513" s="3">
        <v>44653</v>
      </c>
    </row>
    <row r="514" spans="1:7">
      <c r="A514" s="2" t="s">
        <v>125</v>
      </c>
      <c r="B514" s="2" t="s">
        <v>2384</v>
      </c>
      <c r="C514" s="2" t="s">
        <v>2123</v>
      </c>
      <c r="D514" s="2">
        <v>1992</v>
      </c>
      <c r="E514" s="2" t="s">
        <v>2136</v>
      </c>
      <c r="F514" s="2" t="s">
        <v>2124</v>
      </c>
      <c r="G514" s="3">
        <v>40704</v>
      </c>
    </row>
    <row r="515" spans="1:7">
      <c r="A515" s="2" t="s">
        <v>1040</v>
      </c>
      <c r="B515" s="2" t="s">
        <v>2515</v>
      </c>
      <c r="C515" s="2" t="s">
        <v>2119</v>
      </c>
      <c r="D515" s="2">
        <v>1993</v>
      </c>
      <c r="E515" s="2" t="s">
        <v>2136</v>
      </c>
      <c r="F515" s="2" t="s">
        <v>2124</v>
      </c>
      <c r="G515" s="3">
        <v>44627</v>
      </c>
    </row>
    <row r="516" spans="1:7">
      <c r="A516" s="2" t="s">
        <v>778</v>
      </c>
      <c r="B516" s="2" t="s">
        <v>2443</v>
      </c>
      <c r="C516" s="2" t="s">
        <v>2123</v>
      </c>
      <c r="D516" s="2">
        <v>1996</v>
      </c>
      <c r="E516" s="2" t="s">
        <v>2120</v>
      </c>
      <c r="F516" s="2" t="s">
        <v>2121</v>
      </c>
      <c r="G516" s="3">
        <v>43027</v>
      </c>
    </row>
    <row r="517" spans="1:7">
      <c r="A517" s="2" t="s">
        <v>583</v>
      </c>
      <c r="B517" s="2" t="s">
        <v>2143</v>
      </c>
      <c r="C517" s="2" t="s">
        <v>2119</v>
      </c>
      <c r="D517" s="2">
        <v>1975</v>
      </c>
      <c r="E517" s="2" t="s">
        <v>2120</v>
      </c>
      <c r="F517" s="2" t="s">
        <v>2190</v>
      </c>
      <c r="G517" s="3">
        <v>44510</v>
      </c>
    </row>
    <row r="518" spans="1:7">
      <c r="A518" s="2" t="s">
        <v>2516</v>
      </c>
      <c r="B518" s="2" t="s">
        <v>2332</v>
      </c>
      <c r="C518" s="2" t="s">
        <v>2123</v>
      </c>
      <c r="D518" s="2">
        <v>1972</v>
      </c>
      <c r="E518" s="2" t="s">
        <v>2120</v>
      </c>
      <c r="F518" s="2" t="s">
        <v>2121</v>
      </c>
      <c r="G518" s="3">
        <v>41427</v>
      </c>
    </row>
    <row r="519" spans="1:7">
      <c r="A519" s="2" t="s">
        <v>2054</v>
      </c>
      <c r="B519" s="2" t="s">
        <v>2118</v>
      </c>
      <c r="C519" s="2" t="s">
        <v>2119</v>
      </c>
      <c r="D519" s="2">
        <v>1992</v>
      </c>
      <c r="E519" s="2" t="s">
        <v>2136</v>
      </c>
      <c r="F519" s="2" t="s">
        <v>2190</v>
      </c>
      <c r="G519" s="3">
        <v>40533</v>
      </c>
    </row>
    <row r="520" spans="1:7">
      <c r="A520" s="2" t="s">
        <v>2517</v>
      </c>
      <c r="B520" s="2" t="s">
        <v>2436</v>
      </c>
      <c r="C520" s="2" t="s">
        <v>2119</v>
      </c>
      <c r="D520" s="2">
        <v>1999</v>
      </c>
      <c r="E520" s="2" t="s">
        <v>2136</v>
      </c>
      <c r="F520" s="2" t="s">
        <v>2124</v>
      </c>
      <c r="G520" s="3">
        <v>41439</v>
      </c>
    </row>
    <row r="521" spans="1:7">
      <c r="A521" s="2" t="s">
        <v>2518</v>
      </c>
      <c r="B521" s="2" t="s">
        <v>2230</v>
      </c>
      <c r="C521" s="2" t="s">
        <v>2119</v>
      </c>
      <c r="D521" s="2">
        <v>1969</v>
      </c>
      <c r="E521" s="2" t="s">
        <v>2120</v>
      </c>
      <c r="F521" s="2" t="s">
        <v>2121</v>
      </c>
      <c r="G521" s="3">
        <v>44449</v>
      </c>
    </row>
    <row r="522" spans="1:7">
      <c r="A522" s="2" t="s">
        <v>1154</v>
      </c>
      <c r="B522" s="2" t="s">
        <v>2218</v>
      </c>
      <c r="C522" s="2" t="s">
        <v>2119</v>
      </c>
      <c r="D522" s="2">
        <v>1967</v>
      </c>
      <c r="E522" s="2" t="s">
        <v>2120</v>
      </c>
      <c r="F522" s="2" t="s">
        <v>2190</v>
      </c>
      <c r="G522" s="3">
        <v>45872</v>
      </c>
    </row>
    <row r="523" spans="1:7">
      <c r="A523" s="2" t="s">
        <v>301</v>
      </c>
      <c r="B523" s="2" t="s">
        <v>2514</v>
      </c>
      <c r="C523" s="2" t="s">
        <v>2119</v>
      </c>
      <c r="D523" s="2">
        <v>1986</v>
      </c>
      <c r="E523" s="2" t="s">
        <v>2136</v>
      </c>
      <c r="F523" s="2" t="s">
        <v>2121</v>
      </c>
      <c r="G523" s="3">
        <v>41406</v>
      </c>
    </row>
    <row r="524" spans="1:7">
      <c r="A524" s="2" t="s">
        <v>2519</v>
      </c>
      <c r="B524" s="2" t="s">
        <v>2492</v>
      </c>
      <c r="C524" s="2" t="s">
        <v>2123</v>
      </c>
      <c r="D524" s="2">
        <v>1987</v>
      </c>
      <c r="E524" s="2" t="s">
        <v>2120</v>
      </c>
      <c r="F524" s="2" t="s">
        <v>2121</v>
      </c>
      <c r="G524" s="3">
        <v>44466</v>
      </c>
    </row>
    <row r="525" spans="1:7">
      <c r="A525" s="2" t="s">
        <v>2520</v>
      </c>
      <c r="B525" s="2" t="s">
        <v>2225</v>
      </c>
      <c r="C525" s="2" t="s">
        <v>2119</v>
      </c>
      <c r="D525" s="2">
        <v>1957</v>
      </c>
      <c r="E525" s="2" t="s">
        <v>2120</v>
      </c>
      <c r="F525" s="2" t="s">
        <v>2124</v>
      </c>
      <c r="G525" s="3">
        <v>40651</v>
      </c>
    </row>
    <row r="526" spans="1:7">
      <c r="A526" s="2" t="s">
        <v>562</v>
      </c>
      <c r="B526" s="2" t="s">
        <v>2198</v>
      </c>
      <c r="C526" s="2" t="s">
        <v>2123</v>
      </c>
      <c r="D526" s="2">
        <v>1995</v>
      </c>
      <c r="E526" s="2" t="s">
        <v>2120</v>
      </c>
      <c r="F526" s="2" t="s">
        <v>2124</v>
      </c>
      <c r="G526" s="3">
        <v>42160</v>
      </c>
    </row>
    <row r="527" spans="1:7">
      <c r="A527" s="2" t="s">
        <v>1871</v>
      </c>
      <c r="B527" s="2" t="s">
        <v>2227</v>
      </c>
      <c r="C527" s="2" t="s">
        <v>2119</v>
      </c>
      <c r="D527" s="2">
        <v>1988</v>
      </c>
      <c r="E527" s="2" t="s">
        <v>2120</v>
      </c>
      <c r="F527" s="2" t="s">
        <v>2124</v>
      </c>
      <c r="G527" s="3">
        <v>41230</v>
      </c>
    </row>
    <row r="528" spans="1:7">
      <c r="A528" s="2" t="s">
        <v>290</v>
      </c>
      <c r="B528" s="2" t="s">
        <v>2143</v>
      </c>
      <c r="C528" s="2" t="s">
        <v>2119</v>
      </c>
      <c r="D528" s="2">
        <v>1997</v>
      </c>
      <c r="E528" s="2" t="s">
        <v>2136</v>
      </c>
      <c r="F528" s="2" t="s">
        <v>2121</v>
      </c>
      <c r="G528" s="3">
        <v>43256</v>
      </c>
    </row>
    <row r="529" spans="1:7">
      <c r="A529" s="2" t="s">
        <v>1986</v>
      </c>
      <c r="B529" s="2" t="s">
        <v>2483</v>
      </c>
      <c r="C529" s="2" t="s">
        <v>2123</v>
      </c>
      <c r="D529" s="2">
        <v>1996</v>
      </c>
      <c r="E529" s="2" t="s">
        <v>2136</v>
      </c>
      <c r="F529" s="2" t="s">
        <v>2124</v>
      </c>
      <c r="G529" s="3">
        <v>45155</v>
      </c>
    </row>
    <row r="530" spans="1:7">
      <c r="A530" s="2" t="s">
        <v>2521</v>
      </c>
      <c r="B530" s="2" t="s">
        <v>2303</v>
      </c>
      <c r="C530" s="2" t="s">
        <v>2119</v>
      </c>
      <c r="D530" s="2">
        <v>1976</v>
      </c>
      <c r="E530" s="2" t="s">
        <v>2136</v>
      </c>
      <c r="F530" s="2" t="s">
        <v>2124</v>
      </c>
      <c r="G530" s="3">
        <v>45246</v>
      </c>
    </row>
    <row r="531" spans="1:7">
      <c r="A531" s="2" t="s">
        <v>1744</v>
      </c>
      <c r="B531" s="2" t="s">
        <v>2227</v>
      </c>
      <c r="C531" s="2" t="s">
        <v>2119</v>
      </c>
      <c r="D531" s="2">
        <v>1993</v>
      </c>
      <c r="E531" s="2" t="s">
        <v>2120</v>
      </c>
      <c r="F531" s="2" t="s">
        <v>2124</v>
      </c>
      <c r="G531" s="3">
        <v>43828</v>
      </c>
    </row>
    <row r="532" spans="1:7">
      <c r="A532" s="2" t="s">
        <v>456</v>
      </c>
      <c r="B532" s="2" t="s">
        <v>2182</v>
      </c>
      <c r="C532" s="2" t="s">
        <v>2119</v>
      </c>
      <c r="D532" s="2">
        <v>1984</v>
      </c>
      <c r="E532" s="2" t="s">
        <v>2136</v>
      </c>
      <c r="F532" s="2" t="s">
        <v>2121</v>
      </c>
      <c r="G532" s="3">
        <v>40388</v>
      </c>
    </row>
    <row r="533" spans="1:7">
      <c r="A533" s="2" t="s">
        <v>1024</v>
      </c>
      <c r="B533" s="2" t="s">
        <v>2522</v>
      </c>
      <c r="C533" s="2" t="s">
        <v>2119</v>
      </c>
      <c r="D533" s="2">
        <v>1994</v>
      </c>
      <c r="E533" s="2" t="s">
        <v>2120</v>
      </c>
      <c r="F533" s="2" t="s">
        <v>2190</v>
      </c>
      <c r="G533" s="3">
        <v>41622</v>
      </c>
    </row>
    <row r="534" spans="1:7">
      <c r="A534" s="2" t="s">
        <v>1791</v>
      </c>
      <c r="B534" s="2" t="s">
        <v>2523</v>
      </c>
      <c r="C534" s="2" t="s">
        <v>2119</v>
      </c>
      <c r="D534" s="2">
        <v>1987</v>
      </c>
      <c r="E534" s="2" t="s">
        <v>2120</v>
      </c>
      <c r="F534" s="2" t="s">
        <v>2121</v>
      </c>
      <c r="G534" s="3">
        <v>45670</v>
      </c>
    </row>
    <row r="535" spans="1:7">
      <c r="A535" s="2" t="s">
        <v>898</v>
      </c>
      <c r="B535" s="2" t="s">
        <v>2524</v>
      </c>
      <c r="C535" s="2" t="s">
        <v>2123</v>
      </c>
      <c r="D535" s="2">
        <v>1988</v>
      </c>
      <c r="E535" s="2" t="s">
        <v>2136</v>
      </c>
      <c r="F535" s="2" t="s">
        <v>2124</v>
      </c>
      <c r="G535" s="3">
        <v>42883</v>
      </c>
    </row>
    <row r="536" spans="1:7">
      <c r="A536" s="2" t="s">
        <v>1581</v>
      </c>
      <c r="B536" s="2" t="s">
        <v>2522</v>
      </c>
      <c r="C536" s="2" t="s">
        <v>2119</v>
      </c>
      <c r="D536" s="2">
        <v>1970</v>
      </c>
      <c r="E536" s="2" t="s">
        <v>2120</v>
      </c>
      <c r="F536" s="2" t="s">
        <v>2124</v>
      </c>
      <c r="G536" s="3">
        <v>40305</v>
      </c>
    </row>
    <row r="537" spans="1:7">
      <c r="A537" s="2" t="s">
        <v>1020</v>
      </c>
      <c r="B537" s="2" t="s">
        <v>2525</v>
      </c>
      <c r="C537" s="2" t="s">
        <v>2119</v>
      </c>
      <c r="D537" s="2">
        <v>1999</v>
      </c>
      <c r="E537" s="2" t="s">
        <v>2120</v>
      </c>
      <c r="F537" s="2" t="s">
        <v>2124</v>
      </c>
      <c r="G537" s="3">
        <v>45757</v>
      </c>
    </row>
    <row r="538" spans="1:7">
      <c r="A538" s="2" t="s">
        <v>278</v>
      </c>
      <c r="B538" s="2" t="s">
        <v>2355</v>
      </c>
      <c r="C538" s="2" t="s">
        <v>2119</v>
      </c>
      <c r="D538" s="2">
        <v>2000</v>
      </c>
      <c r="E538" s="2" t="s">
        <v>2120</v>
      </c>
      <c r="F538" s="2" t="s">
        <v>2121</v>
      </c>
      <c r="G538" s="3">
        <v>44962</v>
      </c>
    </row>
    <row r="539" spans="1:7">
      <c r="A539" s="2" t="s">
        <v>1165</v>
      </c>
      <c r="B539" s="2" t="s">
        <v>2396</v>
      </c>
      <c r="C539" s="2" t="s">
        <v>2119</v>
      </c>
      <c r="D539" s="2">
        <v>2000</v>
      </c>
      <c r="E539" s="2" t="s">
        <v>2120</v>
      </c>
      <c r="F539" s="2" t="s">
        <v>2124</v>
      </c>
      <c r="G539" s="3">
        <v>44424</v>
      </c>
    </row>
    <row r="540" spans="1:7">
      <c r="A540" s="2" t="s">
        <v>2526</v>
      </c>
      <c r="B540" s="2" t="s">
        <v>2507</v>
      </c>
      <c r="C540" s="2" t="s">
        <v>2123</v>
      </c>
      <c r="D540" s="2">
        <v>1977</v>
      </c>
      <c r="E540" s="2" t="s">
        <v>2120</v>
      </c>
      <c r="F540" s="2" t="s">
        <v>2124</v>
      </c>
      <c r="G540" s="3">
        <v>42268</v>
      </c>
    </row>
    <row r="541" spans="1:7">
      <c r="A541" s="2" t="s">
        <v>378</v>
      </c>
      <c r="B541" s="2" t="s">
        <v>2415</v>
      </c>
      <c r="C541" s="2" t="s">
        <v>2119</v>
      </c>
      <c r="D541" s="2">
        <v>1983</v>
      </c>
      <c r="E541" s="2" t="s">
        <v>2136</v>
      </c>
      <c r="F541" s="2" t="s">
        <v>2121</v>
      </c>
      <c r="G541" s="3">
        <v>42692</v>
      </c>
    </row>
    <row r="542" spans="1:7">
      <c r="A542" s="2" t="s">
        <v>1285</v>
      </c>
      <c r="B542" s="2" t="s">
        <v>2328</v>
      </c>
      <c r="C542" s="2" t="s">
        <v>2123</v>
      </c>
      <c r="D542" s="2">
        <v>1982</v>
      </c>
      <c r="E542" s="2" t="s">
        <v>2120</v>
      </c>
      <c r="F542" s="2" t="s">
        <v>2124</v>
      </c>
      <c r="G542" s="3">
        <v>42677</v>
      </c>
    </row>
    <row r="543" spans="1:7">
      <c r="A543" s="2" t="s">
        <v>2527</v>
      </c>
      <c r="B543" s="2" t="s">
        <v>2200</v>
      </c>
      <c r="C543" s="2" t="s">
        <v>2123</v>
      </c>
      <c r="D543" s="2">
        <v>1974</v>
      </c>
      <c r="E543" s="2" t="s">
        <v>2120</v>
      </c>
      <c r="F543" s="2" t="s">
        <v>2190</v>
      </c>
      <c r="G543" s="3">
        <v>45555</v>
      </c>
    </row>
    <row r="544" spans="1:7">
      <c r="A544" s="2" t="s">
        <v>2528</v>
      </c>
      <c r="B544" s="2" t="s">
        <v>2467</v>
      </c>
      <c r="C544" s="2" t="s">
        <v>2123</v>
      </c>
      <c r="D544" s="2">
        <v>2002</v>
      </c>
      <c r="E544" s="2" t="s">
        <v>2120</v>
      </c>
      <c r="F544" s="2" t="s">
        <v>2124</v>
      </c>
      <c r="G544" s="3">
        <v>45970</v>
      </c>
    </row>
    <row r="545" spans="1:7">
      <c r="A545" s="2" t="s">
        <v>2529</v>
      </c>
      <c r="B545" s="2" t="s">
        <v>2326</v>
      </c>
      <c r="C545" s="2" t="s">
        <v>2123</v>
      </c>
      <c r="D545" s="2">
        <v>1979</v>
      </c>
      <c r="E545" s="2" t="s">
        <v>2120</v>
      </c>
      <c r="F545" s="2" t="s">
        <v>2124</v>
      </c>
      <c r="G545" s="3">
        <v>44806</v>
      </c>
    </row>
    <row r="546" spans="1:7">
      <c r="A546" s="2" t="s">
        <v>1488</v>
      </c>
      <c r="B546" s="2" t="s">
        <v>2197</v>
      </c>
      <c r="C546" s="2" t="s">
        <v>2119</v>
      </c>
      <c r="D546" s="2">
        <v>1977</v>
      </c>
      <c r="E546" s="2" t="s">
        <v>2136</v>
      </c>
      <c r="F546" s="2" t="s">
        <v>2124</v>
      </c>
      <c r="G546" s="3">
        <v>41894</v>
      </c>
    </row>
    <row r="547" spans="1:7">
      <c r="A547" s="2" t="s">
        <v>888</v>
      </c>
      <c r="B547" s="2" t="s">
        <v>2394</v>
      </c>
      <c r="C547" s="2" t="s">
        <v>2119</v>
      </c>
      <c r="D547" s="2">
        <v>2002</v>
      </c>
      <c r="E547" s="2" t="s">
        <v>2120</v>
      </c>
      <c r="F547" s="2" t="s">
        <v>2121</v>
      </c>
      <c r="G547" s="3">
        <v>40651</v>
      </c>
    </row>
    <row r="548" spans="1:7">
      <c r="A548" s="2" t="s">
        <v>948</v>
      </c>
      <c r="B548" s="2" t="s">
        <v>2369</v>
      </c>
      <c r="C548" s="2" t="s">
        <v>2119</v>
      </c>
      <c r="D548" s="2">
        <v>1970</v>
      </c>
      <c r="E548" s="2" t="s">
        <v>2120</v>
      </c>
      <c r="F548" s="2" t="s">
        <v>2121</v>
      </c>
      <c r="G548" s="3">
        <v>45063</v>
      </c>
    </row>
    <row r="549" spans="1:7">
      <c r="A549" s="2" t="s">
        <v>1900</v>
      </c>
      <c r="B549" s="2" t="s">
        <v>2530</v>
      </c>
      <c r="C549" s="2" t="s">
        <v>2123</v>
      </c>
      <c r="D549" s="2">
        <v>2002</v>
      </c>
      <c r="E549" s="2" t="s">
        <v>2120</v>
      </c>
      <c r="F549" s="2" t="s">
        <v>2121</v>
      </c>
      <c r="G549" s="3">
        <v>44260</v>
      </c>
    </row>
    <row r="550" spans="1:7">
      <c r="A550" s="2" t="s">
        <v>736</v>
      </c>
      <c r="B550" s="2" t="s">
        <v>2531</v>
      </c>
      <c r="C550" s="2" t="s">
        <v>2119</v>
      </c>
      <c r="D550" s="2">
        <v>1988</v>
      </c>
      <c r="E550" s="2" t="s">
        <v>2120</v>
      </c>
      <c r="F550" s="2" t="s">
        <v>2121</v>
      </c>
      <c r="G550" s="3">
        <v>41873</v>
      </c>
    </row>
    <row r="551" spans="1:7">
      <c r="A551" s="2" t="s">
        <v>1145</v>
      </c>
      <c r="B551" s="2" t="s">
        <v>2221</v>
      </c>
      <c r="C551" s="2" t="s">
        <v>2123</v>
      </c>
      <c r="D551" s="2">
        <v>1968</v>
      </c>
      <c r="E551" s="2" t="s">
        <v>2136</v>
      </c>
      <c r="F551" s="2" t="s">
        <v>2190</v>
      </c>
      <c r="G551" s="3">
        <v>43576</v>
      </c>
    </row>
    <row r="552" spans="1:7">
      <c r="A552" s="2" t="s">
        <v>1925</v>
      </c>
      <c r="B552" s="2" t="s">
        <v>2249</v>
      </c>
      <c r="C552" s="2" t="s">
        <v>2119</v>
      </c>
      <c r="D552" s="2">
        <v>2001</v>
      </c>
      <c r="E552" s="2" t="s">
        <v>2136</v>
      </c>
      <c r="F552" s="2" t="s">
        <v>2124</v>
      </c>
      <c r="G552" s="3">
        <v>40643</v>
      </c>
    </row>
    <row r="553" spans="1:7">
      <c r="A553" s="2" t="s">
        <v>649</v>
      </c>
      <c r="B553" s="2" t="s">
        <v>2262</v>
      </c>
      <c r="C553" s="2" t="s">
        <v>2123</v>
      </c>
      <c r="D553" s="2">
        <v>1972</v>
      </c>
      <c r="E553" s="2" t="s">
        <v>2120</v>
      </c>
      <c r="F553" s="2" t="s">
        <v>2121</v>
      </c>
      <c r="G553" s="3">
        <v>44947</v>
      </c>
    </row>
    <row r="554" spans="1:7">
      <c r="A554" s="2" t="s">
        <v>1486</v>
      </c>
      <c r="B554" s="2" t="s">
        <v>2532</v>
      </c>
      <c r="C554" s="2" t="s">
        <v>2119</v>
      </c>
      <c r="D554" s="2">
        <v>1989</v>
      </c>
      <c r="E554" s="2" t="s">
        <v>2120</v>
      </c>
      <c r="F554" s="2" t="s">
        <v>2190</v>
      </c>
      <c r="G554" s="3">
        <v>42836</v>
      </c>
    </row>
    <row r="555" spans="1:7">
      <c r="A555" s="2" t="s">
        <v>671</v>
      </c>
      <c r="B555" s="2" t="s">
        <v>2325</v>
      </c>
      <c r="C555" s="2" t="s">
        <v>2123</v>
      </c>
      <c r="D555" s="2">
        <v>2003</v>
      </c>
      <c r="E555" s="2" t="s">
        <v>2120</v>
      </c>
      <c r="F555" s="2" t="s">
        <v>2124</v>
      </c>
      <c r="G555" s="3">
        <v>40448</v>
      </c>
    </row>
    <row r="556" spans="1:7">
      <c r="A556" s="2" t="s">
        <v>2533</v>
      </c>
      <c r="B556" s="2" t="s">
        <v>2275</v>
      </c>
      <c r="C556" s="2" t="s">
        <v>2119</v>
      </c>
      <c r="D556" s="2">
        <v>1992</v>
      </c>
      <c r="E556" s="2" t="s">
        <v>2120</v>
      </c>
      <c r="F556" s="2" t="s">
        <v>2124</v>
      </c>
      <c r="G556" s="3">
        <v>40945</v>
      </c>
    </row>
    <row r="557" spans="1:7">
      <c r="A557" s="2" t="s">
        <v>521</v>
      </c>
      <c r="B557" s="2" t="s">
        <v>2333</v>
      </c>
      <c r="C557" s="2" t="s">
        <v>2119</v>
      </c>
      <c r="D557" s="2">
        <v>1995</v>
      </c>
      <c r="E557" s="2" t="s">
        <v>2120</v>
      </c>
      <c r="F557" s="2" t="s">
        <v>2121</v>
      </c>
      <c r="G557" s="3">
        <v>41115</v>
      </c>
    </row>
    <row r="558" spans="1:7">
      <c r="A558" s="2" t="s">
        <v>1567</v>
      </c>
      <c r="B558" s="2" t="s">
        <v>2300</v>
      </c>
      <c r="C558" s="2" t="s">
        <v>2119</v>
      </c>
      <c r="D558" s="2">
        <v>1993</v>
      </c>
      <c r="E558" s="2" t="s">
        <v>2120</v>
      </c>
      <c r="F558" s="2" t="s">
        <v>2121</v>
      </c>
      <c r="G558" s="3">
        <v>44474</v>
      </c>
    </row>
    <row r="559" spans="1:7">
      <c r="A559" s="2" t="s">
        <v>346</v>
      </c>
      <c r="B559" s="2" t="s">
        <v>2450</v>
      </c>
      <c r="C559" s="2" t="s">
        <v>2123</v>
      </c>
      <c r="D559" s="2">
        <v>1987</v>
      </c>
      <c r="E559" s="2" t="s">
        <v>2120</v>
      </c>
      <c r="F559" s="2" t="s">
        <v>2121</v>
      </c>
      <c r="G559" s="3">
        <v>40940</v>
      </c>
    </row>
    <row r="560" spans="1:7">
      <c r="A560" s="2" t="s">
        <v>996</v>
      </c>
      <c r="B560" s="2" t="s">
        <v>2534</v>
      </c>
      <c r="C560" s="2" t="s">
        <v>2119</v>
      </c>
      <c r="D560" s="2">
        <v>2000</v>
      </c>
      <c r="E560" s="2" t="s">
        <v>2120</v>
      </c>
      <c r="F560" s="2" t="s">
        <v>2124</v>
      </c>
      <c r="G560" s="3">
        <v>40903</v>
      </c>
    </row>
    <row r="561" spans="1:7">
      <c r="A561" s="2" t="s">
        <v>2535</v>
      </c>
      <c r="B561" s="2" t="s">
        <v>2149</v>
      </c>
      <c r="C561" s="2" t="s">
        <v>2123</v>
      </c>
      <c r="D561" s="2">
        <v>1977</v>
      </c>
      <c r="E561" s="2" t="s">
        <v>2136</v>
      </c>
      <c r="F561" s="2" t="s">
        <v>2121</v>
      </c>
      <c r="G561" s="3">
        <v>42040</v>
      </c>
    </row>
    <row r="562" spans="1:7">
      <c r="A562" s="2" t="s">
        <v>2051</v>
      </c>
      <c r="B562" s="2" t="s">
        <v>2232</v>
      </c>
      <c r="C562" s="2" t="s">
        <v>2119</v>
      </c>
      <c r="D562" s="2">
        <v>1990</v>
      </c>
      <c r="E562" s="2" t="s">
        <v>2120</v>
      </c>
      <c r="F562" s="2" t="s">
        <v>2124</v>
      </c>
      <c r="G562" s="3">
        <v>41771</v>
      </c>
    </row>
    <row r="563" spans="1:7">
      <c r="A563" s="2" t="s">
        <v>679</v>
      </c>
      <c r="B563" s="2" t="s">
        <v>2253</v>
      </c>
      <c r="C563" s="2" t="s">
        <v>2119</v>
      </c>
      <c r="D563" s="2">
        <v>1973</v>
      </c>
      <c r="E563" s="2" t="s">
        <v>2120</v>
      </c>
      <c r="F563" s="2" t="s">
        <v>2124</v>
      </c>
      <c r="G563" s="3">
        <v>42878</v>
      </c>
    </row>
    <row r="564" spans="1:7">
      <c r="A564" s="2" t="s">
        <v>740</v>
      </c>
      <c r="B564" s="2" t="s">
        <v>2290</v>
      </c>
      <c r="C564" s="2" t="s">
        <v>2119</v>
      </c>
      <c r="D564" s="2">
        <v>1970</v>
      </c>
      <c r="E564" s="2" t="s">
        <v>2136</v>
      </c>
      <c r="F564" s="2" t="s">
        <v>2121</v>
      </c>
      <c r="G564" s="3">
        <v>44759</v>
      </c>
    </row>
    <row r="565" spans="1:7">
      <c r="A565" s="2" t="s">
        <v>74</v>
      </c>
      <c r="B565" s="2" t="s">
        <v>2288</v>
      </c>
      <c r="C565" s="2" t="s">
        <v>2123</v>
      </c>
      <c r="D565" s="2">
        <v>1989</v>
      </c>
      <c r="E565" s="2" t="s">
        <v>2136</v>
      </c>
      <c r="F565" s="2" t="s">
        <v>2124</v>
      </c>
      <c r="G565" s="3">
        <v>43958</v>
      </c>
    </row>
    <row r="566" spans="1:7">
      <c r="A566" s="2" t="s">
        <v>545</v>
      </c>
      <c r="B566" s="2" t="s">
        <v>2474</v>
      </c>
      <c r="C566" s="2" t="s">
        <v>2123</v>
      </c>
      <c r="D566" s="2">
        <v>1987</v>
      </c>
      <c r="E566" s="2" t="s">
        <v>2120</v>
      </c>
      <c r="F566" s="2" t="s">
        <v>2121</v>
      </c>
      <c r="G566" s="3">
        <v>41260</v>
      </c>
    </row>
    <row r="567" spans="1:7">
      <c r="A567" s="2" t="s">
        <v>484</v>
      </c>
      <c r="B567" s="2" t="s">
        <v>2286</v>
      </c>
      <c r="C567" s="2" t="s">
        <v>2119</v>
      </c>
      <c r="D567" s="2">
        <v>1982</v>
      </c>
      <c r="E567" s="2" t="s">
        <v>2120</v>
      </c>
      <c r="F567" s="2" t="s">
        <v>2124</v>
      </c>
      <c r="G567" s="3">
        <v>41569</v>
      </c>
    </row>
    <row r="568" spans="1:7">
      <c r="A568" s="2" t="s">
        <v>2536</v>
      </c>
      <c r="B568" s="2" t="s">
        <v>2220</v>
      </c>
      <c r="C568" s="2" t="s">
        <v>2123</v>
      </c>
      <c r="D568" s="2">
        <v>1955</v>
      </c>
      <c r="E568" s="2" t="s">
        <v>2120</v>
      </c>
      <c r="F568" s="2" t="s">
        <v>2121</v>
      </c>
      <c r="G568" s="3">
        <v>42664</v>
      </c>
    </row>
    <row r="569" spans="1:7">
      <c r="A569" s="2" t="s">
        <v>519</v>
      </c>
      <c r="B569" s="2" t="s">
        <v>2300</v>
      </c>
      <c r="C569" s="2" t="s">
        <v>2119</v>
      </c>
      <c r="D569" s="2">
        <v>1969</v>
      </c>
      <c r="E569" s="2" t="s">
        <v>2120</v>
      </c>
      <c r="F569" s="2" t="s">
        <v>2124</v>
      </c>
      <c r="G569" s="3">
        <v>42394</v>
      </c>
    </row>
    <row r="570" spans="1:7">
      <c r="A570" s="2" t="s">
        <v>2537</v>
      </c>
      <c r="B570" s="2" t="s">
        <v>2386</v>
      </c>
      <c r="C570" s="2" t="s">
        <v>2123</v>
      </c>
      <c r="D570" s="2">
        <v>1986</v>
      </c>
      <c r="E570" s="2" t="s">
        <v>2120</v>
      </c>
      <c r="F570" s="2" t="s">
        <v>2124</v>
      </c>
      <c r="G570" s="3">
        <v>44330</v>
      </c>
    </row>
    <row r="571" spans="1:7">
      <c r="A571" s="2" t="s">
        <v>2538</v>
      </c>
      <c r="B571" s="2" t="s">
        <v>2247</v>
      </c>
      <c r="C571" s="2" t="s">
        <v>2119</v>
      </c>
      <c r="D571" s="2">
        <v>1978</v>
      </c>
      <c r="E571" s="2" t="s">
        <v>2120</v>
      </c>
      <c r="F571" s="2" t="s">
        <v>2190</v>
      </c>
      <c r="G571" s="3">
        <v>42144</v>
      </c>
    </row>
    <row r="572" spans="1:7">
      <c r="A572" s="2" t="s">
        <v>571</v>
      </c>
      <c r="B572" s="2" t="s">
        <v>2296</v>
      </c>
      <c r="C572" s="2" t="s">
        <v>2123</v>
      </c>
      <c r="D572" s="2">
        <v>1957</v>
      </c>
      <c r="E572" s="2" t="s">
        <v>2136</v>
      </c>
      <c r="F572" s="2" t="s">
        <v>2124</v>
      </c>
      <c r="G572" s="3">
        <v>45924</v>
      </c>
    </row>
    <row r="573" spans="1:7">
      <c r="A573" s="2" t="s">
        <v>537</v>
      </c>
      <c r="B573" s="2" t="s">
        <v>2288</v>
      </c>
      <c r="C573" s="2" t="s">
        <v>2123</v>
      </c>
      <c r="D573" s="2">
        <v>1996</v>
      </c>
      <c r="E573" s="2" t="s">
        <v>2120</v>
      </c>
      <c r="F573" s="2" t="s">
        <v>2124</v>
      </c>
      <c r="G573" s="3">
        <v>42343</v>
      </c>
    </row>
    <row r="574" spans="1:7">
      <c r="A574" s="2" t="s">
        <v>1482</v>
      </c>
      <c r="B574" s="2" t="s">
        <v>2148</v>
      </c>
      <c r="C574" s="2" t="s">
        <v>2119</v>
      </c>
      <c r="D574" s="2">
        <v>1991</v>
      </c>
      <c r="E574" s="2" t="s">
        <v>2120</v>
      </c>
      <c r="F574" s="2" t="s">
        <v>2124</v>
      </c>
      <c r="G574" s="3">
        <v>41168</v>
      </c>
    </row>
    <row r="575" spans="1:7">
      <c r="A575" s="2" t="s">
        <v>411</v>
      </c>
      <c r="B575" s="2" t="s">
        <v>2539</v>
      </c>
      <c r="C575" s="2" t="s">
        <v>2123</v>
      </c>
      <c r="D575" s="2">
        <v>1976</v>
      </c>
      <c r="E575" s="2" t="s">
        <v>2136</v>
      </c>
      <c r="F575" s="2" t="s">
        <v>2124</v>
      </c>
      <c r="G575" s="3">
        <v>40688</v>
      </c>
    </row>
    <row r="576" spans="1:7">
      <c r="A576" s="2" t="s">
        <v>226</v>
      </c>
      <c r="B576" s="2" t="s">
        <v>2273</v>
      </c>
      <c r="C576" s="2" t="s">
        <v>2123</v>
      </c>
      <c r="D576" s="2">
        <v>1990</v>
      </c>
      <c r="E576" s="2" t="s">
        <v>2136</v>
      </c>
      <c r="F576" s="2" t="s">
        <v>2124</v>
      </c>
      <c r="G576" s="3">
        <v>45243</v>
      </c>
    </row>
    <row r="577" spans="1:7">
      <c r="A577" s="2" t="s">
        <v>1531</v>
      </c>
      <c r="B577" s="2" t="s">
        <v>2279</v>
      </c>
      <c r="C577" s="2" t="s">
        <v>2123</v>
      </c>
      <c r="D577" s="2">
        <v>1979</v>
      </c>
      <c r="E577" s="2" t="s">
        <v>2120</v>
      </c>
      <c r="F577" s="2" t="s">
        <v>2121</v>
      </c>
      <c r="G577" s="3">
        <v>45027</v>
      </c>
    </row>
    <row r="578" spans="1:7">
      <c r="A578" s="2" t="s">
        <v>1171</v>
      </c>
      <c r="B578" s="2" t="s">
        <v>2540</v>
      </c>
      <c r="C578" s="2" t="s">
        <v>2123</v>
      </c>
      <c r="D578" s="2">
        <v>2002</v>
      </c>
      <c r="E578" s="2" t="s">
        <v>2120</v>
      </c>
      <c r="F578" s="2" t="s">
        <v>2124</v>
      </c>
      <c r="G578" s="3">
        <v>40900</v>
      </c>
    </row>
    <row r="579" spans="1:7">
      <c r="A579" s="2" t="s">
        <v>2541</v>
      </c>
      <c r="B579" s="2" t="s">
        <v>2168</v>
      </c>
      <c r="C579" s="2" t="s">
        <v>2123</v>
      </c>
      <c r="D579" s="2">
        <v>1995</v>
      </c>
      <c r="E579" s="2" t="s">
        <v>2120</v>
      </c>
      <c r="F579" s="2" t="s">
        <v>2124</v>
      </c>
      <c r="G579" s="3">
        <v>42999</v>
      </c>
    </row>
    <row r="580" spans="1:7">
      <c r="A580" s="2" t="s">
        <v>2542</v>
      </c>
      <c r="B580" s="2" t="s">
        <v>2155</v>
      </c>
      <c r="C580" s="2" t="s">
        <v>2123</v>
      </c>
      <c r="D580" s="2">
        <v>1974</v>
      </c>
      <c r="E580" s="2" t="s">
        <v>2120</v>
      </c>
      <c r="F580" s="2" t="s">
        <v>2124</v>
      </c>
      <c r="G580" s="3">
        <v>40726</v>
      </c>
    </row>
    <row r="581" spans="1:7">
      <c r="A581" s="2" t="s">
        <v>2543</v>
      </c>
      <c r="B581" s="2" t="s">
        <v>2309</v>
      </c>
      <c r="C581" s="2" t="s">
        <v>2119</v>
      </c>
      <c r="D581" s="2">
        <v>1987</v>
      </c>
      <c r="E581" s="2" t="s">
        <v>2136</v>
      </c>
      <c r="F581" s="2" t="s">
        <v>2190</v>
      </c>
      <c r="G581" s="3">
        <v>45122</v>
      </c>
    </row>
    <row r="582" spans="1:7">
      <c r="A582" s="2" t="s">
        <v>2544</v>
      </c>
      <c r="B582" s="2" t="s">
        <v>2217</v>
      </c>
      <c r="C582" s="2" t="s">
        <v>2123</v>
      </c>
      <c r="D582" s="2">
        <v>2000</v>
      </c>
      <c r="E582" s="2" t="s">
        <v>2120</v>
      </c>
      <c r="F582" s="2" t="s">
        <v>2124</v>
      </c>
      <c r="G582" s="3">
        <v>43548</v>
      </c>
    </row>
    <row r="583" spans="1:7">
      <c r="A583" s="2" t="s">
        <v>2545</v>
      </c>
      <c r="B583" s="2" t="s">
        <v>2195</v>
      </c>
      <c r="C583" s="2" t="s">
        <v>2119</v>
      </c>
      <c r="D583" s="2">
        <v>1972</v>
      </c>
      <c r="E583" s="2" t="s">
        <v>2136</v>
      </c>
      <c r="F583" s="2" t="s">
        <v>2121</v>
      </c>
      <c r="G583" s="3">
        <v>44244</v>
      </c>
    </row>
    <row r="584" spans="1:7">
      <c r="A584" s="2" t="s">
        <v>2546</v>
      </c>
      <c r="B584" s="2" t="s">
        <v>2137</v>
      </c>
      <c r="C584" s="2" t="s">
        <v>2119</v>
      </c>
      <c r="D584" s="2">
        <v>2002</v>
      </c>
      <c r="E584" s="2" t="s">
        <v>2136</v>
      </c>
      <c r="F584" s="2" t="s">
        <v>2121</v>
      </c>
      <c r="G584" s="3">
        <v>45750</v>
      </c>
    </row>
    <row r="585" spans="1:7">
      <c r="A585" s="2" t="s">
        <v>2547</v>
      </c>
      <c r="B585" s="2" t="s">
        <v>2171</v>
      </c>
      <c r="C585" s="2" t="s">
        <v>2123</v>
      </c>
      <c r="D585" s="2">
        <v>1983</v>
      </c>
      <c r="E585" s="2" t="s">
        <v>2120</v>
      </c>
      <c r="F585" s="2" t="s">
        <v>2190</v>
      </c>
      <c r="G585" s="3">
        <v>44381</v>
      </c>
    </row>
    <row r="586" spans="1:7">
      <c r="A586" s="2" t="s">
        <v>2548</v>
      </c>
      <c r="B586" s="2" t="s">
        <v>2549</v>
      </c>
      <c r="C586" s="2" t="s">
        <v>2123</v>
      </c>
      <c r="D586" s="2">
        <v>2003</v>
      </c>
      <c r="E586" s="2" t="s">
        <v>2136</v>
      </c>
      <c r="F586" s="2" t="s">
        <v>2124</v>
      </c>
      <c r="G586" s="3">
        <v>42080</v>
      </c>
    </row>
    <row r="587" spans="1:7">
      <c r="A587" s="2" t="s">
        <v>1799</v>
      </c>
      <c r="B587" s="2" t="s">
        <v>2139</v>
      </c>
      <c r="C587" s="2" t="s">
        <v>2123</v>
      </c>
      <c r="D587" s="2">
        <v>1986</v>
      </c>
      <c r="E587" s="2" t="s">
        <v>2120</v>
      </c>
      <c r="F587" s="2" t="s">
        <v>2124</v>
      </c>
      <c r="G587" s="3">
        <v>45793</v>
      </c>
    </row>
    <row r="588" spans="1:7">
      <c r="A588" s="2" t="s">
        <v>93</v>
      </c>
      <c r="B588" s="2" t="s">
        <v>2308</v>
      </c>
      <c r="C588" s="2" t="s">
        <v>2123</v>
      </c>
      <c r="D588" s="2">
        <v>1993</v>
      </c>
      <c r="E588" s="2" t="s">
        <v>2120</v>
      </c>
      <c r="F588" s="2" t="s">
        <v>2121</v>
      </c>
      <c r="G588" s="3">
        <v>42985</v>
      </c>
    </row>
    <row r="589" spans="1:7">
      <c r="A589" s="2" t="s">
        <v>1510</v>
      </c>
      <c r="B589" s="2" t="s">
        <v>2204</v>
      </c>
      <c r="C589" s="2" t="s">
        <v>2119</v>
      </c>
      <c r="D589" s="2">
        <v>2003</v>
      </c>
      <c r="E589" s="2" t="s">
        <v>2120</v>
      </c>
      <c r="F589" s="2" t="s">
        <v>2121</v>
      </c>
      <c r="G589" s="3">
        <v>42960</v>
      </c>
    </row>
    <row r="590" spans="1:7">
      <c r="A590" s="2" t="s">
        <v>2550</v>
      </c>
      <c r="B590" s="2" t="s">
        <v>2358</v>
      </c>
      <c r="C590" s="2" t="s">
        <v>2119</v>
      </c>
      <c r="D590" s="2">
        <v>1955</v>
      </c>
      <c r="E590" s="2" t="s">
        <v>2120</v>
      </c>
      <c r="F590" s="2" t="s">
        <v>2124</v>
      </c>
      <c r="G590" s="3">
        <v>41085</v>
      </c>
    </row>
    <row r="591" spans="1:7">
      <c r="A591" s="2" t="s">
        <v>627</v>
      </c>
      <c r="B591" s="2" t="s">
        <v>2523</v>
      </c>
      <c r="C591" s="2" t="s">
        <v>2119</v>
      </c>
      <c r="D591" s="2">
        <v>1984</v>
      </c>
      <c r="E591" s="2" t="s">
        <v>2120</v>
      </c>
      <c r="F591" s="2" t="s">
        <v>2124</v>
      </c>
      <c r="G591" s="3">
        <v>44646</v>
      </c>
    </row>
    <row r="592" spans="1:7">
      <c r="A592" s="2" t="s">
        <v>1305</v>
      </c>
      <c r="B592" s="2" t="s">
        <v>2265</v>
      </c>
      <c r="C592" s="2" t="s">
        <v>2123</v>
      </c>
      <c r="D592" s="2">
        <v>1983</v>
      </c>
      <c r="E592" s="2" t="s">
        <v>2120</v>
      </c>
      <c r="F592" s="2" t="s">
        <v>2124</v>
      </c>
      <c r="G592" s="3">
        <v>42930</v>
      </c>
    </row>
    <row r="593" spans="1:7">
      <c r="A593" s="2" t="s">
        <v>1828</v>
      </c>
      <c r="B593" s="2" t="s">
        <v>2151</v>
      </c>
      <c r="C593" s="2" t="s">
        <v>2119</v>
      </c>
      <c r="D593" s="2">
        <v>1994</v>
      </c>
      <c r="E593" s="2" t="s">
        <v>2120</v>
      </c>
      <c r="F593" s="2" t="s">
        <v>2121</v>
      </c>
      <c r="G593" s="3">
        <v>42159</v>
      </c>
    </row>
    <row r="594" spans="1:7">
      <c r="A594" s="2" t="s">
        <v>722</v>
      </c>
      <c r="B594" s="2" t="s">
        <v>2551</v>
      </c>
      <c r="C594" s="2" t="s">
        <v>2123</v>
      </c>
      <c r="D594" s="2">
        <v>1991</v>
      </c>
      <c r="E594" s="2" t="s">
        <v>2120</v>
      </c>
      <c r="F594" s="2" t="s">
        <v>2190</v>
      </c>
      <c r="G594" s="3">
        <v>43371</v>
      </c>
    </row>
    <row r="595" spans="1:7">
      <c r="A595" s="2" t="s">
        <v>588</v>
      </c>
      <c r="B595" s="2" t="s">
        <v>2291</v>
      </c>
      <c r="C595" s="2" t="s">
        <v>2119</v>
      </c>
      <c r="D595" s="2">
        <v>1981</v>
      </c>
      <c r="E595" s="2" t="s">
        <v>2120</v>
      </c>
      <c r="F595" s="2" t="s">
        <v>2190</v>
      </c>
      <c r="G595" s="3">
        <v>45178</v>
      </c>
    </row>
    <row r="596" spans="1:7">
      <c r="A596" s="2" t="s">
        <v>989</v>
      </c>
      <c r="B596" s="2" t="s">
        <v>2352</v>
      </c>
      <c r="C596" s="2" t="s">
        <v>2119</v>
      </c>
      <c r="D596" s="2">
        <v>1979</v>
      </c>
      <c r="E596" s="2" t="s">
        <v>2136</v>
      </c>
      <c r="F596" s="2" t="s">
        <v>2121</v>
      </c>
      <c r="G596" s="3">
        <v>45148</v>
      </c>
    </row>
    <row r="597" spans="1:7">
      <c r="A597" s="2" t="s">
        <v>1421</v>
      </c>
      <c r="B597" s="2" t="s">
        <v>2267</v>
      </c>
      <c r="C597" s="2" t="s">
        <v>2123</v>
      </c>
      <c r="D597" s="2">
        <v>1988</v>
      </c>
      <c r="E597" s="2" t="s">
        <v>2120</v>
      </c>
      <c r="F597" s="2" t="s">
        <v>2124</v>
      </c>
      <c r="G597" s="3">
        <v>42193</v>
      </c>
    </row>
    <row r="598" spans="1:7">
      <c r="A598" s="2" t="s">
        <v>866</v>
      </c>
      <c r="B598" s="2" t="s">
        <v>2305</v>
      </c>
      <c r="C598" s="2" t="s">
        <v>2119</v>
      </c>
      <c r="D598" s="2">
        <v>1981</v>
      </c>
      <c r="E598" s="2" t="s">
        <v>2120</v>
      </c>
      <c r="F598" s="2" t="s">
        <v>2124</v>
      </c>
      <c r="G598" s="3">
        <v>44388</v>
      </c>
    </row>
    <row r="599" spans="1:7">
      <c r="A599" s="2" t="s">
        <v>661</v>
      </c>
      <c r="B599" s="2" t="s">
        <v>2187</v>
      </c>
      <c r="C599" s="2" t="s">
        <v>2119</v>
      </c>
      <c r="D599" s="2">
        <v>2002</v>
      </c>
      <c r="E599" s="2" t="s">
        <v>2136</v>
      </c>
      <c r="F599" s="2" t="s">
        <v>2121</v>
      </c>
      <c r="G599" s="3">
        <v>40800</v>
      </c>
    </row>
    <row r="600" spans="1:7">
      <c r="A600" s="2" t="s">
        <v>70</v>
      </c>
      <c r="B600" s="2" t="s">
        <v>2184</v>
      </c>
      <c r="C600" s="2" t="s">
        <v>2119</v>
      </c>
      <c r="D600" s="2">
        <v>1977</v>
      </c>
      <c r="E600" s="2" t="s">
        <v>2120</v>
      </c>
      <c r="F600" s="2" t="s">
        <v>2124</v>
      </c>
      <c r="G600" s="3">
        <v>45355</v>
      </c>
    </row>
    <row r="601" spans="1:7">
      <c r="A601" s="2" t="s">
        <v>1106</v>
      </c>
      <c r="B601" s="2" t="s">
        <v>2442</v>
      </c>
      <c r="C601" s="2" t="s">
        <v>2119</v>
      </c>
      <c r="D601" s="2">
        <v>1998</v>
      </c>
      <c r="E601" s="2" t="s">
        <v>2120</v>
      </c>
      <c r="F601" s="2" t="s">
        <v>2121</v>
      </c>
      <c r="G601" s="3">
        <v>44220</v>
      </c>
    </row>
    <row r="602" spans="1:7">
      <c r="A602" s="2" t="s">
        <v>2552</v>
      </c>
      <c r="B602" s="2" t="s">
        <v>2200</v>
      </c>
      <c r="C602" s="2" t="s">
        <v>2123</v>
      </c>
      <c r="D602" s="2">
        <v>2000</v>
      </c>
      <c r="E602" s="2" t="s">
        <v>2136</v>
      </c>
      <c r="F602" s="2" t="s">
        <v>2124</v>
      </c>
      <c r="G602" s="3">
        <v>43268</v>
      </c>
    </row>
    <row r="603" spans="1:7">
      <c r="A603" s="2" t="s">
        <v>596</v>
      </c>
      <c r="B603" s="2" t="s">
        <v>2442</v>
      </c>
      <c r="C603" s="2" t="s">
        <v>2119</v>
      </c>
      <c r="D603" s="2">
        <v>2001</v>
      </c>
      <c r="E603" s="2" t="s">
        <v>2136</v>
      </c>
      <c r="F603" s="2" t="s">
        <v>2121</v>
      </c>
      <c r="G603" s="3">
        <v>40466</v>
      </c>
    </row>
    <row r="604" spans="1:7">
      <c r="A604" s="2" t="s">
        <v>886</v>
      </c>
      <c r="B604" s="2" t="s">
        <v>2268</v>
      </c>
      <c r="C604" s="2" t="s">
        <v>2119</v>
      </c>
      <c r="D604" s="2">
        <v>1955</v>
      </c>
      <c r="E604" s="2" t="s">
        <v>2136</v>
      </c>
      <c r="F604" s="2" t="s">
        <v>2124</v>
      </c>
      <c r="G604" s="3">
        <v>41716</v>
      </c>
    </row>
    <row r="605" spans="1:7">
      <c r="A605" s="2" t="s">
        <v>266</v>
      </c>
      <c r="B605" s="2" t="s">
        <v>2524</v>
      </c>
      <c r="C605" s="2" t="s">
        <v>2123</v>
      </c>
      <c r="D605" s="2">
        <v>1973</v>
      </c>
      <c r="E605" s="2" t="s">
        <v>2120</v>
      </c>
      <c r="F605" s="2" t="s">
        <v>2190</v>
      </c>
      <c r="G605" s="3">
        <v>45317</v>
      </c>
    </row>
    <row r="606" spans="1:7">
      <c r="A606" s="2" t="s">
        <v>2081</v>
      </c>
      <c r="B606" s="2" t="s">
        <v>2553</v>
      </c>
      <c r="C606" s="2" t="s">
        <v>2123</v>
      </c>
      <c r="D606" s="2">
        <v>1997</v>
      </c>
      <c r="E606" s="2" t="s">
        <v>2120</v>
      </c>
      <c r="F606" s="2" t="s">
        <v>2124</v>
      </c>
      <c r="G606" s="3">
        <v>43517</v>
      </c>
    </row>
    <row r="607" spans="1:7">
      <c r="A607" s="2" t="s">
        <v>738</v>
      </c>
      <c r="B607" s="2" t="s">
        <v>2167</v>
      </c>
      <c r="C607" s="2" t="s">
        <v>2123</v>
      </c>
      <c r="D607" s="2">
        <v>2003</v>
      </c>
      <c r="E607" s="2" t="s">
        <v>2120</v>
      </c>
      <c r="F607" s="2" t="s">
        <v>2124</v>
      </c>
      <c r="G607" s="3">
        <v>43130</v>
      </c>
    </row>
    <row r="608" spans="1:7">
      <c r="A608" s="2" t="s">
        <v>2554</v>
      </c>
      <c r="B608" s="2" t="s">
        <v>2555</v>
      </c>
      <c r="C608" s="2" t="s">
        <v>2119</v>
      </c>
      <c r="D608" s="2">
        <v>1972</v>
      </c>
      <c r="E608" s="2" t="s">
        <v>2120</v>
      </c>
      <c r="F608" s="2" t="s">
        <v>2121</v>
      </c>
      <c r="G608" s="3">
        <v>44540</v>
      </c>
    </row>
    <row r="609" spans="1:7">
      <c r="A609" s="2" t="s">
        <v>1217</v>
      </c>
      <c r="B609" s="2" t="s">
        <v>2252</v>
      </c>
      <c r="C609" s="2" t="s">
        <v>2123</v>
      </c>
      <c r="D609" s="2">
        <v>1988</v>
      </c>
      <c r="E609" s="2" t="s">
        <v>2136</v>
      </c>
      <c r="F609" s="2" t="s">
        <v>2124</v>
      </c>
      <c r="G609" s="3">
        <v>44443</v>
      </c>
    </row>
    <row r="610" spans="1:7">
      <c r="A610" s="2" t="s">
        <v>2556</v>
      </c>
      <c r="B610" s="2" t="s">
        <v>2253</v>
      </c>
      <c r="C610" s="2" t="s">
        <v>2119</v>
      </c>
      <c r="D610" s="2">
        <v>1990</v>
      </c>
      <c r="E610" s="2" t="s">
        <v>2136</v>
      </c>
      <c r="F610" s="2" t="s">
        <v>2121</v>
      </c>
      <c r="G610" s="3">
        <v>43129</v>
      </c>
    </row>
    <row r="611" spans="1:7">
      <c r="A611" s="2" t="s">
        <v>2557</v>
      </c>
      <c r="B611" s="2" t="s">
        <v>2558</v>
      </c>
      <c r="C611" s="2" t="s">
        <v>2123</v>
      </c>
      <c r="D611" s="2">
        <v>1979</v>
      </c>
      <c r="E611" s="2" t="s">
        <v>2136</v>
      </c>
      <c r="F611" s="2" t="s">
        <v>2124</v>
      </c>
      <c r="G611" s="3">
        <v>42807</v>
      </c>
    </row>
    <row r="612" spans="1:7">
      <c r="A612" s="2" t="s">
        <v>791</v>
      </c>
      <c r="B612" s="2" t="s">
        <v>2493</v>
      </c>
      <c r="C612" s="2" t="s">
        <v>2119</v>
      </c>
      <c r="D612" s="2">
        <v>1993</v>
      </c>
      <c r="E612" s="2" t="s">
        <v>2120</v>
      </c>
      <c r="F612" s="2" t="s">
        <v>2124</v>
      </c>
      <c r="G612" s="3">
        <v>44050</v>
      </c>
    </row>
    <row r="613" spans="1:7">
      <c r="A613" s="2" t="s">
        <v>944</v>
      </c>
      <c r="B613" s="2" t="s">
        <v>2295</v>
      </c>
      <c r="C613" s="2" t="s">
        <v>2123</v>
      </c>
      <c r="D613" s="2">
        <v>2002</v>
      </c>
      <c r="E613" s="2" t="s">
        <v>2120</v>
      </c>
      <c r="F613" s="2" t="s">
        <v>2124</v>
      </c>
      <c r="G613" s="3">
        <v>43523</v>
      </c>
    </row>
    <row r="614" spans="1:7">
      <c r="A614" s="2" t="s">
        <v>1300</v>
      </c>
      <c r="B614" s="2" t="s">
        <v>2331</v>
      </c>
      <c r="C614" s="2" t="s">
        <v>2123</v>
      </c>
      <c r="D614" s="2">
        <v>2001</v>
      </c>
      <c r="E614" s="2" t="s">
        <v>2120</v>
      </c>
      <c r="F614" s="2" t="s">
        <v>2124</v>
      </c>
      <c r="G614" s="3">
        <v>44567</v>
      </c>
    </row>
    <row r="615" spans="1:7">
      <c r="A615" s="2" t="s">
        <v>819</v>
      </c>
      <c r="B615" s="2" t="s">
        <v>2210</v>
      </c>
      <c r="C615" s="2" t="s">
        <v>2119</v>
      </c>
      <c r="D615" s="2">
        <v>1977</v>
      </c>
      <c r="E615" s="2" t="s">
        <v>2120</v>
      </c>
      <c r="F615" s="2" t="s">
        <v>2190</v>
      </c>
      <c r="G615" s="3">
        <v>44515</v>
      </c>
    </row>
    <row r="616" spans="1:7">
      <c r="A616" s="2" t="s">
        <v>453</v>
      </c>
      <c r="B616" s="2" t="s">
        <v>2490</v>
      </c>
      <c r="C616" s="2" t="s">
        <v>2119</v>
      </c>
      <c r="D616" s="2">
        <v>1970</v>
      </c>
      <c r="E616" s="2" t="s">
        <v>2120</v>
      </c>
      <c r="F616" s="2" t="s">
        <v>2124</v>
      </c>
      <c r="G616" s="3">
        <v>44538</v>
      </c>
    </row>
    <row r="617" spans="1:7">
      <c r="A617" s="2" t="s">
        <v>1209</v>
      </c>
      <c r="B617" s="2" t="s">
        <v>2559</v>
      </c>
      <c r="C617" s="2" t="s">
        <v>2119</v>
      </c>
      <c r="D617" s="2">
        <v>1991</v>
      </c>
      <c r="E617" s="2" t="s">
        <v>2120</v>
      </c>
      <c r="F617" s="2" t="s">
        <v>2190</v>
      </c>
      <c r="G617" s="3">
        <v>40751</v>
      </c>
    </row>
    <row r="618" spans="1:7">
      <c r="A618" s="2" t="s">
        <v>1052</v>
      </c>
      <c r="B618" s="2" t="s">
        <v>2269</v>
      </c>
      <c r="C618" s="2" t="s">
        <v>2123</v>
      </c>
      <c r="D618" s="2">
        <v>1991</v>
      </c>
      <c r="E618" s="2" t="s">
        <v>2136</v>
      </c>
      <c r="F618" s="2" t="s">
        <v>2121</v>
      </c>
      <c r="G618" s="3">
        <v>41090</v>
      </c>
    </row>
    <row r="619" spans="1:7">
      <c r="A619" s="2" t="s">
        <v>1659</v>
      </c>
      <c r="B619" s="2" t="s">
        <v>2299</v>
      </c>
      <c r="C619" s="2" t="s">
        <v>2123</v>
      </c>
      <c r="D619" s="2">
        <v>1973</v>
      </c>
      <c r="E619" s="2" t="s">
        <v>2136</v>
      </c>
      <c r="F619" s="2" t="s">
        <v>2121</v>
      </c>
      <c r="G619" s="3">
        <v>41144</v>
      </c>
    </row>
    <row r="620" spans="1:7">
      <c r="A620" s="2" t="s">
        <v>2560</v>
      </c>
      <c r="B620" s="2" t="s">
        <v>2439</v>
      </c>
      <c r="C620" s="2" t="s">
        <v>2119</v>
      </c>
      <c r="D620" s="2">
        <v>1999</v>
      </c>
      <c r="E620" s="2" t="s">
        <v>2136</v>
      </c>
      <c r="F620" s="2" t="s">
        <v>2121</v>
      </c>
      <c r="G620" s="3">
        <v>43455</v>
      </c>
    </row>
    <row r="621" spans="1:7">
      <c r="A621" s="2" t="s">
        <v>530</v>
      </c>
      <c r="B621" s="2" t="s">
        <v>2436</v>
      </c>
      <c r="C621" s="2" t="s">
        <v>2119</v>
      </c>
      <c r="D621" s="2">
        <v>1981</v>
      </c>
      <c r="E621" s="2" t="s">
        <v>2120</v>
      </c>
      <c r="F621" s="2" t="s">
        <v>2121</v>
      </c>
      <c r="G621" s="3">
        <v>44535</v>
      </c>
    </row>
    <row r="622" spans="1:7">
      <c r="A622" s="2" t="s">
        <v>258</v>
      </c>
      <c r="B622" s="2" t="s">
        <v>2218</v>
      </c>
      <c r="C622" s="2" t="s">
        <v>2119</v>
      </c>
      <c r="D622" s="2">
        <v>2002</v>
      </c>
      <c r="E622" s="2" t="s">
        <v>2120</v>
      </c>
      <c r="F622" s="2" t="s">
        <v>2124</v>
      </c>
      <c r="G622" s="3">
        <v>45765</v>
      </c>
    </row>
    <row r="623" spans="1:7">
      <c r="A623" s="2" t="s">
        <v>1018</v>
      </c>
      <c r="B623" s="2" t="s">
        <v>2227</v>
      </c>
      <c r="C623" s="2" t="s">
        <v>2119</v>
      </c>
      <c r="D623" s="2">
        <v>1987</v>
      </c>
      <c r="E623" s="2" t="s">
        <v>2136</v>
      </c>
      <c r="F623" s="2" t="s">
        <v>2121</v>
      </c>
      <c r="G623" s="3">
        <v>44912</v>
      </c>
    </row>
    <row r="624" spans="1:7">
      <c r="A624" s="2" t="s">
        <v>963</v>
      </c>
      <c r="B624" s="2" t="s">
        <v>2461</v>
      </c>
      <c r="C624" s="2" t="s">
        <v>2119</v>
      </c>
      <c r="D624" s="2">
        <v>1990</v>
      </c>
      <c r="E624" s="2" t="s">
        <v>2120</v>
      </c>
      <c r="F624" s="2" t="s">
        <v>2121</v>
      </c>
      <c r="G624" s="3">
        <v>41264</v>
      </c>
    </row>
    <row r="625" spans="1:7">
      <c r="A625" s="2" t="s">
        <v>2561</v>
      </c>
      <c r="B625" s="2" t="s">
        <v>2347</v>
      </c>
      <c r="C625" s="2" t="s">
        <v>2123</v>
      </c>
      <c r="D625" s="2">
        <v>1999</v>
      </c>
      <c r="E625" s="2" t="s">
        <v>2120</v>
      </c>
      <c r="F625" s="2" t="s">
        <v>2124</v>
      </c>
      <c r="G625" s="3">
        <v>42494</v>
      </c>
    </row>
    <row r="626" spans="1:7">
      <c r="A626" s="2" t="s">
        <v>1606</v>
      </c>
      <c r="B626" s="2" t="s">
        <v>2562</v>
      </c>
      <c r="C626" s="2" t="s">
        <v>2119</v>
      </c>
      <c r="D626" s="2">
        <v>1971</v>
      </c>
      <c r="E626" s="2" t="s">
        <v>2136</v>
      </c>
      <c r="F626" s="2" t="s">
        <v>2121</v>
      </c>
      <c r="G626" s="3">
        <v>45195</v>
      </c>
    </row>
    <row r="627" spans="1:7">
      <c r="A627" s="2" t="s">
        <v>362</v>
      </c>
      <c r="B627" s="2" t="s">
        <v>2563</v>
      </c>
      <c r="C627" s="2" t="s">
        <v>2123</v>
      </c>
      <c r="D627" s="2">
        <v>1991</v>
      </c>
      <c r="E627" s="2" t="s">
        <v>2136</v>
      </c>
      <c r="F627" s="2" t="s">
        <v>2124</v>
      </c>
      <c r="G627" s="3">
        <v>41924</v>
      </c>
    </row>
    <row r="628" spans="1:7">
      <c r="A628" s="2" t="s">
        <v>977</v>
      </c>
      <c r="B628" s="2" t="s">
        <v>2185</v>
      </c>
      <c r="C628" s="2" t="s">
        <v>2119</v>
      </c>
      <c r="D628" s="2">
        <v>1981</v>
      </c>
      <c r="E628" s="2" t="s">
        <v>2120</v>
      </c>
      <c r="F628" s="2" t="s">
        <v>2190</v>
      </c>
      <c r="G628" s="3">
        <v>40823</v>
      </c>
    </row>
    <row r="629" spans="1:7">
      <c r="A629" s="2" t="s">
        <v>1935</v>
      </c>
      <c r="B629" s="2" t="s">
        <v>2288</v>
      </c>
      <c r="C629" s="2" t="s">
        <v>2123</v>
      </c>
      <c r="D629" s="2">
        <v>1988</v>
      </c>
      <c r="E629" s="2" t="s">
        <v>2120</v>
      </c>
      <c r="F629" s="2" t="s">
        <v>2190</v>
      </c>
      <c r="G629" s="3">
        <v>41968</v>
      </c>
    </row>
    <row r="630" spans="1:7">
      <c r="A630" s="2" t="s">
        <v>1543</v>
      </c>
      <c r="B630" s="2" t="s">
        <v>2192</v>
      </c>
      <c r="C630" s="2" t="s">
        <v>2119</v>
      </c>
      <c r="D630" s="2">
        <v>1996</v>
      </c>
      <c r="E630" s="2" t="s">
        <v>2120</v>
      </c>
      <c r="F630" s="2" t="s">
        <v>2124</v>
      </c>
      <c r="G630" s="3">
        <v>43830</v>
      </c>
    </row>
    <row r="631" spans="1:7">
      <c r="A631" s="2" t="s">
        <v>874</v>
      </c>
      <c r="B631" s="2" t="s">
        <v>2244</v>
      </c>
      <c r="C631" s="2" t="s">
        <v>2123</v>
      </c>
      <c r="D631" s="2">
        <v>1988</v>
      </c>
      <c r="E631" s="2" t="s">
        <v>2120</v>
      </c>
      <c r="F631" s="2" t="s">
        <v>2124</v>
      </c>
      <c r="G631" s="3">
        <v>42588</v>
      </c>
    </row>
    <row r="632" spans="1:7">
      <c r="A632" s="2" t="s">
        <v>755</v>
      </c>
      <c r="B632" s="2" t="s">
        <v>2160</v>
      </c>
      <c r="C632" s="2" t="s">
        <v>2119</v>
      </c>
      <c r="D632" s="2">
        <v>1988</v>
      </c>
      <c r="E632" s="2" t="s">
        <v>2120</v>
      </c>
      <c r="F632" s="2" t="s">
        <v>2124</v>
      </c>
      <c r="G632" s="3">
        <v>41890</v>
      </c>
    </row>
    <row r="633" spans="1:7">
      <c r="A633" s="2" t="s">
        <v>666</v>
      </c>
      <c r="B633" s="2" t="s">
        <v>2389</v>
      </c>
      <c r="C633" s="2" t="s">
        <v>2123</v>
      </c>
      <c r="D633" s="2">
        <v>1997</v>
      </c>
      <c r="E633" s="2" t="s">
        <v>2120</v>
      </c>
      <c r="F633" s="2" t="s">
        <v>2124</v>
      </c>
      <c r="G633" s="3">
        <v>43651</v>
      </c>
    </row>
    <row r="634" spans="1:7">
      <c r="A634" s="2" t="s">
        <v>625</v>
      </c>
      <c r="B634" s="2" t="s">
        <v>2491</v>
      </c>
      <c r="C634" s="2" t="s">
        <v>2123</v>
      </c>
      <c r="D634" s="2">
        <v>1977</v>
      </c>
      <c r="E634" s="2" t="s">
        <v>2120</v>
      </c>
      <c r="F634" s="2" t="s">
        <v>2124</v>
      </c>
      <c r="G634" s="3">
        <v>43376</v>
      </c>
    </row>
    <row r="635" spans="1:7">
      <c r="A635" s="2" t="s">
        <v>2564</v>
      </c>
      <c r="B635" s="2" t="s">
        <v>2531</v>
      </c>
      <c r="C635" s="2" t="s">
        <v>2119</v>
      </c>
      <c r="D635" s="2">
        <v>1993</v>
      </c>
      <c r="E635" s="2" t="s">
        <v>2136</v>
      </c>
      <c r="F635" s="2" t="s">
        <v>2124</v>
      </c>
      <c r="G635" s="3">
        <v>43221</v>
      </c>
    </row>
    <row r="636" spans="1:7">
      <c r="A636" s="2" t="s">
        <v>339</v>
      </c>
      <c r="B636" s="2" t="s">
        <v>2276</v>
      </c>
      <c r="C636" s="2" t="s">
        <v>2119</v>
      </c>
      <c r="D636" s="2">
        <v>2004</v>
      </c>
      <c r="E636" s="2" t="s">
        <v>2120</v>
      </c>
      <c r="F636" s="2" t="s">
        <v>2124</v>
      </c>
      <c r="G636" s="3">
        <v>41274</v>
      </c>
    </row>
    <row r="637" spans="1:7">
      <c r="A637" s="2" t="s">
        <v>590</v>
      </c>
      <c r="B637" s="2" t="s">
        <v>2320</v>
      </c>
      <c r="C637" s="2" t="s">
        <v>2119</v>
      </c>
      <c r="D637" s="2">
        <v>2000</v>
      </c>
      <c r="E637" s="2" t="s">
        <v>2120</v>
      </c>
      <c r="F637" s="2" t="s">
        <v>2124</v>
      </c>
      <c r="G637" s="3">
        <v>45222</v>
      </c>
    </row>
    <row r="638" spans="1:7">
      <c r="A638" s="2" t="s">
        <v>183</v>
      </c>
      <c r="B638" s="2" t="s">
        <v>2512</v>
      </c>
      <c r="C638" s="2" t="s">
        <v>2123</v>
      </c>
      <c r="D638" s="2">
        <v>1972</v>
      </c>
      <c r="E638" s="2" t="s">
        <v>2136</v>
      </c>
      <c r="F638" s="2" t="s">
        <v>2124</v>
      </c>
      <c r="G638" s="3">
        <v>44407</v>
      </c>
    </row>
    <row r="639" spans="1:7">
      <c r="A639" s="2" t="s">
        <v>1835</v>
      </c>
      <c r="B639" s="2" t="s">
        <v>2531</v>
      </c>
      <c r="C639" s="2" t="s">
        <v>2119</v>
      </c>
      <c r="D639" s="2">
        <v>1997</v>
      </c>
      <c r="E639" s="2" t="s">
        <v>2136</v>
      </c>
      <c r="F639" s="2" t="s">
        <v>2121</v>
      </c>
      <c r="G639" s="3">
        <v>41827</v>
      </c>
    </row>
    <row r="640" spans="1:7">
      <c r="A640" s="2" t="s">
        <v>2565</v>
      </c>
      <c r="B640" s="2" t="s">
        <v>2249</v>
      </c>
      <c r="C640" s="2" t="s">
        <v>2119</v>
      </c>
      <c r="D640" s="2">
        <v>1997</v>
      </c>
      <c r="E640" s="2" t="s">
        <v>2120</v>
      </c>
      <c r="F640" s="2" t="s">
        <v>2121</v>
      </c>
      <c r="G640" s="3">
        <v>45201</v>
      </c>
    </row>
    <row r="641" spans="1:7">
      <c r="A641" s="2" t="s">
        <v>1081</v>
      </c>
      <c r="B641" s="2" t="s">
        <v>2128</v>
      </c>
      <c r="C641" s="2" t="s">
        <v>2123</v>
      </c>
      <c r="D641" s="2">
        <v>1981</v>
      </c>
      <c r="E641" s="2" t="s">
        <v>2120</v>
      </c>
      <c r="F641" s="2" t="s">
        <v>2121</v>
      </c>
      <c r="G641" s="3">
        <v>45434</v>
      </c>
    </row>
    <row r="642" spans="1:7">
      <c r="A642" s="2" t="s">
        <v>50</v>
      </c>
      <c r="B642" s="2" t="s">
        <v>2415</v>
      </c>
      <c r="C642" s="2" t="s">
        <v>2119</v>
      </c>
      <c r="D642" s="2">
        <v>1981</v>
      </c>
      <c r="E642" s="2" t="s">
        <v>2120</v>
      </c>
      <c r="F642" s="2" t="s">
        <v>2121</v>
      </c>
      <c r="G642" s="3">
        <v>43083</v>
      </c>
    </row>
    <row r="643" spans="1:7">
      <c r="A643" s="2" t="s">
        <v>2566</v>
      </c>
      <c r="B643" s="2" t="s">
        <v>2262</v>
      </c>
      <c r="C643" s="2" t="s">
        <v>2123</v>
      </c>
      <c r="D643" s="2">
        <v>1995</v>
      </c>
      <c r="E643" s="2" t="s">
        <v>2136</v>
      </c>
      <c r="F643" s="2" t="s">
        <v>2124</v>
      </c>
      <c r="G643" s="3">
        <v>40419</v>
      </c>
    </row>
    <row r="644" spans="1:7">
      <c r="A644" s="2" t="s">
        <v>2567</v>
      </c>
      <c r="B644" s="2" t="s">
        <v>2568</v>
      </c>
      <c r="C644" s="2" t="s">
        <v>2119</v>
      </c>
      <c r="D644" s="2">
        <v>1981</v>
      </c>
      <c r="E644" s="2" t="s">
        <v>2136</v>
      </c>
      <c r="F644" s="2" t="s">
        <v>2124</v>
      </c>
      <c r="G644" s="3">
        <v>44039</v>
      </c>
    </row>
    <row r="645" spans="1:7">
      <c r="A645" s="2" t="s">
        <v>2569</v>
      </c>
      <c r="B645" s="2" t="s">
        <v>2570</v>
      </c>
      <c r="C645" s="2" t="s">
        <v>2123</v>
      </c>
      <c r="D645" s="2">
        <v>1997</v>
      </c>
      <c r="E645" s="2" t="s">
        <v>2120</v>
      </c>
      <c r="F645" s="2" t="s">
        <v>2121</v>
      </c>
      <c r="G645" s="3">
        <v>41230</v>
      </c>
    </row>
    <row r="646" spans="1:7">
      <c r="A646" s="2" t="s">
        <v>592</v>
      </c>
      <c r="B646" s="2" t="s">
        <v>2507</v>
      </c>
      <c r="C646" s="2" t="s">
        <v>2123</v>
      </c>
      <c r="D646" s="2">
        <v>1989</v>
      </c>
      <c r="E646" s="2" t="s">
        <v>2120</v>
      </c>
      <c r="F646" s="2" t="s">
        <v>2124</v>
      </c>
      <c r="G646" s="3">
        <v>42242</v>
      </c>
    </row>
    <row r="647" spans="1:7">
      <c r="A647" s="2" t="s">
        <v>1203</v>
      </c>
      <c r="B647" s="2" t="s">
        <v>2571</v>
      </c>
      <c r="C647" s="2" t="s">
        <v>2123</v>
      </c>
      <c r="D647" s="2">
        <v>1994</v>
      </c>
      <c r="E647" s="2" t="s">
        <v>2136</v>
      </c>
      <c r="F647" s="2" t="s">
        <v>2190</v>
      </c>
      <c r="G647" s="3">
        <v>43756</v>
      </c>
    </row>
    <row r="648" spans="1:7">
      <c r="A648" s="2" t="s">
        <v>2572</v>
      </c>
      <c r="B648" s="2" t="s">
        <v>2151</v>
      </c>
      <c r="C648" s="2" t="s">
        <v>2119</v>
      </c>
      <c r="D648" s="2">
        <v>1998</v>
      </c>
      <c r="E648" s="2" t="s">
        <v>2136</v>
      </c>
      <c r="F648" s="2" t="s">
        <v>2124</v>
      </c>
      <c r="G648" s="3">
        <v>40284</v>
      </c>
    </row>
    <row r="649" spans="1:7">
      <c r="A649" s="2" t="s">
        <v>103</v>
      </c>
      <c r="B649" s="2" t="s">
        <v>2573</v>
      </c>
      <c r="C649" s="2" t="s">
        <v>2123</v>
      </c>
      <c r="D649" s="2">
        <v>1990</v>
      </c>
      <c r="E649" s="2" t="s">
        <v>2120</v>
      </c>
      <c r="F649" s="2" t="s">
        <v>2124</v>
      </c>
      <c r="G649" s="3">
        <v>40883</v>
      </c>
    </row>
    <row r="650" spans="1:7">
      <c r="A650" s="2" t="s">
        <v>1424</v>
      </c>
      <c r="B650" s="2" t="s">
        <v>2389</v>
      </c>
      <c r="C650" s="2" t="s">
        <v>2123</v>
      </c>
      <c r="D650" s="2">
        <v>2001</v>
      </c>
      <c r="E650" s="2" t="s">
        <v>2120</v>
      </c>
      <c r="F650" s="2" t="s">
        <v>2124</v>
      </c>
      <c r="G650" s="3">
        <v>42828</v>
      </c>
    </row>
    <row r="651" spans="1:7">
      <c r="A651" s="2" t="s">
        <v>1219</v>
      </c>
      <c r="B651" s="2" t="s">
        <v>2238</v>
      </c>
      <c r="C651" s="2" t="s">
        <v>2119</v>
      </c>
      <c r="D651" s="2">
        <v>1996</v>
      </c>
      <c r="E651" s="2" t="s">
        <v>2136</v>
      </c>
      <c r="F651" s="2" t="s">
        <v>2124</v>
      </c>
      <c r="G651" s="3">
        <v>41853</v>
      </c>
    </row>
    <row r="652" spans="1:7">
      <c r="A652" s="2" t="s">
        <v>1405</v>
      </c>
      <c r="B652" s="2" t="s">
        <v>2568</v>
      </c>
      <c r="C652" s="2" t="s">
        <v>2119</v>
      </c>
      <c r="D652" s="2">
        <v>1968</v>
      </c>
      <c r="E652" s="2" t="s">
        <v>2136</v>
      </c>
      <c r="F652" s="2" t="s">
        <v>2190</v>
      </c>
      <c r="G652" s="3">
        <v>43783</v>
      </c>
    </row>
    <row r="653" spans="1:7">
      <c r="A653" s="2" t="s">
        <v>356</v>
      </c>
      <c r="B653" s="2" t="s">
        <v>2227</v>
      </c>
      <c r="C653" s="2" t="s">
        <v>2119</v>
      </c>
      <c r="D653" s="2">
        <v>1989</v>
      </c>
      <c r="E653" s="2" t="s">
        <v>2136</v>
      </c>
      <c r="F653" s="2" t="s">
        <v>2121</v>
      </c>
      <c r="G653" s="3">
        <v>41563</v>
      </c>
    </row>
    <row r="654" spans="1:7">
      <c r="A654" s="2" t="s">
        <v>1229</v>
      </c>
      <c r="B654" s="2" t="s">
        <v>2459</v>
      </c>
      <c r="C654" s="2" t="s">
        <v>2123</v>
      </c>
      <c r="D654" s="2">
        <v>1992</v>
      </c>
      <c r="E654" s="2" t="s">
        <v>2136</v>
      </c>
      <c r="F654" s="2" t="s">
        <v>2124</v>
      </c>
      <c r="G654" s="3">
        <v>41340</v>
      </c>
    </row>
    <row r="655" spans="1:7">
      <c r="A655" s="2" t="s">
        <v>1479</v>
      </c>
      <c r="B655" s="2" t="s">
        <v>2310</v>
      </c>
      <c r="C655" s="2" t="s">
        <v>2119</v>
      </c>
      <c r="D655" s="2">
        <v>1982</v>
      </c>
      <c r="E655" s="2" t="s">
        <v>2136</v>
      </c>
      <c r="F655" s="2" t="s">
        <v>2121</v>
      </c>
      <c r="G655" s="3">
        <v>42052</v>
      </c>
    </row>
    <row r="656" spans="1:7">
      <c r="A656" s="2" t="s">
        <v>2007</v>
      </c>
      <c r="B656" s="2" t="s">
        <v>2310</v>
      </c>
      <c r="C656" s="2" t="s">
        <v>2119</v>
      </c>
      <c r="D656" s="2">
        <v>1997</v>
      </c>
      <c r="E656" s="2" t="s">
        <v>2136</v>
      </c>
      <c r="F656" s="2" t="s">
        <v>2121</v>
      </c>
      <c r="G656" s="3">
        <v>45485</v>
      </c>
    </row>
    <row r="657" spans="1:7">
      <c r="A657" s="2" t="s">
        <v>1982</v>
      </c>
      <c r="B657" s="2" t="s">
        <v>2293</v>
      </c>
      <c r="C657" s="2" t="s">
        <v>2123</v>
      </c>
      <c r="D657" s="2">
        <v>2001</v>
      </c>
      <c r="E657" s="2" t="s">
        <v>2120</v>
      </c>
      <c r="F657" s="2" t="s">
        <v>2124</v>
      </c>
      <c r="G657" s="3">
        <v>44000</v>
      </c>
    </row>
    <row r="658" spans="1:7">
      <c r="A658" s="2" t="s">
        <v>1376</v>
      </c>
      <c r="B658" s="2" t="s">
        <v>2531</v>
      </c>
      <c r="C658" s="2" t="s">
        <v>2119</v>
      </c>
      <c r="D658" s="2">
        <v>2002</v>
      </c>
      <c r="E658" s="2" t="s">
        <v>2136</v>
      </c>
      <c r="F658" s="2" t="s">
        <v>2121</v>
      </c>
      <c r="G658" s="3">
        <v>40541</v>
      </c>
    </row>
    <row r="659" spans="1:7">
      <c r="A659" s="2" t="s">
        <v>2574</v>
      </c>
      <c r="B659" s="2" t="s">
        <v>2358</v>
      </c>
      <c r="C659" s="2" t="s">
        <v>2119</v>
      </c>
      <c r="D659" s="2">
        <v>1960</v>
      </c>
      <c r="E659" s="2" t="s">
        <v>2120</v>
      </c>
      <c r="F659" s="2" t="s">
        <v>2124</v>
      </c>
      <c r="G659" s="3">
        <v>41029</v>
      </c>
    </row>
    <row r="660" spans="1:7">
      <c r="A660" s="2" t="s">
        <v>2575</v>
      </c>
      <c r="B660" s="2" t="s">
        <v>2255</v>
      </c>
      <c r="C660" s="2" t="s">
        <v>2123</v>
      </c>
      <c r="D660" s="2">
        <v>1971</v>
      </c>
      <c r="E660" s="2" t="s">
        <v>2120</v>
      </c>
      <c r="F660" s="2" t="s">
        <v>2121</v>
      </c>
      <c r="G660" s="3">
        <v>42827</v>
      </c>
    </row>
    <row r="661" spans="1:7">
      <c r="A661" s="2" t="s">
        <v>2576</v>
      </c>
      <c r="B661" s="2" t="s">
        <v>2577</v>
      </c>
      <c r="C661" s="2" t="s">
        <v>2119</v>
      </c>
      <c r="D661" s="2">
        <v>1965</v>
      </c>
      <c r="E661" s="2" t="s">
        <v>2120</v>
      </c>
      <c r="F661" s="2" t="s">
        <v>2121</v>
      </c>
      <c r="G661" s="3">
        <v>40880</v>
      </c>
    </row>
    <row r="662" spans="1:7">
      <c r="A662" s="2" t="s">
        <v>1163</v>
      </c>
      <c r="B662" s="2" t="s">
        <v>2481</v>
      </c>
      <c r="C662" s="2" t="s">
        <v>2123</v>
      </c>
      <c r="D662" s="2">
        <v>1962</v>
      </c>
      <c r="E662" s="2" t="s">
        <v>2120</v>
      </c>
      <c r="F662" s="2" t="s">
        <v>2124</v>
      </c>
      <c r="G662" s="3">
        <v>43430</v>
      </c>
    </row>
    <row r="663" spans="1:7">
      <c r="A663" s="2" t="s">
        <v>993</v>
      </c>
      <c r="B663" s="2" t="s">
        <v>2419</v>
      </c>
      <c r="C663" s="2" t="s">
        <v>2123</v>
      </c>
      <c r="D663" s="2">
        <v>1996</v>
      </c>
      <c r="E663" s="2" t="s">
        <v>2120</v>
      </c>
      <c r="F663" s="2" t="s">
        <v>2121</v>
      </c>
      <c r="G663" s="3">
        <v>43930</v>
      </c>
    </row>
    <row r="664" spans="1:7">
      <c r="A664" s="2" t="s">
        <v>1651</v>
      </c>
      <c r="B664" s="2" t="s">
        <v>2260</v>
      </c>
      <c r="C664" s="2" t="s">
        <v>2123</v>
      </c>
      <c r="D664" s="2">
        <v>1992</v>
      </c>
      <c r="E664" s="2" t="s">
        <v>2120</v>
      </c>
      <c r="F664" s="2" t="s">
        <v>2124</v>
      </c>
      <c r="G664" s="3">
        <v>41083</v>
      </c>
    </row>
    <row r="665" spans="1:7">
      <c r="A665" s="2" t="s">
        <v>82</v>
      </c>
      <c r="B665" s="2" t="s">
        <v>2332</v>
      </c>
      <c r="C665" s="2" t="s">
        <v>2123</v>
      </c>
      <c r="D665" s="2">
        <v>1988</v>
      </c>
      <c r="E665" s="2" t="s">
        <v>2120</v>
      </c>
      <c r="F665" s="2" t="s">
        <v>2124</v>
      </c>
      <c r="G665" s="3">
        <v>42136</v>
      </c>
    </row>
    <row r="666" spans="1:7">
      <c r="A666" s="2" t="s">
        <v>1438</v>
      </c>
      <c r="B666" s="2" t="s">
        <v>2237</v>
      </c>
      <c r="C666" s="2" t="s">
        <v>2123</v>
      </c>
      <c r="D666" s="2">
        <v>1982</v>
      </c>
      <c r="E666" s="2" t="s">
        <v>2120</v>
      </c>
      <c r="F666" s="2" t="s">
        <v>2121</v>
      </c>
      <c r="G666" s="3">
        <v>41389</v>
      </c>
    </row>
    <row r="667" spans="1:7">
      <c r="A667" s="2" t="s">
        <v>513</v>
      </c>
      <c r="B667" s="2" t="s">
        <v>2499</v>
      </c>
      <c r="C667" s="2" t="s">
        <v>2119</v>
      </c>
      <c r="D667" s="2">
        <v>1955</v>
      </c>
      <c r="E667" s="2" t="s">
        <v>2120</v>
      </c>
      <c r="F667" s="2" t="s">
        <v>2124</v>
      </c>
      <c r="G667" s="3">
        <v>45851</v>
      </c>
    </row>
    <row r="668" spans="1:7">
      <c r="A668" s="2" t="s">
        <v>2578</v>
      </c>
      <c r="B668" s="2" t="s">
        <v>2507</v>
      </c>
      <c r="C668" s="2" t="s">
        <v>2123</v>
      </c>
      <c r="D668" s="2">
        <v>1982</v>
      </c>
      <c r="E668" s="2" t="s">
        <v>2136</v>
      </c>
      <c r="F668" s="2" t="s">
        <v>2190</v>
      </c>
      <c r="G668" s="3">
        <v>44885</v>
      </c>
    </row>
    <row r="669" spans="1:7">
      <c r="A669" s="2" t="s">
        <v>2579</v>
      </c>
      <c r="B669" s="2" t="s">
        <v>2167</v>
      </c>
      <c r="C669" s="2" t="s">
        <v>2123</v>
      </c>
      <c r="D669" s="2">
        <v>1995</v>
      </c>
      <c r="E669" s="2" t="s">
        <v>2136</v>
      </c>
      <c r="F669" s="2" t="s">
        <v>2190</v>
      </c>
      <c r="G669" s="3">
        <v>40661</v>
      </c>
    </row>
    <row r="670" spans="1:7">
      <c r="A670" s="2" t="s">
        <v>451</v>
      </c>
      <c r="B670" s="2" t="s">
        <v>2235</v>
      </c>
      <c r="C670" s="2" t="s">
        <v>2123</v>
      </c>
      <c r="D670" s="2">
        <v>1993</v>
      </c>
      <c r="E670" s="2" t="s">
        <v>2136</v>
      </c>
      <c r="F670" s="2" t="s">
        <v>2124</v>
      </c>
      <c r="G670" s="3">
        <v>40628</v>
      </c>
    </row>
    <row r="671" spans="1:7">
      <c r="A671" s="2" t="s">
        <v>493</v>
      </c>
      <c r="B671" s="2" t="s">
        <v>2428</v>
      </c>
      <c r="C671" s="2" t="s">
        <v>2119</v>
      </c>
      <c r="D671" s="2">
        <v>1976</v>
      </c>
      <c r="E671" s="2" t="s">
        <v>2120</v>
      </c>
      <c r="F671" s="2" t="s">
        <v>2121</v>
      </c>
      <c r="G671" s="3">
        <v>43033</v>
      </c>
    </row>
    <row r="672" spans="1:7">
      <c r="A672" s="2" t="s">
        <v>1234</v>
      </c>
      <c r="B672" s="2" t="s">
        <v>2204</v>
      </c>
      <c r="C672" s="2" t="s">
        <v>2119</v>
      </c>
      <c r="D672" s="2">
        <v>1968</v>
      </c>
      <c r="E672" s="2" t="s">
        <v>2120</v>
      </c>
      <c r="F672" s="2" t="s">
        <v>2190</v>
      </c>
      <c r="G672" s="3">
        <v>45536</v>
      </c>
    </row>
    <row r="673" spans="1:7">
      <c r="A673" s="2" t="s">
        <v>415</v>
      </c>
      <c r="B673" s="2" t="s">
        <v>2423</v>
      </c>
      <c r="C673" s="2" t="s">
        <v>2119</v>
      </c>
      <c r="D673" s="2">
        <v>1999</v>
      </c>
      <c r="E673" s="2" t="s">
        <v>2136</v>
      </c>
      <c r="F673" s="2" t="s">
        <v>2121</v>
      </c>
      <c r="G673" s="3">
        <v>42425</v>
      </c>
    </row>
    <row r="674" spans="1:7">
      <c r="A674" s="2" t="s">
        <v>1796</v>
      </c>
      <c r="B674" s="2" t="s">
        <v>2174</v>
      </c>
      <c r="C674" s="2" t="s">
        <v>2123</v>
      </c>
      <c r="D674" s="2">
        <v>1984</v>
      </c>
      <c r="E674" s="2" t="s">
        <v>2120</v>
      </c>
      <c r="F674" s="2" t="s">
        <v>2124</v>
      </c>
      <c r="G674" s="3">
        <v>43101</v>
      </c>
    </row>
    <row r="675" spans="1:7">
      <c r="A675" s="2" t="s">
        <v>1011</v>
      </c>
      <c r="B675" s="2" t="s">
        <v>2577</v>
      </c>
      <c r="C675" s="2" t="s">
        <v>2119</v>
      </c>
      <c r="D675" s="2">
        <v>1996</v>
      </c>
      <c r="E675" s="2" t="s">
        <v>2136</v>
      </c>
      <c r="F675" s="2" t="s">
        <v>2190</v>
      </c>
      <c r="G675" s="3">
        <v>40828</v>
      </c>
    </row>
    <row r="676" spans="1:7">
      <c r="A676" s="2" t="s">
        <v>1456</v>
      </c>
      <c r="B676" s="2" t="s">
        <v>2274</v>
      </c>
      <c r="C676" s="2" t="s">
        <v>2123</v>
      </c>
      <c r="D676" s="2">
        <v>1959</v>
      </c>
      <c r="E676" s="2" t="s">
        <v>2136</v>
      </c>
      <c r="F676" s="2" t="s">
        <v>2124</v>
      </c>
      <c r="G676" s="3">
        <v>42939</v>
      </c>
    </row>
    <row r="677" spans="1:7">
      <c r="A677" s="2" t="s">
        <v>2580</v>
      </c>
      <c r="B677" s="2" t="s">
        <v>2507</v>
      </c>
      <c r="C677" s="2" t="s">
        <v>2123</v>
      </c>
      <c r="D677" s="2">
        <v>1970</v>
      </c>
      <c r="E677" s="2" t="s">
        <v>2120</v>
      </c>
      <c r="F677" s="2" t="s">
        <v>2124</v>
      </c>
      <c r="G677" s="3">
        <v>40616</v>
      </c>
    </row>
    <row r="678" spans="1:7">
      <c r="A678" s="2" t="s">
        <v>2581</v>
      </c>
      <c r="B678" s="2" t="s">
        <v>2203</v>
      </c>
      <c r="C678" s="2" t="s">
        <v>2123</v>
      </c>
      <c r="D678" s="2">
        <v>2002</v>
      </c>
      <c r="E678" s="2" t="s">
        <v>2120</v>
      </c>
      <c r="F678" s="2" t="s">
        <v>2121</v>
      </c>
      <c r="G678" s="3">
        <v>45352</v>
      </c>
    </row>
    <row r="679" spans="1:7">
      <c r="A679" s="2" t="s">
        <v>1185</v>
      </c>
      <c r="B679" s="2" t="s">
        <v>2342</v>
      </c>
      <c r="C679" s="2" t="s">
        <v>2123</v>
      </c>
      <c r="D679" s="2">
        <v>1978</v>
      </c>
      <c r="E679" s="2" t="s">
        <v>2136</v>
      </c>
      <c r="F679" s="2" t="s">
        <v>2124</v>
      </c>
      <c r="G679" s="3">
        <v>42310</v>
      </c>
    </row>
    <row r="680" spans="1:7">
      <c r="A680" s="2" t="s">
        <v>2582</v>
      </c>
      <c r="B680" s="2" t="s">
        <v>2168</v>
      </c>
      <c r="C680" s="2" t="s">
        <v>2123</v>
      </c>
      <c r="D680" s="2">
        <v>1991</v>
      </c>
      <c r="E680" s="2" t="s">
        <v>2120</v>
      </c>
      <c r="F680" s="2" t="s">
        <v>2124</v>
      </c>
      <c r="G680" s="3">
        <v>42508</v>
      </c>
    </row>
    <row r="681" spans="1:7">
      <c r="A681" s="2" t="s">
        <v>1928</v>
      </c>
      <c r="B681" s="2" t="s">
        <v>2583</v>
      </c>
      <c r="C681" s="2" t="s">
        <v>2119</v>
      </c>
      <c r="D681" s="2">
        <v>1980</v>
      </c>
      <c r="E681" s="2" t="s">
        <v>2136</v>
      </c>
      <c r="F681" s="2" t="s">
        <v>2124</v>
      </c>
      <c r="G681" s="3">
        <v>41892</v>
      </c>
    </row>
    <row r="682" spans="1:7">
      <c r="A682" s="2" t="s">
        <v>210</v>
      </c>
      <c r="B682" s="2" t="s">
        <v>2584</v>
      </c>
      <c r="C682" s="2" t="s">
        <v>2119</v>
      </c>
      <c r="D682" s="2">
        <v>2003</v>
      </c>
      <c r="E682" s="2" t="s">
        <v>2120</v>
      </c>
      <c r="F682" s="2" t="s">
        <v>2124</v>
      </c>
      <c r="G682" s="3">
        <v>45553</v>
      </c>
    </row>
    <row r="683" spans="1:7">
      <c r="A683" s="2" t="s">
        <v>220</v>
      </c>
      <c r="B683" s="2" t="s">
        <v>2288</v>
      </c>
      <c r="C683" s="2" t="s">
        <v>2123</v>
      </c>
      <c r="D683" s="2">
        <v>1983</v>
      </c>
      <c r="E683" s="2" t="s">
        <v>2120</v>
      </c>
      <c r="F683" s="2" t="s">
        <v>2121</v>
      </c>
      <c r="G683" s="3">
        <v>44567</v>
      </c>
    </row>
    <row r="684" spans="1:7">
      <c r="A684" s="2" t="s">
        <v>222</v>
      </c>
      <c r="B684" s="2" t="s">
        <v>2467</v>
      </c>
      <c r="C684" s="2" t="s">
        <v>2123</v>
      </c>
      <c r="D684" s="2">
        <v>1965</v>
      </c>
      <c r="E684" s="2" t="s">
        <v>2120</v>
      </c>
      <c r="F684" s="2" t="s">
        <v>2121</v>
      </c>
      <c r="G684" s="3">
        <v>45490</v>
      </c>
    </row>
    <row r="685" spans="1:7">
      <c r="A685" s="2" t="s">
        <v>2585</v>
      </c>
      <c r="B685" s="2" t="s">
        <v>2130</v>
      </c>
      <c r="C685" s="2" t="s">
        <v>2119</v>
      </c>
      <c r="D685" s="2">
        <v>1973</v>
      </c>
      <c r="E685" s="2" t="s">
        <v>2120</v>
      </c>
      <c r="F685" s="2" t="s">
        <v>2124</v>
      </c>
      <c r="G685" s="3">
        <v>43529</v>
      </c>
    </row>
    <row r="686" spans="1:7">
      <c r="A686" s="2" t="s">
        <v>842</v>
      </c>
      <c r="B686" s="2" t="s">
        <v>2586</v>
      </c>
      <c r="C686" s="2" t="s">
        <v>2123</v>
      </c>
      <c r="D686" s="2">
        <v>2004</v>
      </c>
      <c r="E686" s="2" t="s">
        <v>2136</v>
      </c>
      <c r="F686" s="2" t="s">
        <v>2121</v>
      </c>
      <c r="G686" s="3">
        <v>43952</v>
      </c>
    </row>
    <row r="687" spans="1:7">
      <c r="A687" s="2" t="s">
        <v>1679</v>
      </c>
      <c r="B687" s="2" t="s">
        <v>2499</v>
      </c>
      <c r="C687" s="2" t="s">
        <v>2119</v>
      </c>
      <c r="D687" s="2">
        <v>1959</v>
      </c>
      <c r="E687" s="2" t="s">
        <v>2136</v>
      </c>
      <c r="F687" s="2" t="s">
        <v>2124</v>
      </c>
      <c r="G687" s="3">
        <v>41890</v>
      </c>
    </row>
    <row r="688" spans="1:7">
      <c r="A688" s="2" t="s">
        <v>1063</v>
      </c>
      <c r="B688" s="2" t="s">
        <v>2218</v>
      </c>
      <c r="C688" s="2" t="s">
        <v>2119</v>
      </c>
      <c r="D688" s="2">
        <v>1980</v>
      </c>
      <c r="E688" s="2" t="s">
        <v>2120</v>
      </c>
      <c r="F688" s="2" t="s">
        <v>2121</v>
      </c>
      <c r="G688" s="3">
        <v>40774</v>
      </c>
    </row>
    <row r="689" spans="1:7">
      <c r="A689" s="2" t="s">
        <v>811</v>
      </c>
      <c r="B689" s="2" t="s">
        <v>2587</v>
      </c>
      <c r="C689" s="2" t="s">
        <v>2123</v>
      </c>
      <c r="D689" s="2">
        <v>1993</v>
      </c>
      <c r="E689" s="2" t="s">
        <v>2120</v>
      </c>
      <c r="F689" s="2" t="s">
        <v>2121</v>
      </c>
      <c r="G689" s="3">
        <v>41658</v>
      </c>
    </row>
    <row r="690" spans="1:7">
      <c r="A690" s="2" t="s">
        <v>118</v>
      </c>
      <c r="B690" s="2" t="s">
        <v>2164</v>
      </c>
      <c r="C690" s="2" t="s">
        <v>2123</v>
      </c>
      <c r="D690" s="2">
        <v>1968</v>
      </c>
      <c r="E690" s="2" t="s">
        <v>2136</v>
      </c>
      <c r="F690" s="2" t="s">
        <v>2124</v>
      </c>
      <c r="G690" s="3">
        <v>45522</v>
      </c>
    </row>
    <row r="691" spans="1:7">
      <c r="A691" s="2" t="s">
        <v>1865</v>
      </c>
      <c r="B691" s="2" t="s">
        <v>2208</v>
      </c>
      <c r="C691" s="2" t="s">
        <v>2123</v>
      </c>
      <c r="D691" s="2">
        <v>1964</v>
      </c>
      <c r="E691" s="2" t="s">
        <v>2120</v>
      </c>
      <c r="F691" s="2" t="s">
        <v>2121</v>
      </c>
      <c r="G691" s="3">
        <v>41244</v>
      </c>
    </row>
    <row r="692" spans="1:7">
      <c r="A692" s="2" t="s">
        <v>270</v>
      </c>
      <c r="B692" s="2" t="s">
        <v>2442</v>
      </c>
      <c r="C692" s="2" t="s">
        <v>2119</v>
      </c>
      <c r="D692" s="2">
        <v>1995</v>
      </c>
      <c r="E692" s="2" t="s">
        <v>2120</v>
      </c>
      <c r="F692" s="2" t="s">
        <v>2121</v>
      </c>
      <c r="G692" s="3">
        <v>42240</v>
      </c>
    </row>
    <row r="693" spans="1:7">
      <c r="A693" s="2" t="s">
        <v>1173</v>
      </c>
      <c r="B693" s="2" t="s">
        <v>2588</v>
      </c>
      <c r="C693" s="2" t="s">
        <v>2119</v>
      </c>
      <c r="D693" s="2">
        <v>1988</v>
      </c>
      <c r="E693" s="2" t="s">
        <v>2120</v>
      </c>
      <c r="F693" s="2" t="s">
        <v>2124</v>
      </c>
      <c r="G693" s="3">
        <v>41537</v>
      </c>
    </row>
    <row r="694" spans="1:7">
      <c r="A694" s="2" t="s">
        <v>2003</v>
      </c>
      <c r="B694" s="2" t="s">
        <v>2242</v>
      </c>
      <c r="C694" s="2" t="s">
        <v>2119</v>
      </c>
      <c r="D694" s="2">
        <v>1975</v>
      </c>
      <c r="E694" s="2" t="s">
        <v>2120</v>
      </c>
      <c r="F694" s="2" t="s">
        <v>2124</v>
      </c>
      <c r="G694" s="3">
        <v>43326</v>
      </c>
    </row>
    <row r="695" spans="1:7">
      <c r="A695" s="2" t="s">
        <v>100</v>
      </c>
      <c r="B695" s="2" t="s">
        <v>2589</v>
      </c>
      <c r="C695" s="2" t="s">
        <v>2119</v>
      </c>
      <c r="D695" s="2">
        <v>1992</v>
      </c>
      <c r="E695" s="2" t="s">
        <v>2120</v>
      </c>
      <c r="F695" s="2" t="s">
        <v>2121</v>
      </c>
      <c r="G695" s="3">
        <v>40593</v>
      </c>
    </row>
    <row r="696" spans="1:7">
      <c r="A696" s="2" t="s">
        <v>528</v>
      </c>
      <c r="B696" s="2" t="s">
        <v>2590</v>
      </c>
      <c r="C696" s="2" t="s">
        <v>2119</v>
      </c>
      <c r="D696" s="2">
        <v>1975</v>
      </c>
      <c r="E696" s="2" t="s">
        <v>2120</v>
      </c>
      <c r="F696" s="2" t="s">
        <v>2124</v>
      </c>
      <c r="G696" s="3">
        <v>41127</v>
      </c>
    </row>
    <row r="697" spans="1:7">
      <c r="A697" s="2" t="s">
        <v>2591</v>
      </c>
      <c r="B697" s="2" t="s">
        <v>2480</v>
      </c>
      <c r="C697" s="2" t="s">
        <v>2119</v>
      </c>
      <c r="D697" s="2">
        <v>1994</v>
      </c>
      <c r="E697" s="2" t="s">
        <v>2120</v>
      </c>
      <c r="F697" s="2" t="s">
        <v>2124</v>
      </c>
      <c r="G697" s="3">
        <v>44107</v>
      </c>
    </row>
    <row r="698" spans="1:7">
      <c r="A698" s="2" t="s">
        <v>1806</v>
      </c>
      <c r="B698" s="2" t="s">
        <v>2267</v>
      </c>
      <c r="C698" s="2" t="s">
        <v>2123</v>
      </c>
      <c r="D698" s="2">
        <v>1985</v>
      </c>
      <c r="E698" s="2" t="s">
        <v>2120</v>
      </c>
      <c r="F698" s="2" t="s">
        <v>2124</v>
      </c>
      <c r="G698" s="3">
        <v>43137</v>
      </c>
    </row>
    <row r="699" spans="1:7">
      <c r="A699" s="2" t="s">
        <v>146</v>
      </c>
      <c r="B699" s="2" t="s">
        <v>2251</v>
      </c>
      <c r="C699" s="2" t="s">
        <v>2119</v>
      </c>
      <c r="D699" s="2">
        <v>2002</v>
      </c>
      <c r="E699" s="2" t="s">
        <v>2120</v>
      </c>
      <c r="F699" s="2" t="s">
        <v>2124</v>
      </c>
      <c r="G699" s="3">
        <v>42000</v>
      </c>
    </row>
    <row r="700" spans="1:7">
      <c r="A700" s="2" t="s">
        <v>1753</v>
      </c>
      <c r="B700" s="2" t="s">
        <v>2323</v>
      </c>
      <c r="C700" s="2" t="s">
        <v>2123</v>
      </c>
      <c r="D700" s="2">
        <v>1991</v>
      </c>
      <c r="E700" s="2" t="s">
        <v>2136</v>
      </c>
      <c r="F700" s="2" t="s">
        <v>2190</v>
      </c>
      <c r="G700" s="3">
        <v>43260</v>
      </c>
    </row>
    <row r="701" spans="1:7">
      <c r="A701" s="2" t="s">
        <v>473</v>
      </c>
      <c r="B701" s="2" t="s">
        <v>2379</v>
      </c>
      <c r="C701" s="2" t="s">
        <v>2123</v>
      </c>
      <c r="D701" s="2">
        <v>1988</v>
      </c>
      <c r="E701" s="2" t="s">
        <v>2120</v>
      </c>
      <c r="F701" s="2" t="s">
        <v>2124</v>
      </c>
      <c r="G701" s="3">
        <v>42769</v>
      </c>
    </row>
    <row r="702" spans="1:7">
      <c r="A702" s="2" t="s">
        <v>109</v>
      </c>
      <c r="B702" s="2" t="s">
        <v>2329</v>
      </c>
      <c r="C702" s="2" t="s">
        <v>2123</v>
      </c>
      <c r="D702" s="2">
        <v>1986</v>
      </c>
      <c r="E702" s="2" t="s">
        <v>2120</v>
      </c>
      <c r="F702" s="2" t="s">
        <v>2190</v>
      </c>
      <c r="G702" s="3">
        <v>41258</v>
      </c>
    </row>
    <row r="703" spans="1:7">
      <c r="A703" s="2" t="s">
        <v>2592</v>
      </c>
      <c r="B703" s="2" t="s">
        <v>2218</v>
      </c>
      <c r="C703" s="2" t="s">
        <v>2119</v>
      </c>
      <c r="D703" s="2">
        <v>1979</v>
      </c>
      <c r="E703" s="2" t="s">
        <v>2120</v>
      </c>
      <c r="F703" s="2" t="s">
        <v>2121</v>
      </c>
      <c r="G703" s="3">
        <v>43138</v>
      </c>
    </row>
    <row r="704" spans="1:7">
      <c r="A704" s="2" t="s">
        <v>297</v>
      </c>
      <c r="B704" s="2" t="s">
        <v>2481</v>
      </c>
      <c r="C704" s="2" t="s">
        <v>2123</v>
      </c>
      <c r="D704" s="2">
        <v>2004</v>
      </c>
      <c r="E704" s="2" t="s">
        <v>2120</v>
      </c>
      <c r="F704" s="2" t="s">
        <v>2124</v>
      </c>
      <c r="G704" s="3">
        <v>40268</v>
      </c>
    </row>
    <row r="705" spans="1:7">
      <c r="A705" s="2" t="s">
        <v>605</v>
      </c>
      <c r="B705" s="2" t="s">
        <v>2299</v>
      </c>
      <c r="C705" s="2" t="s">
        <v>2123</v>
      </c>
      <c r="D705" s="2">
        <v>1986</v>
      </c>
      <c r="E705" s="2" t="s">
        <v>2136</v>
      </c>
      <c r="F705" s="2" t="s">
        <v>2124</v>
      </c>
      <c r="G705" s="3">
        <v>42096</v>
      </c>
    </row>
    <row r="706" spans="1:7">
      <c r="A706" s="2" t="s">
        <v>388</v>
      </c>
      <c r="B706" s="2" t="s">
        <v>2294</v>
      </c>
      <c r="C706" s="2" t="s">
        <v>2119</v>
      </c>
      <c r="D706" s="2">
        <v>1991</v>
      </c>
      <c r="E706" s="2" t="s">
        <v>2120</v>
      </c>
      <c r="F706" s="2" t="s">
        <v>2124</v>
      </c>
      <c r="G706" s="3">
        <v>42816</v>
      </c>
    </row>
    <row r="707" spans="1:7">
      <c r="A707" s="2" t="s">
        <v>1537</v>
      </c>
      <c r="B707" s="2" t="s">
        <v>2328</v>
      </c>
      <c r="C707" s="2" t="s">
        <v>2123</v>
      </c>
      <c r="D707" s="2">
        <v>2000</v>
      </c>
      <c r="E707" s="2" t="s">
        <v>2120</v>
      </c>
      <c r="F707" s="2" t="s">
        <v>2121</v>
      </c>
      <c r="G707" s="3">
        <v>45911</v>
      </c>
    </row>
    <row r="708" spans="1:7">
      <c r="A708" s="2" t="s">
        <v>1932</v>
      </c>
      <c r="B708" s="2" t="s">
        <v>2304</v>
      </c>
      <c r="C708" s="2" t="s">
        <v>2123</v>
      </c>
      <c r="D708" s="2">
        <v>1986</v>
      </c>
      <c r="E708" s="2" t="s">
        <v>2136</v>
      </c>
      <c r="F708" s="2" t="s">
        <v>2124</v>
      </c>
      <c r="G708" s="3">
        <v>40473</v>
      </c>
    </row>
    <row r="709" spans="1:7">
      <c r="A709" s="2" t="s">
        <v>912</v>
      </c>
      <c r="B709" s="2" t="s">
        <v>2151</v>
      </c>
      <c r="C709" s="2" t="s">
        <v>2119</v>
      </c>
      <c r="D709" s="2">
        <v>1999</v>
      </c>
      <c r="E709" s="2" t="s">
        <v>2120</v>
      </c>
      <c r="F709" s="2" t="s">
        <v>2124</v>
      </c>
      <c r="G709" s="3">
        <v>41812</v>
      </c>
    </row>
    <row r="710" spans="1:7">
      <c r="A710" s="2" t="s">
        <v>1451</v>
      </c>
      <c r="B710" s="2" t="s">
        <v>2216</v>
      </c>
      <c r="C710" s="2" t="s">
        <v>2119</v>
      </c>
      <c r="D710" s="2">
        <v>1993</v>
      </c>
      <c r="E710" s="2" t="s">
        <v>2120</v>
      </c>
      <c r="F710" s="2" t="s">
        <v>2190</v>
      </c>
      <c r="G710" s="3">
        <v>42088</v>
      </c>
    </row>
    <row r="711" spans="1:7">
      <c r="A711" s="2" t="s">
        <v>864</v>
      </c>
      <c r="B711" s="2" t="s">
        <v>2272</v>
      </c>
      <c r="C711" s="2" t="s">
        <v>2119</v>
      </c>
      <c r="D711" s="2">
        <v>1987</v>
      </c>
      <c r="E711" s="2" t="s">
        <v>2136</v>
      </c>
      <c r="F711" s="2" t="s">
        <v>2124</v>
      </c>
      <c r="G711" s="3">
        <v>41917</v>
      </c>
    </row>
    <row r="712" spans="1:7">
      <c r="A712" s="2" t="s">
        <v>1428</v>
      </c>
      <c r="B712" s="2" t="s">
        <v>2509</v>
      </c>
      <c r="C712" s="2" t="s">
        <v>2123</v>
      </c>
      <c r="D712" s="2">
        <v>1999</v>
      </c>
      <c r="E712" s="2" t="s">
        <v>2120</v>
      </c>
      <c r="F712" s="2" t="s">
        <v>2190</v>
      </c>
      <c r="G712" s="3">
        <v>43919</v>
      </c>
    </row>
    <row r="713" spans="1:7">
      <c r="A713" s="2" t="s">
        <v>760</v>
      </c>
      <c r="B713" s="2" t="s">
        <v>2167</v>
      </c>
      <c r="C713" s="2" t="s">
        <v>2123</v>
      </c>
      <c r="D713" s="2">
        <v>1980</v>
      </c>
      <c r="E713" s="2" t="s">
        <v>2120</v>
      </c>
      <c r="F713" s="2" t="s">
        <v>2124</v>
      </c>
      <c r="G713" s="3">
        <v>45656</v>
      </c>
    </row>
    <row r="714" spans="1:7">
      <c r="A714" s="2" t="s">
        <v>204</v>
      </c>
      <c r="B714" s="2" t="s">
        <v>2169</v>
      </c>
      <c r="C714" s="2" t="s">
        <v>2123</v>
      </c>
      <c r="D714" s="2">
        <v>1982</v>
      </c>
      <c r="E714" s="2" t="s">
        <v>2120</v>
      </c>
      <c r="F714" s="2" t="s">
        <v>2121</v>
      </c>
      <c r="G714" s="3">
        <v>40180</v>
      </c>
    </row>
    <row r="715" spans="1:7">
      <c r="A715" s="2" t="s">
        <v>652</v>
      </c>
      <c r="B715" s="2" t="s">
        <v>2135</v>
      </c>
      <c r="C715" s="2" t="s">
        <v>2119</v>
      </c>
      <c r="D715" s="2">
        <v>1985</v>
      </c>
      <c r="E715" s="2" t="s">
        <v>2120</v>
      </c>
      <c r="F715" s="2" t="s">
        <v>2121</v>
      </c>
      <c r="G715" s="3">
        <v>41306</v>
      </c>
    </row>
    <row r="716" spans="1:7">
      <c r="A716" s="2" t="s">
        <v>2593</v>
      </c>
      <c r="B716" s="2" t="s">
        <v>2179</v>
      </c>
      <c r="C716" s="2" t="s">
        <v>2123</v>
      </c>
      <c r="D716" s="2">
        <v>1970</v>
      </c>
      <c r="E716" s="2" t="s">
        <v>2136</v>
      </c>
      <c r="F716" s="2" t="s">
        <v>2124</v>
      </c>
      <c r="G716" s="3">
        <v>41301</v>
      </c>
    </row>
    <row r="717" spans="1:7">
      <c r="A717" s="2" t="s">
        <v>1959</v>
      </c>
      <c r="B717" s="2" t="s">
        <v>2169</v>
      </c>
      <c r="C717" s="2" t="s">
        <v>2123</v>
      </c>
      <c r="D717" s="2">
        <v>1979</v>
      </c>
      <c r="E717" s="2" t="s">
        <v>2136</v>
      </c>
      <c r="F717" s="2" t="s">
        <v>2124</v>
      </c>
      <c r="G717" s="3">
        <v>43642</v>
      </c>
    </row>
    <row r="718" spans="1:7">
      <c r="A718" s="2" t="s">
        <v>2039</v>
      </c>
      <c r="B718" s="2" t="s">
        <v>2502</v>
      </c>
      <c r="C718" s="2" t="s">
        <v>2123</v>
      </c>
      <c r="D718" s="2">
        <v>1998</v>
      </c>
      <c r="E718" s="2" t="s">
        <v>2136</v>
      </c>
      <c r="F718" s="2" t="s">
        <v>2124</v>
      </c>
      <c r="G718" s="3">
        <v>44849</v>
      </c>
    </row>
    <row r="719" spans="1:7">
      <c r="A719" s="2" t="s">
        <v>1070</v>
      </c>
      <c r="B719" s="2" t="s">
        <v>2152</v>
      </c>
      <c r="C719" s="2" t="s">
        <v>2123</v>
      </c>
      <c r="D719" s="2">
        <v>1972</v>
      </c>
      <c r="E719" s="2" t="s">
        <v>2136</v>
      </c>
      <c r="F719" s="2" t="s">
        <v>2190</v>
      </c>
      <c r="G719" s="3">
        <v>43519</v>
      </c>
    </row>
    <row r="720" spans="1:7">
      <c r="A720" s="2" t="s">
        <v>1733</v>
      </c>
      <c r="B720" s="2" t="s">
        <v>2203</v>
      </c>
      <c r="C720" s="2" t="s">
        <v>2123</v>
      </c>
      <c r="D720" s="2">
        <v>2002</v>
      </c>
      <c r="E720" s="2" t="s">
        <v>2120</v>
      </c>
      <c r="F720" s="2" t="s">
        <v>2124</v>
      </c>
      <c r="G720" s="3">
        <v>42551</v>
      </c>
    </row>
    <row r="721" spans="1:7">
      <c r="A721" s="2" t="s">
        <v>2594</v>
      </c>
      <c r="B721" s="2" t="s">
        <v>2595</v>
      </c>
      <c r="C721" s="2" t="s">
        <v>2119</v>
      </c>
      <c r="D721" s="2">
        <v>2000</v>
      </c>
      <c r="E721" s="2" t="s">
        <v>2120</v>
      </c>
      <c r="F721" s="2" t="s">
        <v>2124</v>
      </c>
      <c r="G721" s="3">
        <v>42638</v>
      </c>
    </row>
    <row r="722" spans="1:7">
      <c r="A722" s="2" t="s">
        <v>800</v>
      </c>
      <c r="B722" s="2" t="s">
        <v>2201</v>
      </c>
      <c r="C722" s="2" t="s">
        <v>2123</v>
      </c>
      <c r="D722" s="2">
        <v>1976</v>
      </c>
      <c r="E722" s="2" t="s">
        <v>2120</v>
      </c>
      <c r="F722" s="2" t="s">
        <v>2124</v>
      </c>
      <c r="G722" s="3">
        <v>43206</v>
      </c>
    </row>
    <row r="723" spans="1:7">
      <c r="A723" s="2" t="s">
        <v>796</v>
      </c>
      <c r="B723" s="2" t="s">
        <v>2308</v>
      </c>
      <c r="C723" s="2" t="s">
        <v>2123</v>
      </c>
      <c r="D723" s="2">
        <v>1965</v>
      </c>
      <c r="E723" s="2" t="s">
        <v>2136</v>
      </c>
      <c r="F723" s="2" t="s">
        <v>2124</v>
      </c>
      <c r="G723" s="3">
        <v>41666</v>
      </c>
    </row>
    <row r="724" spans="1:7">
      <c r="A724" s="2" t="s">
        <v>139</v>
      </c>
      <c r="B724" s="2" t="s">
        <v>2490</v>
      </c>
      <c r="C724" s="2" t="s">
        <v>2119</v>
      </c>
      <c r="D724" s="2">
        <v>1976</v>
      </c>
      <c r="E724" s="2" t="s">
        <v>2120</v>
      </c>
      <c r="F724" s="2" t="s">
        <v>2124</v>
      </c>
      <c r="G724" s="3">
        <v>45728</v>
      </c>
    </row>
    <row r="725" spans="1:7">
      <c r="A725" s="2" t="s">
        <v>280</v>
      </c>
      <c r="B725" s="2" t="s">
        <v>2161</v>
      </c>
      <c r="C725" s="2" t="s">
        <v>2123</v>
      </c>
      <c r="D725" s="2">
        <v>1995</v>
      </c>
      <c r="E725" s="2" t="s">
        <v>2120</v>
      </c>
      <c r="F725" s="2" t="s">
        <v>2124</v>
      </c>
      <c r="G725" s="3">
        <v>45684</v>
      </c>
    </row>
    <row r="726" spans="1:7">
      <c r="A726" s="2" t="s">
        <v>2596</v>
      </c>
      <c r="B726" s="2" t="s">
        <v>2391</v>
      </c>
      <c r="C726" s="2" t="s">
        <v>2123</v>
      </c>
      <c r="D726" s="2">
        <v>1986</v>
      </c>
      <c r="E726" s="2" t="s">
        <v>2120</v>
      </c>
      <c r="F726" s="2" t="s">
        <v>2121</v>
      </c>
      <c r="G726" s="3">
        <v>45483</v>
      </c>
    </row>
    <row r="727" spans="1:7">
      <c r="A727" s="2" t="s">
        <v>2597</v>
      </c>
      <c r="B727" s="2" t="s">
        <v>2559</v>
      </c>
      <c r="C727" s="2" t="s">
        <v>2119</v>
      </c>
      <c r="D727" s="2">
        <v>1997</v>
      </c>
      <c r="E727" s="2" t="s">
        <v>2120</v>
      </c>
      <c r="F727" s="2" t="s">
        <v>2124</v>
      </c>
      <c r="G727" s="3">
        <v>41875</v>
      </c>
    </row>
    <row r="728" spans="1:7">
      <c r="A728" s="2" t="s">
        <v>84</v>
      </c>
      <c r="B728" s="2" t="s">
        <v>2439</v>
      </c>
      <c r="C728" s="2" t="s">
        <v>2119</v>
      </c>
      <c r="D728" s="2">
        <v>2003</v>
      </c>
      <c r="E728" s="2" t="s">
        <v>2136</v>
      </c>
      <c r="F728" s="2" t="s">
        <v>2124</v>
      </c>
      <c r="G728" s="3">
        <v>43125</v>
      </c>
    </row>
    <row r="729" spans="1:7">
      <c r="A729" s="2" t="s">
        <v>1880</v>
      </c>
      <c r="B729" s="2" t="s">
        <v>2590</v>
      </c>
      <c r="C729" s="2" t="s">
        <v>2119</v>
      </c>
      <c r="D729" s="2">
        <v>1970</v>
      </c>
      <c r="E729" s="2" t="s">
        <v>2120</v>
      </c>
      <c r="F729" s="2" t="s">
        <v>2124</v>
      </c>
      <c r="G729" s="3">
        <v>42358</v>
      </c>
    </row>
    <row r="730" spans="1:7">
      <c r="A730" s="2" t="s">
        <v>1310</v>
      </c>
      <c r="B730" s="2" t="s">
        <v>2598</v>
      </c>
      <c r="C730" s="2" t="s">
        <v>2123</v>
      </c>
      <c r="D730" s="2">
        <v>1971</v>
      </c>
      <c r="E730" s="2" t="s">
        <v>2120</v>
      </c>
      <c r="F730" s="2" t="s">
        <v>2124</v>
      </c>
      <c r="G730" s="3">
        <v>40816</v>
      </c>
    </row>
    <row r="731" spans="1:7">
      <c r="A731" s="2" t="s">
        <v>2599</v>
      </c>
      <c r="B731" s="2" t="s">
        <v>2555</v>
      </c>
      <c r="C731" s="2" t="s">
        <v>2119</v>
      </c>
      <c r="D731" s="2">
        <v>1990</v>
      </c>
      <c r="E731" s="2" t="s">
        <v>2120</v>
      </c>
      <c r="F731" s="2" t="s">
        <v>2121</v>
      </c>
      <c r="G731" s="3">
        <v>43760</v>
      </c>
    </row>
    <row r="732" spans="1:7">
      <c r="A732" s="2" t="s">
        <v>141</v>
      </c>
      <c r="B732" s="2" t="s">
        <v>2600</v>
      </c>
      <c r="C732" s="2" t="s">
        <v>2123</v>
      </c>
      <c r="D732" s="2">
        <v>1986</v>
      </c>
      <c r="E732" s="2" t="s">
        <v>2120</v>
      </c>
      <c r="F732" s="2" t="s">
        <v>2121</v>
      </c>
      <c r="G732" s="3">
        <v>41497</v>
      </c>
    </row>
    <row r="733" spans="1:7">
      <c r="A733" s="2" t="s">
        <v>1294</v>
      </c>
      <c r="B733" s="2" t="s">
        <v>2525</v>
      </c>
      <c r="C733" s="2" t="s">
        <v>2119</v>
      </c>
      <c r="D733" s="2">
        <v>2003</v>
      </c>
      <c r="E733" s="2" t="s">
        <v>2136</v>
      </c>
      <c r="F733" s="2" t="s">
        <v>2121</v>
      </c>
      <c r="G733" s="3">
        <v>45438</v>
      </c>
    </row>
    <row r="734" spans="1:7">
      <c r="A734" s="2" t="s">
        <v>816</v>
      </c>
      <c r="B734" s="2" t="s">
        <v>2481</v>
      </c>
      <c r="C734" s="2" t="s">
        <v>2123</v>
      </c>
      <c r="D734" s="2">
        <v>1990</v>
      </c>
      <c r="E734" s="2" t="s">
        <v>2136</v>
      </c>
      <c r="F734" s="2" t="s">
        <v>2124</v>
      </c>
      <c r="G734" s="3">
        <v>42643</v>
      </c>
    </row>
    <row r="735" spans="1:7">
      <c r="A735" s="2" t="s">
        <v>860</v>
      </c>
      <c r="B735" s="2" t="s">
        <v>2333</v>
      </c>
      <c r="C735" s="2" t="s">
        <v>2119</v>
      </c>
      <c r="D735" s="2">
        <v>1998</v>
      </c>
      <c r="E735" s="2" t="s">
        <v>2120</v>
      </c>
      <c r="F735" s="2" t="s">
        <v>2121</v>
      </c>
      <c r="G735" s="3">
        <v>45002</v>
      </c>
    </row>
    <row r="736" spans="1:7">
      <c r="A736" s="2" t="s">
        <v>429</v>
      </c>
      <c r="B736" s="2" t="s">
        <v>2381</v>
      </c>
      <c r="C736" s="2" t="s">
        <v>2123</v>
      </c>
      <c r="D736" s="2">
        <v>1990</v>
      </c>
      <c r="E736" s="2" t="s">
        <v>2120</v>
      </c>
      <c r="F736" s="2" t="s">
        <v>2124</v>
      </c>
      <c r="G736" s="3">
        <v>40417</v>
      </c>
    </row>
    <row r="737" spans="1:7">
      <c r="A737" s="2" t="s">
        <v>1708</v>
      </c>
      <c r="B737" s="2" t="s">
        <v>2279</v>
      </c>
      <c r="C737" s="2" t="s">
        <v>2123</v>
      </c>
      <c r="D737" s="2">
        <v>1973</v>
      </c>
      <c r="E737" s="2" t="s">
        <v>2136</v>
      </c>
      <c r="F737" s="2" t="s">
        <v>2124</v>
      </c>
      <c r="G737" s="3">
        <v>42062</v>
      </c>
    </row>
    <row r="738" spans="1:7">
      <c r="A738" s="2" t="s">
        <v>621</v>
      </c>
      <c r="B738" s="2" t="s">
        <v>2315</v>
      </c>
      <c r="C738" s="2" t="s">
        <v>2119</v>
      </c>
      <c r="D738" s="2">
        <v>1997</v>
      </c>
      <c r="E738" s="2" t="s">
        <v>2120</v>
      </c>
      <c r="F738" s="2" t="s">
        <v>2124</v>
      </c>
      <c r="G738" s="3">
        <v>40854</v>
      </c>
    </row>
    <row r="739" spans="1:7">
      <c r="A739" s="2" t="s">
        <v>390</v>
      </c>
      <c r="B739" s="2" t="s">
        <v>2453</v>
      </c>
      <c r="C739" s="2" t="s">
        <v>2123</v>
      </c>
      <c r="D739" s="2">
        <v>1986</v>
      </c>
      <c r="E739" s="2" t="s">
        <v>2120</v>
      </c>
      <c r="F739" s="2" t="s">
        <v>2124</v>
      </c>
      <c r="G739" s="3">
        <v>42569</v>
      </c>
    </row>
    <row r="740" spans="1:7">
      <c r="A740" s="2" t="s">
        <v>1183</v>
      </c>
      <c r="B740" s="2" t="s">
        <v>2601</v>
      </c>
      <c r="C740" s="2" t="s">
        <v>2119</v>
      </c>
      <c r="D740" s="2">
        <v>1980</v>
      </c>
      <c r="E740" s="2" t="s">
        <v>2136</v>
      </c>
      <c r="F740" s="2" t="s">
        <v>2124</v>
      </c>
      <c r="G740" s="3">
        <v>42354</v>
      </c>
    </row>
    <row r="741" spans="1:7">
      <c r="A741" s="2" t="s">
        <v>307</v>
      </c>
      <c r="B741" s="2" t="s">
        <v>2602</v>
      </c>
      <c r="C741" s="2" t="s">
        <v>2123</v>
      </c>
      <c r="D741" s="2">
        <v>1962</v>
      </c>
      <c r="E741" s="2" t="s">
        <v>2136</v>
      </c>
      <c r="F741" s="2" t="s">
        <v>2124</v>
      </c>
      <c r="G741" s="3">
        <v>42871</v>
      </c>
    </row>
    <row r="742" spans="1:7">
      <c r="A742" s="2" t="s">
        <v>2603</v>
      </c>
      <c r="B742" s="2" t="s">
        <v>2595</v>
      </c>
      <c r="C742" s="2" t="s">
        <v>2119</v>
      </c>
      <c r="D742" s="2">
        <v>1973</v>
      </c>
      <c r="E742" s="2" t="s">
        <v>2136</v>
      </c>
      <c r="F742" s="2" t="s">
        <v>2124</v>
      </c>
      <c r="G742" s="3">
        <v>40598</v>
      </c>
    </row>
    <row r="743" spans="1:7">
      <c r="A743" s="2" t="s">
        <v>2604</v>
      </c>
      <c r="B743" s="2" t="s">
        <v>2605</v>
      </c>
      <c r="C743" s="2" t="s">
        <v>2123</v>
      </c>
      <c r="D743" s="2">
        <v>1994</v>
      </c>
      <c r="E743" s="2" t="s">
        <v>2120</v>
      </c>
      <c r="F743" s="2" t="s">
        <v>2121</v>
      </c>
      <c r="G743" s="3">
        <v>42058</v>
      </c>
    </row>
    <row r="744" spans="1:7">
      <c r="A744" s="2" t="s">
        <v>417</v>
      </c>
      <c r="B744" s="2" t="s">
        <v>2331</v>
      </c>
      <c r="C744" s="2" t="s">
        <v>2123</v>
      </c>
      <c r="D744" s="2">
        <v>1986</v>
      </c>
      <c r="E744" s="2" t="s">
        <v>2120</v>
      </c>
      <c r="F744" s="2" t="s">
        <v>2124</v>
      </c>
      <c r="G744" s="3">
        <v>45976</v>
      </c>
    </row>
    <row r="745" spans="1:7">
      <c r="A745" s="2" t="s">
        <v>549</v>
      </c>
      <c r="B745" s="2" t="s">
        <v>2461</v>
      </c>
      <c r="C745" s="2" t="s">
        <v>2119</v>
      </c>
      <c r="D745" s="2">
        <v>1991</v>
      </c>
      <c r="E745" s="2" t="s">
        <v>2136</v>
      </c>
      <c r="F745" s="2" t="s">
        <v>2124</v>
      </c>
      <c r="G745" s="3">
        <v>43746</v>
      </c>
    </row>
    <row r="746" spans="1:7">
      <c r="A746" s="2" t="s">
        <v>230</v>
      </c>
      <c r="B746" s="2" t="s">
        <v>2250</v>
      </c>
      <c r="C746" s="2" t="s">
        <v>2123</v>
      </c>
      <c r="D746" s="2">
        <v>2002</v>
      </c>
      <c r="E746" s="2" t="s">
        <v>2120</v>
      </c>
      <c r="F746" s="2" t="s">
        <v>2121</v>
      </c>
      <c r="G746" s="3">
        <v>43925</v>
      </c>
    </row>
    <row r="747" spans="1:7">
      <c r="A747" s="2" t="s">
        <v>2091</v>
      </c>
      <c r="B747" s="2" t="s">
        <v>2606</v>
      </c>
      <c r="C747" s="2" t="s">
        <v>2119</v>
      </c>
      <c r="D747" s="2">
        <v>1984</v>
      </c>
      <c r="E747" s="2" t="s">
        <v>2120</v>
      </c>
      <c r="F747" s="2" t="s">
        <v>2121</v>
      </c>
      <c r="G747" s="3">
        <v>40432</v>
      </c>
    </row>
    <row r="748" spans="1:7">
      <c r="A748" s="2" t="s">
        <v>218</v>
      </c>
      <c r="B748" s="2" t="s">
        <v>2163</v>
      </c>
      <c r="C748" s="2" t="s">
        <v>2123</v>
      </c>
      <c r="D748" s="2">
        <v>1987</v>
      </c>
      <c r="E748" s="2" t="s">
        <v>2120</v>
      </c>
      <c r="F748" s="2" t="s">
        <v>2121</v>
      </c>
      <c r="G748" s="3">
        <v>43900</v>
      </c>
    </row>
    <row r="749" spans="1:7">
      <c r="A749" s="2" t="s">
        <v>384</v>
      </c>
      <c r="B749" s="2" t="s">
        <v>2470</v>
      </c>
      <c r="C749" s="2" t="s">
        <v>2123</v>
      </c>
      <c r="D749" s="2">
        <v>1974</v>
      </c>
      <c r="E749" s="2" t="s">
        <v>2120</v>
      </c>
      <c r="F749" s="2" t="s">
        <v>2121</v>
      </c>
      <c r="G749" s="3">
        <v>42315</v>
      </c>
    </row>
    <row r="750" spans="1:7">
      <c r="A750" s="2" t="s">
        <v>1677</v>
      </c>
      <c r="B750" s="2" t="s">
        <v>2170</v>
      </c>
      <c r="C750" s="2" t="s">
        <v>2123</v>
      </c>
      <c r="D750" s="2">
        <v>1975</v>
      </c>
      <c r="E750" s="2" t="s">
        <v>2136</v>
      </c>
      <c r="F750" s="2" t="s">
        <v>2121</v>
      </c>
      <c r="G750" s="3">
        <v>45759</v>
      </c>
    </row>
    <row r="751" spans="1:7">
      <c r="A751" s="2" t="s">
        <v>2607</v>
      </c>
      <c r="B751" s="2" t="s">
        <v>2426</v>
      </c>
      <c r="C751" s="2" t="s">
        <v>2119</v>
      </c>
      <c r="D751" s="2">
        <v>1979</v>
      </c>
      <c r="E751" s="2" t="s">
        <v>2136</v>
      </c>
      <c r="F751" s="2" t="s">
        <v>2124</v>
      </c>
      <c r="G751" s="3">
        <v>45169</v>
      </c>
    </row>
    <row r="752" spans="1:7">
      <c r="A752" s="2" t="s">
        <v>234</v>
      </c>
      <c r="B752" s="2" t="s">
        <v>2450</v>
      </c>
      <c r="C752" s="2" t="s">
        <v>2123</v>
      </c>
      <c r="D752" s="2">
        <v>1961</v>
      </c>
      <c r="E752" s="2" t="s">
        <v>2120</v>
      </c>
      <c r="F752" s="2" t="s">
        <v>2124</v>
      </c>
      <c r="G752" s="3">
        <v>45335</v>
      </c>
    </row>
    <row r="753" spans="1:7">
      <c r="A753" s="2" t="s">
        <v>2608</v>
      </c>
      <c r="B753" s="2" t="s">
        <v>2242</v>
      </c>
      <c r="C753" s="2" t="s">
        <v>2119</v>
      </c>
      <c r="D753" s="2">
        <v>1974</v>
      </c>
      <c r="E753" s="2" t="s">
        <v>2120</v>
      </c>
      <c r="F753" s="2" t="s">
        <v>2124</v>
      </c>
      <c r="G753" s="3">
        <v>44449</v>
      </c>
    </row>
    <row r="754" spans="1:7">
      <c r="A754" s="2" t="s">
        <v>495</v>
      </c>
      <c r="B754" s="2" t="s">
        <v>2353</v>
      </c>
      <c r="C754" s="2" t="s">
        <v>2119</v>
      </c>
      <c r="D754" s="2">
        <v>1995</v>
      </c>
      <c r="E754" s="2" t="s">
        <v>2120</v>
      </c>
      <c r="F754" s="2" t="s">
        <v>2121</v>
      </c>
      <c r="G754" s="3">
        <v>41049</v>
      </c>
    </row>
    <row r="755" spans="1:7">
      <c r="A755" s="2" t="s">
        <v>1520</v>
      </c>
      <c r="B755" s="2" t="s">
        <v>2443</v>
      </c>
      <c r="C755" s="2" t="s">
        <v>2123</v>
      </c>
      <c r="D755" s="2">
        <v>1983</v>
      </c>
      <c r="E755" s="2" t="s">
        <v>2120</v>
      </c>
      <c r="F755" s="2" t="s">
        <v>2124</v>
      </c>
      <c r="G755" s="3">
        <v>45655</v>
      </c>
    </row>
    <row r="756" spans="1:7">
      <c r="A756" s="2" t="s">
        <v>2609</v>
      </c>
      <c r="B756" s="2" t="s">
        <v>2586</v>
      </c>
      <c r="C756" s="2" t="s">
        <v>2123</v>
      </c>
      <c r="D756" s="2">
        <v>1979</v>
      </c>
      <c r="E756" s="2" t="s">
        <v>2120</v>
      </c>
      <c r="F756" s="2" t="s">
        <v>2121</v>
      </c>
      <c r="G756" s="3">
        <v>45955</v>
      </c>
    </row>
    <row r="757" spans="1:7">
      <c r="A757" s="2" t="s">
        <v>1440</v>
      </c>
      <c r="B757" s="2" t="s">
        <v>2315</v>
      </c>
      <c r="C757" s="2" t="s">
        <v>2119</v>
      </c>
      <c r="D757" s="2">
        <v>2002</v>
      </c>
      <c r="E757" s="2" t="s">
        <v>2120</v>
      </c>
      <c r="F757" s="2" t="s">
        <v>2124</v>
      </c>
      <c r="G757" s="3">
        <v>43912</v>
      </c>
    </row>
    <row r="758" spans="1:7">
      <c r="A758" s="2" t="s">
        <v>1647</v>
      </c>
      <c r="B758" s="2" t="s">
        <v>2151</v>
      </c>
      <c r="C758" s="2" t="s">
        <v>2119</v>
      </c>
      <c r="D758" s="2">
        <v>1960</v>
      </c>
      <c r="E758" s="2" t="s">
        <v>2136</v>
      </c>
      <c r="F758" s="2" t="s">
        <v>2190</v>
      </c>
      <c r="G758" s="3">
        <v>41235</v>
      </c>
    </row>
    <row r="759" spans="1:7">
      <c r="A759" s="2" t="s">
        <v>2610</v>
      </c>
      <c r="B759" s="2" t="s">
        <v>2338</v>
      </c>
      <c r="C759" s="2" t="s">
        <v>2119</v>
      </c>
      <c r="D759" s="2">
        <v>1991</v>
      </c>
      <c r="E759" s="2" t="s">
        <v>2120</v>
      </c>
      <c r="F759" s="2" t="s">
        <v>2124</v>
      </c>
      <c r="G759" s="3">
        <v>45590</v>
      </c>
    </row>
    <row r="760" spans="1:7">
      <c r="A760" s="2" t="s">
        <v>116</v>
      </c>
      <c r="B760" s="2" t="s">
        <v>2404</v>
      </c>
      <c r="C760" s="2" t="s">
        <v>2119</v>
      </c>
      <c r="D760" s="2">
        <v>1988</v>
      </c>
      <c r="E760" s="2" t="s">
        <v>2120</v>
      </c>
      <c r="F760" s="2" t="s">
        <v>2121</v>
      </c>
      <c r="G760" s="3">
        <v>40598</v>
      </c>
    </row>
    <row r="761" spans="1:7">
      <c r="A761" s="2" t="s">
        <v>1683</v>
      </c>
      <c r="B761" s="2" t="s">
        <v>2490</v>
      </c>
      <c r="C761" s="2" t="s">
        <v>2119</v>
      </c>
      <c r="D761" s="2">
        <v>1971</v>
      </c>
      <c r="E761" s="2" t="s">
        <v>2120</v>
      </c>
      <c r="F761" s="2" t="s">
        <v>2124</v>
      </c>
      <c r="G761" s="3">
        <v>41522</v>
      </c>
    </row>
    <row r="762" spans="1:7">
      <c r="A762" s="2" t="s">
        <v>2611</v>
      </c>
      <c r="B762" s="2" t="s">
        <v>2118</v>
      </c>
      <c r="C762" s="2" t="s">
        <v>2119</v>
      </c>
      <c r="D762" s="2">
        <v>1976</v>
      </c>
      <c r="E762" s="2" t="s">
        <v>2120</v>
      </c>
      <c r="F762" s="2" t="s">
        <v>2121</v>
      </c>
      <c r="G762" s="3">
        <v>45978</v>
      </c>
    </row>
    <row r="763" spans="1:7">
      <c r="A763" s="2" t="s">
        <v>1152</v>
      </c>
      <c r="B763" s="2" t="s">
        <v>2493</v>
      </c>
      <c r="C763" s="2" t="s">
        <v>2119</v>
      </c>
      <c r="D763" s="2">
        <v>2001</v>
      </c>
      <c r="E763" s="2" t="s">
        <v>2120</v>
      </c>
      <c r="F763" s="2" t="s">
        <v>2124</v>
      </c>
      <c r="G763" s="3">
        <v>40930</v>
      </c>
    </row>
    <row r="764" spans="1:7">
      <c r="A764" s="2" t="s">
        <v>2612</v>
      </c>
      <c r="B764" s="2" t="s">
        <v>2613</v>
      </c>
      <c r="C764" s="2" t="s">
        <v>2119</v>
      </c>
      <c r="D764" s="2">
        <v>1975</v>
      </c>
      <c r="E764" s="2" t="s">
        <v>2120</v>
      </c>
      <c r="F764" s="2" t="s">
        <v>2121</v>
      </c>
      <c r="G764" s="3">
        <v>43990</v>
      </c>
    </row>
    <row r="765" spans="1:7">
      <c r="A765" s="2" t="s">
        <v>2614</v>
      </c>
      <c r="B765" s="2" t="s">
        <v>2459</v>
      </c>
      <c r="C765" s="2" t="s">
        <v>2123</v>
      </c>
      <c r="D765" s="2">
        <v>1997</v>
      </c>
      <c r="E765" s="2" t="s">
        <v>2136</v>
      </c>
      <c r="F765" s="2" t="s">
        <v>2190</v>
      </c>
      <c r="G765" s="3">
        <v>44201</v>
      </c>
    </row>
    <row r="766" spans="1:7">
      <c r="A766" s="2" t="s">
        <v>312</v>
      </c>
      <c r="B766" s="2" t="s">
        <v>2461</v>
      </c>
      <c r="C766" s="2" t="s">
        <v>2119</v>
      </c>
      <c r="D766" s="2">
        <v>1958</v>
      </c>
      <c r="E766" s="2" t="s">
        <v>2120</v>
      </c>
      <c r="F766" s="2" t="s">
        <v>2121</v>
      </c>
      <c r="G766" s="3">
        <v>45875</v>
      </c>
    </row>
    <row r="767" spans="1:7">
      <c r="A767" s="2" t="s">
        <v>1722</v>
      </c>
      <c r="B767" s="2" t="s">
        <v>2365</v>
      </c>
      <c r="C767" s="2" t="s">
        <v>2119</v>
      </c>
      <c r="D767" s="2">
        <v>1973</v>
      </c>
      <c r="E767" s="2" t="s">
        <v>2136</v>
      </c>
      <c r="F767" s="2" t="s">
        <v>2124</v>
      </c>
      <c r="G767" s="3">
        <v>41715</v>
      </c>
    </row>
    <row r="768" spans="1:7">
      <c r="A768" s="2" t="s">
        <v>380</v>
      </c>
      <c r="B768" s="2" t="s">
        <v>2197</v>
      </c>
      <c r="C768" s="2" t="s">
        <v>2119</v>
      </c>
      <c r="D768" s="2">
        <v>1998</v>
      </c>
      <c r="E768" s="2" t="s">
        <v>2136</v>
      </c>
      <c r="F768" s="2" t="s">
        <v>2124</v>
      </c>
      <c r="G768" s="3">
        <v>40264</v>
      </c>
    </row>
    <row r="769" spans="1:7">
      <c r="A769" s="2" t="s">
        <v>2615</v>
      </c>
      <c r="B769" s="2" t="s">
        <v>2440</v>
      </c>
      <c r="C769" s="2" t="s">
        <v>2119</v>
      </c>
      <c r="D769" s="2">
        <v>1960</v>
      </c>
      <c r="E769" s="2" t="s">
        <v>2120</v>
      </c>
      <c r="F769" s="2" t="s">
        <v>2190</v>
      </c>
      <c r="G769" s="3">
        <v>42046</v>
      </c>
    </row>
    <row r="770" spans="1:7">
      <c r="A770" s="2" t="s">
        <v>1815</v>
      </c>
      <c r="B770" s="2" t="s">
        <v>2413</v>
      </c>
      <c r="C770" s="2" t="s">
        <v>2119</v>
      </c>
      <c r="D770" s="2">
        <v>2003</v>
      </c>
      <c r="E770" s="2" t="s">
        <v>2120</v>
      </c>
      <c r="F770" s="2" t="s">
        <v>2121</v>
      </c>
      <c r="G770" s="3">
        <v>43410</v>
      </c>
    </row>
    <row r="771" spans="1:7">
      <c r="A771" s="2" t="s">
        <v>2616</v>
      </c>
      <c r="B771" s="2" t="s">
        <v>2210</v>
      </c>
      <c r="C771" s="2" t="s">
        <v>2119</v>
      </c>
      <c r="D771" s="2">
        <v>2002</v>
      </c>
      <c r="E771" s="2" t="s">
        <v>2120</v>
      </c>
      <c r="F771" s="2" t="s">
        <v>2121</v>
      </c>
      <c r="G771" s="3">
        <v>45387</v>
      </c>
    </row>
    <row r="772" spans="1:7">
      <c r="A772" s="2" t="s">
        <v>500</v>
      </c>
      <c r="B772" s="2" t="s">
        <v>2393</v>
      </c>
      <c r="C772" s="2" t="s">
        <v>2123</v>
      </c>
      <c r="D772" s="2">
        <v>2002</v>
      </c>
      <c r="E772" s="2" t="s">
        <v>2136</v>
      </c>
      <c r="F772" s="2" t="s">
        <v>2190</v>
      </c>
      <c r="G772" s="3">
        <v>41583</v>
      </c>
    </row>
    <row r="773" spans="1:7">
      <c r="A773" s="2" t="s">
        <v>769</v>
      </c>
      <c r="B773" s="2" t="s">
        <v>2343</v>
      </c>
      <c r="C773" s="2" t="s">
        <v>2123</v>
      </c>
      <c r="D773" s="2">
        <v>1979</v>
      </c>
      <c r="E773" s="2" t="s">
        <v>2120</v>
      </c>
      <c r="F773" s="2" t="s">
        <v>2124</v>
      </c>
      <c r="G773" s="3">
        <v>43758</v>
      </c>
    </row>
    <row r="774" spans="1:7">
      <c r="A774" s="2" t="s">
        <v>464</v>
      </c>
      <c r="B774" s="2" t="s">
        <v>2118</v>
      </c>
      <c r="C774" s="2" t="s">
        <v>2119</v>
      </c>
      <c r="D774" s="2">
        <v>1976</v>
      </c>
      <c r="E774" s="2" t="s">
        <v>2136</v>
      </c>
      <c r="F774" s="2" t="s">
        <v>2121</v>
      </c>
      <c r="G774" s="3">
        <v>40628</v>
      </c>
    </row>
    <row r="775" spans="1:7">
      <c r="A775" s="2" t="s">
        <v>922</v>
      </c>
      <c r="B775" s="2" t="s">
        <v>2617</v>
      </c>
      <c r="C775" s="2" t="s">
        <v>2123</v>
      </c>
      <c r="D775" s="2">
        <v>1979</v>
      </c>
      <c r="E775" s="2" t="s">
        <v>2136</v>
      </c>
      <c r="F775" s="2" t="s">
        <v>2121</v>
      </c>
      <c r="G775" s="3">
        <v>45724</v>
      </c>
    </row>
    <row r="776" spans="1:7">
      <c r="A776" s="2" t="s">
        <v>2618</v>
      </c>
      <c r="B776" s="2" t="s">
        <v>2331</v>
      </c>
      <c r="C776" s="2" t="s">
        <v>2123</v>
      </c>
      <c r="D776" s="2">
        <v>2000</v>
      </c>
      <c r="E776" s="2" t="s">
        <v>2120</v>
      </c>
      <c r="F776" s="2" t="s">
        <v>2124</v>
      </c>
      <c r="G776" s="3">
        <v>42958</v>
      </c>
    </row>
    <row r="777" spans="1:7">
      <c r="A777" s="2" t="s">
        <v>366</v>
      </c>
      <c r="B777" s="2" t="s">
        <v>2315</v>
      </c>
      <c r="C777" s="2" t="s">
        <v>2119</v>
      </c>
      <c r="D777" s="2">
        <v>2000</v>
      </c>
      <c r="E777" s="2" t="s">
        <v>2120</v>
      </c>
      <c r="F777" s="2" t="s">
        <v>2124</v>
      </c>
      <c r="G777" s="3">
        <v>42221</v>
      </c>
    </row>
    <row r="778" spans="1:7">
      <c r="A778" s="2" t="s">
        <v>2619</v>
      </c>
      <c r="B778" s="2" t="s">
        <v>2274</v>
      </c>
      <c r="C778" s="2" t="s">
        <v>2123</v>
      </c>
      <c r="D778" s="2">
        <v>1980</v>
      </c>
      <c r="E778" s="2" t="s">
        <v>2120</v>
      </c>
      <c r="F778" s="2" t="s">
        <v>2121</v>
      </c>
      <c r="G778" s="3">
        <v>42039</v>
      </c>
    </row>
    <row r="779" spans="1:7">
      <c r="A779" s="2" t="s">
        <v>696</v>
      </c>
      <c r="B779" s="2" t="s">
        <v>2502</v>
      </c>
      <c r="C779" s="2" t="s">
        <v>2123</v>
      </c>
      <c r="D779" s="2">
        <v>1964</v>
      </c>
      <c r="E779" s="2" t="s">
        <v>2136</v>
      </c>
      <c r="F779" s="2" t="s">
        <v>2124</v>
      </c>
      <c r="G779" s="3">
        <v>43964</v>
      </c>
    </row>
    <row r="780" spans="1:7">
      <c r="A780" s="2" t="s">
        <v>1407</v>
      </c>
      <c r="B780" s="2" t="s">
        <v>2225</v>
      </c>
      <c r="C780" s="2" t="s">
        <v>2119</v>
      </c>
      <c r="D780" s="2">
        <v>1998</v>
      </c>
      <c r="E780" s="2" t="s">
        <v>2136</v>
      </c>
      <c r="F780" s="2" t="s">
        <v>2124</v>
      </c>
      <c r="G780" s="3">
        <v>45358</v>
      </c>
    </row>
    <row r="781" spans="1:7">
      <c r="A781" s="2" t="s">
        <v>65</v>
      </c>
      <c r="B781" s="2" t="s">
        <v>2272</v>
      </c>
      <c r="C781" s="2" t="s">
        <v>2119</v>
      </c>
      <c r="D781" s="2">
        <v>2001</v>
      </c>
      <c r="E781" s="2" t="s">
        <v>2136</v>
      </c>
      <c r="F781" s="2" t="s">
        <v>2124</v>
      </c>
      <c r="G781" s="3">
        <v>43064</v>
      </c>
    </row>
    <row r="782" spans="1:7">
      <c r="A782" s="2" t="s">
        <v>541</v>
      </c>
      <c r="B782" s="2" t="s">
        <v>2620</v>
      </c>
      <c r="C782" s="2" t="s">
        <v>2123</v>
      </c>
      <c r="D782" s="2">
        <v>1990</v>
      </c>
      <c r="E782" s="2" t="s">
        <v>2136</v>
      </c>
      <c r="F782" s="2" t="s">
        <v>2124</v>
      </c>
      <c r="G782" s="3">
        <v>44144</v>
      </c>
    </row>
    <row r="783" spans="1:7">
      <c r="A783" s="2" t="s">
        <v>2621</v>
      </c>
      <c r="B783" s="2" t="s">
        <v>2577</v>
      </c>
      <c r="C783" s="2" t="s">
        <v>2119</v>
      </c>
      <c r="D783" s="2">
        <v>2000</v>
      </c>
      <c r="E783" s="2" t="s">
        <v>2120</v>
      </c>
      <c r="F783" s="2" t="s">
        <v>2124</v>
      </c>
      <c r="G783" s="3">
        <v>43147</v>
      </c>
    </row>
    <row r="784" spans="1:7">
      <c r="A784" s="2" t="s">
        <v>1030</v>
      </c>
      <c r="B784" s="2" t="s">
        <v>2369</v>
      </c>
      <c r="C784" s="2" t="s">
        <v>2119</v>
      </c>
      <c r="D784" s="2">
        <v>1994</v>
      </c>
      <c r="E784" s="2" t="s">
        <v>2120</v>
      </c>
      <c r="F784" s="2" t="s">
        <v>2190</v>
      </c>
      <c r="G784" s="3">
        <v>40464</v>
      </c>
    </row>
    <row r="785" spans="1:7">
      <c r="A785" s="2" t="s">
        <v>120</v>
      </c>
      <c r="B785" s="2" t="s">
        <v>2259</v>
      </c>
      <c r="C785" s="2" t="s">
        <v>2119</v>
      </c>
      <c r="D785" s="2">
        <v>1995</v>
      </c>
      <c r="E785" s="2" t="s">
        <v>2120</v>
      </c>
      <c r="F785" s="2" t="s">
        <v>2124</v>
      </c>
      <c r="G785" s="3">
        <v>44468</v>
      </c>
    </row>
    <row r="786" spans="1:7">
      <c r="A786" s="2" t="s">
        <v>2622</v>
      </c>
      <c r="B786" s="2" t="s">
        <v>2185</v>
      </c>
      <c r="C786" s="2" t="s">
        <v>2119</v>
      </c>
      <c r="D786" s="2">
        <v>1975</v>
      </c>
      <c r="E786" s="2" t="s">
        <v>2136</v>
      </c>
      <c r="F786" s="2" t="s">
        <v>2121</v>
      </c>
      <c r="G786" s="3">
        <v>41973</v>
      </c>
    </row>
    <row r="787" spans="1:7">
      <c r="A787" s="2" t="s">
        <v>2623</v>
      </c>
      <c r="B787" s="2" t="s">
        <v>2118</v>
      </c>
      <c r="C787" s="2" t="s">
        <v>2119</v>
      </c>
      <c r="D787" s="2">
        <v>1982</v>
      </c>
      <c r="E787" s="2" t="s">
        <v>2136</v>
      </c>
      <c r="F787" s="2" t="s">
        <v>2190</v>
      </c>
      <c r="G787" s="3">
        <v>41831</v>
      </c>
    </row>
    <row r="788" spans="1:7">
      <c r="A788" s="2" t="s">
        <v>2624</v>
      </c>
      <c r="B788" s="2" t="s">
        <v>2189</v>
      </c>
      <c r="C788" s="2" t="s">
        <v>2119</v>
      </c>
      <c r="D788" s="2">
        <v>1988</v>
      </c>
      <c r="E788" s="2" t="s">
        <v>2136</v>
      </c>
      <c r="F788" s="2" t="s">
        <v>2124</v>
      </c>
      <c r="G788" s="3">
        <v>44277</v>
      </c>
    </row>
    <row r="789" spans="1:7">
      <c r="A789" s="2" t="s">
        <v>2625</v>
      </c>
      <c r="B789" s="2" t="s">
        <v>2169</v>
      </c>
      <c r="C789" s="2" t="s">
        <v>2123</v>
      </c>
      <c r="D789" s="2">
        <v>2003</v>
      </c>
      <c r="E789" s="2" t="s">
        <v>2136</v>
      </c>
      <c r="F789" s="2" t="s">
        <v>2124</v>
      </c>
      <c r="G789" s="3">
        <v>41523</v>
      </c>
    </row>
    <row r="790" spans="1:7">
      <c r="A790" s="2" t="s">
        <v>2626</v>
      </c>
      <c r="B790" s="2" t="s">
        <v>2347</v>
      </c>
      <c r="C790" s="2" t="s">
        <v>2123</v>
      </c>
      <c r="D790" s="2">
        <v>1989</v>
      </c>
      <c r="E790" s="2" t="s">
        <v>2136</v>
      </c>
      <c r="F790" s="2" t="s">
        <v>2121</v>
      </c>
      <c r="G790" s="3">
        <v>43142</v>
      </c>
    </row>
    <row r="791" spans="1:7">
      <c r="A791" s="2" t="s">
        <v>1951</v>
      </c>
      <c r="B791" s="2" t="s">
        <v>2456</v>
      </c>
      <c r="C791" s="2" t="s">
        <v>2123</v>
      </c>
      <c r="D791" s="2">
        <v>1987</v>
      </c>
      <c r="E791" s="2" t="s">
        <v>2136</v>
      </c>
      <c r="F791" s="2" t="s">
        <v>2121</v>
      </c>
      <c r="G791" s="3">
        <v>41941</v>
      </c>
    </row>
    <row r="792" spans="1:7">
      <c r="A792" s="2" t="s">
        <v>2627</v>
      </c>
      <c r="B792" s="2" t="s">
        <v>2291</v>
      </c>
      <c r="C792" s="2" t="s">
        <v>2119</v>
      </c>
      <c r="D792" s="2">
        <v>1989</v>
      </c>
      <c r="E792" s="2" t="s">
        <v>2120</v>
      </c>
      <c r="F792" s="2" t="s">
        <v>2121</v>
      </c>
      <c r="G792" s="3">
        <v>40428</v>
      </c>
    </row>
    <row r="793" spans="1:7">
      <c r="A793" s="2" t="s">
        <v>830</v>
      </c>
      <c r="B793" s="2" t="s">
        <v>2443</v>
      </c>
      <c r="C793" s="2" t="s">
        <v>2123</v>
      </c>
      <c r="D793" s="2">
        <v>1994</v>
      </c>
      <c r="E793" s="2" t="s">
        <v>2120</v>
      </c>
      <c r="F793" s="2" t="s">
        <v>2124</v>
      </c>
      <c r="G793" s="3">
        <v>41952</v>
      </c>
    </row>
    <row r="794" spans="1:7">
      <c r="A794" s="2" t="s">
        <v>254</v>
      </c>
      <c r="B794" s="2" t="s">
        <v>2253</v>
      </c>
      <c r="C794" s="2" t="s">
        <v>2119</v>
      </c>
      <c r="D794" s="2">
        <v>1967</v>
      </c>
      <c r="E794" s="2" t="s">
        <v>2120</v>
      </c>
      <c r="F794" s="2" t="s">
        <v>2124</v>
      </c>
      <c r="G794" s="3">
        <v>41534</v>
      </c>
    </row>
    <row r="795" spans="1:7">
      <c r="A795" s="2" t="s">
        <v>2628</v>
      </c>
      <c r="B795" s="2" t="s">
        <v>2321</v>
      </c>
      <c r="C795" s="2" t="s">
        <v>2123</v>
      </c>
      <c r="D795" s="2">
        <v>1976</v>
      </c>
      <c r="E795" s="2" t="s">
        <v>2120</v>
      </c>
      <c r="F795" s="2" t="s">
        <v>2124</v>
      </c>
      <c r="G795" s="3">
        <v>45118</v>
      </c>
    </row>
    <row r="796" spans="1:7">
      <c r="A796" s="2" t="s">
        <v>2629</v>
      </c>
      <c r="B796" s="2" t="s">
        <v>2139</v>
      </c>
      <c r="C796" s="2" t="s">
        <v>2123</v>
      </c>
      <c r="D796" s="2">
        <v>1995</v>
      </c>
      <c r="E796" s="2" t="s">
        <v>2120</v>
      </c>
      <c r="F796" s="2" t="s">
        <v>2124</v>
      </c>
      <c r="G796" s="3">
        <v>45046</v>
      </c>
    </row>
    <row r="797" spans="1:7">
      <c r="A797" s="2" t="s">
        <v>1415</v>
      </c>
      <c r="B797" s="2" t="s">
        <v>2234</v>
      </c>
      <c r="C797" s="2" t="s">
        <v>2123</v>
      </c>
      <c r="D797" s="2">
        <v>1999</v>
      </c>
      <c r="E797" s="2" t="s">
        <v>2120</v>
      </c>
      <c r="F797" s="2" t="s">
        <v>2124</v>
      </c>
      <c r="G797" s="3">
        <v>44179</v>
      </c>
    </row>
    <row r="798" spans="1:7">
      <c r="A798" s="2" t="s">
        <v>1000</v>
      </c>
      <c r="B798" s="2" t="s">
        <v>2630</v>
      </c>
      <c r="C798" s="2" t="s">
        <v>2119</v>
      </c>
      <c r="D798" s="2">
        <v>2000</v>
      </c>
      <c r="E798" s="2" t="s">
        <v>2136</v>
      </c>
      <c r="F798" s="2" t="s">
        <v>2124</v>
      </c>
      <c r="G798" s="3">
        <v>43579</v>
      </c>
    </row>
    <row r="799" spans="1:7">
      <c r="A799" s="2" t="s">
        <v>76</v>
      </c>
      <c r="B799" s="2" t="s">
        <v>2631</v>
      </c>
      <c r="C799" s="2" t="s">
        <v>2119</v>
      </c>
      <c r="D799" s="2">
        <v>1973</v>
      </c>
      <c r="E799" s="2" t="s">
        <v>2120</v>
      </c>
      <c r="F799" s="2" t="s">
        <v>2124</v>
      </c>
      <c r="G799" s="3">
        <v>43523</v>
      </c>
    </row>
    <row r="800" spans="1:7">
      <c r="A800" s="2" t="s">
        <v>724</v>
      </c>
      <c r="B800" s="2" t="s">
        <v>2509</v>
      </c>
      <c r="C800" s="2" t="s">
        <v>2123</v>
      </c>
      <c r="D800" s="2">
        <v>1975</v>
      </c>
      <c r="E800" s="2" t="s">
        <v>2136</v>
      </c>
      <c r="F800" s="2" t="s">
        <v>2124</v>
      </c>
      <c r="G800" s="3">
        <v>43750</v>
      </c>
    </row>
    <row r="801" spans="1:7">
      <c r="A801" s="2" t="s">
        <v>2632</v>
      </c>
      <c r="B801" s="2" t="s">
        <v>2118</v>
      </c>
      <c r="C801" s="2" t="s">
        <v>2119</v>
      </c>
      <c r="D801" s="2">
        <v>1992</v>
      </c>
      <c r="E801" s="2" t="s">
        <v>2120</v>
      </c>
      <c r="F801" s="2" t="s">
        <v>2124</v>
      </c>
      <c r="G801" s="3">
        <v>45010</v>
      </c>
    </row>
    <row r="802" spans="1:7">
      <c r="A802" s="2" t="s">
        <v>983</v>
      </c>
      <c r="B802" s="2" t="s">
        <v>2598</v>
      </c>
      <c r="C802" s="2" t="s">
        <v>2123</v>
      </c>
      <c r="D802" s="2">
        <v>1978</v>
      </c>
      <c r="E802" s="2" t="s">
        <v>2120</v>
      </c>
      <c r="F802" s="2" t="s">
        <v>2121</v>
      </c>
      <c r="G802" s="3">
        <v>45029</v>
      </c>
    </row>
    <row r="803" spans="1:7">
      <c r="A803" s="2" t="s">
        <v>477</v>
      </c>
      <c r="B803" s="2" t="s">
        <v>2222</v>
      </c>
      <c r="C803" s="2" t="s">
        <v>2119</v>
      </c>
      <c r="D803" s="2">
        <v>1986</v>
      </c>
      <c r="E803" s="2" t="s">
        <v>2120</v>
      </c>
      <c r="F803" s="2" t="s">
        <v>2124</v>
      </c>
      <c r="G803" s="3">
        <v>41363</v>
      </c>
    </row>
    <row r="804" spans="1:7">
      <c r="A804" s="2" t="s">
        <v>2633</v>
      </c>
      <c r="B804" s="2" t="s">
        <v>2217</v>
      </c>
      <c r="C804" s="2" t="s">
        <v>2123</v>
      </c>
      <c r="D804" s="2">
        <v>1965</v>
      </c>
      <c r="E804" s="2" t="s">
        <v>2136</v>
      </c>
      <c r="F804" s="2" t="s">
        <v>2190</v>
      </c>
      <c r="G804" s="3">
        <v>43483</v>
      </c>
    </row>
    <row r="805" spans="1:7">
      <c r="A805" s="2" t="s">
        <v>2634</v>
      </c>
      <c r="B805" s="2" t="s">
        <v>2305</v>
      </c>
      <c r="C805" s="2" t="s">
        <v>2119</v>
      </c>
      <c r="D805" s="2">
        <v>1984</v>
      </c>
      <c r="E805" s="2" t="s">
        <v>2120</v>
      </c>
      <c r="F805" s="2" t="s">
        <v>2121</v>
      </c>
      <c r="G805" s="3">
        <v>43389</v>
      </c>
    </row>
    <row r="806" spans="1:7">
      <c r="A806" s="2" t="s">
        <v>1339</v>
      </c>
      <c r="B806" s="2" t="s">
        <v>2586</v>
      </c>
      <c r="C806" s="2" t="s">
        <v>2123</v>
      </c>
      <c r="D806" s="2">
        <v>2000</v>
      </c>
      <c r="E806" s="2" t="s">
        <v>2120</v>
      </c>
      <c r="F806" s="2" t="s">
        <v>2124</v>
      </c>
      <c r="G806" s="3">
        <v>44084</v>
      </c>
    </row>
    <row r="807" spans="1:7">
      <c r="A807" s="2" t="s">
        <v>322</v>
      </c>
      <c r="B807" s="2" t="s">
        <v>2204</v>
      </c>
      <c r="C807" s="2" t="s">
        <v>2119</v>
      </c>
      <c r="D807" s="2">
        <v>1991</v>
      </c>
      <c r="E807" s="2" t="s">
        <v>2120</v>
      </c>
      <c r="F807" s="2" t="s">
        <v>2121</v>
      </c>
      <c r="G807" s="3">
        <v>40211</v>
      </c>
    </row>
    <row r="808" spans="1:7">
      <c r="A808" s="2" t="s">
        <v>1283</v>
      </c>
      <c r="B808" s="2" t="s">
        <v>2344</v>
      </c>
      <c r="C808" s="2" t="s">
        <v>2123</v>
      </c>
      <c r="D808" s="2">
        <v>1982</v>
      </c>
      <c r="E808" s="2" t="s">
        <v>2136</v>
      </c>
      <c r="F808" s="2" t="s">
        <v>2121</v>
      </c>
      <c r="G808" s="3">
        <v>45012</v>
      </c>
    </row>
    <row r="809" spans="1:7">
      <c r="A809" s="2" t="s">
        <v>1473</v>
      </c>
      <c r="B809" s="2" t="s">
        <v>2220</v>
      </c>
      <c r="C809" s="2" t="s">
        <v>2123</v>
      </c>
      <c r="D809" s="2">
        <v>1998</v>
      </c>
      <c r="E809" s="2" t="s">
        <v>2120</v>
      </c>
      <c r="F809" s="2" t="s">
        <v>2124</v>
      </c>
      <c r="G809" s="3">
        <v>45511</v>
      </c>
    </row>
    <row r="810" spans="1:7">
      <c r="A810" s="2" t="s">
        <v>1470</v>
      </c>
      <c r="B810" s="2" t="s">
        <v>2185</v>
      </c>
      <c r="C810" s="2" t="s">
        <v>2119</v>
      </c>
      <c r="D810" s="2">
        <v>1971</v>
      </c>
      <c r="E810" s="2" t="s">
        <v>2136</v>
      </c>
      <c r="F810" s="2" t="s">
        <v>2190</v>
      </c>
      <c r="G810" s="3">
        <v>45228</v>
      </c>
    </row>
    <row r="811" spans="1:7">
      <c r="A811" s="2" t="s">
        <v>2635</v>
      </c>
      <c r="B811" s="2" t="s">
        <v>2361</v>
      </c>
      <c r="C811" s="2" t="s">
        <v>2119</v>
      </c>
      <c r="D811" s="2">
        <v>1987</v>
      </c>
      <c r="E811" s="2" t="s">
        <v>2120</v>
      </c>
      <c r="F811" s="2" t="s">
        <v>2190</v>
      </c>
      <c r="G811" s="3">
        <v>43044</v>
      </c>
    </row>
    <row r="812" spans="1:7">
      <c r="A812" s="2" t="s">
        <v>166</v>
      </c>
      <c r="B812" s="2" t="s">
        <v>2192</v>
      </c>
      <c r="C812" s="2" t="s">
        <v>2119</v>
      </c>
      <c r="D812" s="2">
        <v>2002</v>
      </c>
      <c r="E812" s="2" t="s">
        <v>2120</v>
      </c>
      <c r="F812" s="2" t="s">
        <v>2124</v>
      </c>
      <c r="G812" s="3">
        <v>45173</v>
      </c>
    </row>
    <row r="813" spans="1:7">
      <c r="A813" s="2" t="s">
        <v>1058</v>
      </c>
      <c r="B813" s="2" t="s">
        <v>2577</v>
      </c>
      <c r="C813" s="2" t="s">
        <v>2119</v>
      </c>
      <c r="D813" s="2">
        <v>1982</v>
      </c>
      <c r="E813" s="2" t="s">
        <v>2120</v>
      </c>
      <c r="F813" s="2" t="s">
        <v>2124</v>
      </c>
      <c r="G813" s="3">
        <v>45326</v>
      </c>
    </row>
    <row r="814" spans="1:7">
      <c r="A814" s="2" t="s">
        <v>1256</v>
      </c>
      <c r="B814" s="2" t="s">
        <v>2173</v>
      </c>
      <c r="C814" s="2" t="s">
        <v>2123</v>
      </c>
      <c r="D814" s="2">
        <v>2001</v>
      </c>
      <c r="E814" s="2" t="s">
        <v>2120</v>
      </c>
      <c r="F814" s="2" t="s">
        <v>2124</v>
      </c>
      <c r="G814" s="3">
        <v>45831</v>
      </c>
    </row>
    <row r="815" spans="1:7">
      <c r="A815" s="2" t="s">
        <v>443</v>
      </c>
      <c r="B815" s="2" t="s">
        <v>2131</v>
      </c>
      <c r="C815" s="2" t="s">
        <v>2123</v>
      </c>
      <c r="D815" s="2">
        <v>1974</v>
      </c>
      <c r="E815" s="2" t="s">
        <v>2120</v>
      </c>
      <c r="F815" s="2" t="s">
        <v>2121</v>
      </c>
      <c r="G815" s="3">
        <v>41382</v>
      </c>
    </row>
    <row r="816" spans="1:7">
      <c r="A816" s="2" t="s">
        <v>1499</v>
      </c>
      <c r="B816" s="2" t="s">
        <v>2252</v>
      </c>
      <c r="C816" s="2" t="s">
        <v>2123</v>
      </c>
      <c r="D816" s="2">
        <v>1963</v>
      </c>
      <c r="E816" s="2" t="s">
        <v>2120</v>
      </c>
      <c r="F816" s="2" t="s">
        <v>2121</v>
      </c>
      <c r="G816" s="3">
        <v>41056</v>
      </c>
    </row>
    <row r="817" spans="1:7">
      <c r="A817" s="2" t="s">
        <v>374</v>
      </c>
      <c r="B817" s="2" t="s">
        <v>2636</v>
      </c>
      <c r="C817" s="2" t="s">
        <v>2123</v>
      </c>
      <c r="D817" s="2">
        <v>2002</v>
      </c>
      <c r="E817" s="2" t="s">
        <v>2120</v>
      </c>
      <c r="F817" s="2" t="s">
        <v>2124</v>
      </c>
      <c r="G817" s="3">
        <v>44249</v>
      </c>
    </row>
    <row r="818" spans="1:7">
      <c r="A818" s="2" t="s">
        <v>845</v>
      </c>
      <c r="B818" s="2" t="s">
        <v>2394</v>
      </c>
      <c r="C818" s="2" t="s">
        <v>2119</v>
      </c>
      <c r="D818" s="2">
        <v>1968</v>
      </c>
      <c r="E818" s="2" t="s">
        <v>2136</v>
      </c>
      <c r="F818" s="2" t="s">
        <v>2121</v>
      </c>
      <c r="G818" s="3">
        <v>45069</v>
      </c>
    </row>
    <row r="819" spans="1:7">
      <c r="A819" s="2" t="s">
        <v>2637</v>
      </c>
      <c r="B819" s="2" t="s">
        <v>2253</v>
      </c>
      <c r="C819" s="2" t="s">
        <v>2119</v>
      </c>
      <c r="D819" s="2">
        <v>1966</v>
      </c>
      <c r="E819" s="2" t="s">
        <v>2120</v>
      </c>
      <c r="F819" s="2" t="s">
        <v>2124</v>
      </c>
      <c r="G819" s="3">
        <v>42864</v>
      </c>
    </row>
    <row r="820" spans="1:7">
      <c r="A820" s="2" t="s">
        <v>114</v>
      </c>
      <c r="B820" s="2" t="s">
        <v>2638</v>
      </c>
      <c r="C820" s="2" t="s">
        <v>2123</v>
      </c>
      <c r="D820" s="2">
        <v>1986</v>
      </c>
      <c r="E820" s="2" t="s">
        <v>2120</v>
      </c>
      <c r="F820" s="2" t="s">
        <v>2124</v>
      </c>
      <c r="G820" s="3">
        <v>43111</v>
      </c>
    </row>
    <row r="821" spans="1:7">
      <c r="A821" s="2" t="s">
        <v>1181</v>
      </c>
      <c r="B821" s="2" t="s">
        <v>2386</v>
      </c>
      <c r="C821" s="2" t="s">
        <v>2123</v>
      </c>
      <c r="D821" s="2">
        <v>1970</v>
      </c>
      <c r="E821" s="2" t="s">
        <v>2136</v>
      </c>
      <c r="F821" s="2" t="s">
        <v>2124</v>
      </c>
      <c r="G821" s="3">
        <v>43529</v>
      </c>
    </row>
    <row r="822" spans="1:7">
      <c r="A822" s="2" t="s">
        <v>262</v>
      </c>
      <c r="B822" s="2" t="s">
        <v>2461</v>
      </c>
      <c r="C822" s="2" t="s">
        <v>2119</v>
      </c>
      <c r="D822" s="2">
        <v>1986</v>
      </c>
      <c r="E822" s="2" t="s">
        <v>2120</v>
      </c>
      <c r="F822" s="2" t="s">
        <v>2121</v>
      </c>
      <c r="G822" s="3">
        <v>41613</v>
      </c>
    </row>
    <row r="823" spans="1:7">
      <c r="A823" s="2" t="s">
        <v>238</v>
      </c>
      <c r="B823" s="2" t="s">
        <v>2445</v>
      </c>
      <c r="C823" s="2" t="s">
        <v>2123</v>
      </c>
      <c r="D823" s="2">
        <v>1997</v>
      </c>
      <c r="E823" s="2" t="s">
        <v>2120</v>
      </c>
      <c r="F823" s="2" t="s">
        <v>2121</v>
      </c>
      <c r="G823" s="3">
        <v>43828</v>
      </c>
    </row>
    <row r="824" spans="1:7">
      <c r="A824" s="2" t="s">
        <v>2639</v>
      </c>
      <c r="B824" s="2" t="s">
        <v>2331</v>
      </c>
      <c r="C824" s="2" t="s">
        <v>2123</v>
      </c>
      <c r="D824" s="2">
        <v>1985</v>
      </c>
      <c r="E824" s="2" t="s">
        <v>2136</v>
      </c>
      <c r="F824" s="2" t="s">
        <v>2124</v>
      </c>
      <c r="G824" s="3">
        <v>43878</v>
      </c>
    </row>
    <row r="825" spans="1:7">
      <c r="A825" s="2" t="s">
        <v>2029</v>
      </c>
      <c r="B825" s="2" t="s">
        <v>2126</v>
      </c>
      <c r="C825" s="2" t="s">
        <v>2123</v>
      </c>
      <c r="D825" s="2">
        <v>1992</v>
      </c>
      <c r="E825" s="2" t="s">
        <v>2120</v>
      </c>
      <c r="F825" s="2" t="s">
        <v>2124</v>
      </c>
      <c r="G825" s="3">
        <v>41387</v>
      </c>
    </row>
    <row r="826" spans="1:7">
      <c r="A826" s="2" t="s">
        <v>2640</v>
      </c>
      <c r="B826" s="2" t="s">
        <v>2473</v>
      </c>
      <c r="C826" s="2" t="s">
        <v>2123</v>
      </c>
      <c r="D826" s="2">
        <v>1989</v>
      </c>
      <c r="E826" s="2" t="s">
        <v>2120</v>
      </c>
      <c r="F826" s="2" t="s">
        <v>2124</v>
      </c>
      <c r="G826" s="3">
        <v>43319</v>
      </c>
    </row>
    <row r="827" spans="1:7">
      <c r="A827" s="2" t="s">
        <v>425</v>
      </c>
      <c r="B827" s="2" t="s">
        <v>2332</v>
      </c>
      <c r="C827" s="2" t="s">
        <v>2123</v>
      </c>
      <c r="D827" s="2">
        <v>1998</v>
      </c>
      <c r="E827" s="2" t="s">
        <v>2136</v>
      </c>
      <c r="F827" s="2" t="s">
        <v>2124</v>
      </c>
      <c r="G827" s="3">
        <v>40224</v>
      </c>
    </row>
    <row r="828" spans="1:7">
      <c r="A828" s="2" t="s">
        <v>879</v>
      </c>
      <c r="B828" s="2" t="s">
        <v>2439</v>
      </c>
      <c r="C828" s="2" t="s">
        <v>2119</v>
      </c>
      <c r="D828" s="2">
        <v>1994</v>
      </c>
      <c r="E828" s="2" t="s">
        <v>2120</v>
      </c>
      <c r="F828" s="2" t="s">
        <v>2124</v>
      </c>
      <c r="G828" s="3">
        <v>45607</v>
      </c>
    </row>
    <row r="829" spans="1:7">
      <c r="A829" s="2" t="s">
        <v>1147</v>
      </c>
      <c r="B829" s="2" t="s">
        <v>2613</v>
      </c>
      <c r="C829" s="2" t="s">
        <v>2119</v>
      </c>
      <c r="D829" s="2">
        <v>2003</v>
      </c>
      <c r="E829" s="2" t="s">
        <v>2136</v>
      </c>
      <c r="F829" s="2" t="s">
        <v>2121</v>
      </c>
      <c r="G829" s="3">
        <v>42770</v>
      </c>
    </row>
    <row r="830" spans="1:7">
      <c r="A830" s="2" t="s">
        <v>404</v>
      </c>
      <c r="B830" s="2" t="s">
        <v>2127</v>
      </c>
      <c r="C830" s="2" t="s">
        <v>2123</v>
      </c>
      <c r="D830" s="2">
        <v>2004</v>
      </c>
      <c r="E830" s="2" t="s">
        <v>2120</v>
      </c>
      <c r="F830" s="2" t="s">
        <v>2121</v>
      </c>
      <c r="G830" s="3">
        <v>45213</v>
      </c>
    </row>
    <row r="831" spans="1:7">
      <c r="A831" s="2" t="s">
        <v>195</v>
      </c>
      <c r="B831" s="2" t="s">
        <v>2129</v>
      </c>
      <c r="C831" s="2" t="s">
        <v>2123</v>
      </c>
      <c r="D831" s="2">
        <v>1994</v>
      </c>
      <c r="E831" s="2" t="s">
        <v>2120</v>
      </c>
      <c r="F831" s="2" t="s">
        <v>2121</v>
      </c>
      <c r="G831" s="3">
        <v>42327</v>
      </c>
    </row>
    <row r="832" spans="1:7">
      <c r="A832" s="2" t="s">
        <v>2641</v>
      </c>
      <c r="B832" s="2" t="s">
        <v>2290</v>
      </c>
      <c r="C832" s="2" t="s">
        <v>2119</v>
      </c>
      <c r="D832" s="2">
        <v>1990</v>
      </c>
      <c r="E832" s="2" t="s">
        <v>2120</v>
      </c>
      <c r="F832" s="2" t="s">
        <v>2190</v>
      </c>
      <c r="G832" s="3">
        <v>40858</v>
      </c>
    </row>
    <row r="833" spans="1:7">
      <c r="A833" s="2" t="s">
        <v>636</v>
      </c>
      <c r="B833" s="2" t="s">
        <v>2401</v>
      </c>
      <c r="C833" s="2" t="s">
        <v>2123</v>
      </c>
      <c r="D833" s="2">
        <v>1984</v>
      </c>
      <c r="E833" s="2" t="s">
        <v>2120</v>
      </c>
      <c r="F833" s="2" t="s">
        <v>2124</v>
      </c>
      <c r="G833" s="3">
        <v>42588</v>
      </c>
    </row>
    <row r="834" spans="1:7">
      <c r="A834" s="2" t="s">
        <v>2642</v>
      </c>
      <c r="B834" s="2" t="s">
        <v>2193</v>
      </c>
      <c r="C834" s="2" t="s">
        <v>2119</v>
      </c>
      <c r="D834" s="2">
        <v>2002</v>
      </c>
      <c r="E834" s="2" t="s">
        <v>2120</v>
      </c>
      <c r="F834" s="2" t="s">
        <v>2121</v>
      </c>
      <c r="G834" s="3">
        <v>41021</v>
      </c>
    </row>
    <row r="835" spans="1:7">
      <c r="A835" s="2" t="s">
        <v>1496</v>
      </c>
      <c r="B835" s="2" t="s">
        <v>2455</v>
      </c>
      <c r="C835" s="2" t="s">
        <v>2119</v>
      </c>
      <c r="D835" s="2">
        <v>1991</v>
      </c>
      <c r="E835" s="2" t="s">
        <v>2120</v>
      </c>
      <c r="F835" s="2" t="s">
        <v>2190</v>
      </c>
      <c r="G835" s="3">
        <v>42281</v>
      </c>
    </row>
    <row r="836" spans="1:7">
      <c r="A836" s="2" t="s">
        <v>2643</v>
      </c>
      <c r="B836" s="2" t="s">
        <v>2320</v>
      </c>
      <c r="C836" s="2" t="s">
        <v>2119</v>
      </c>
      <c r="D836" s="2">
        <v>1982</v>
      </c>
      <c r="E836" s="2" t="s">
        <v>2120</v>
      </c>
      <c r="F836" s="2" t="s">
        <v>2121</v>
      </c>
      <c r="G836" s="3">
        <v>42630</v>
      </c>
    </row>
    <row r="837" spans="1:7">
      <c r="A837" s="2" t="s">
        <v>2644</v>
      </c>
      <c r="B837" s="2" t="s">
        <v>2491</v>
      </c>
      <c r="C837" s="2" t="s">
        <v>2123</v>
      </c>
      <c r="D837" s="2">
        <v>1977</v>
      </c>
      <c r="E837" s="2" t="s">
        <v>2136</v>
      </c>
      <c r="F837" s="2" t="s">
        <v>2124</v>
      </c>
      <c r="G837" s="3">
        <v>44339</v>
      </c>
    </row>
    <row r="838" spans="1:7">
      <c r="A838" s="2" t="s">
        <v>2645</v>
      </c>
      <c r="B838" s="2" t="s">
        <v>2440</v>
      </c>
      <c r="C838" s="2" t="s">
        <v>2119</v>
      </c>
      <c r="D838" s="2">
        <v>1994</v>
      </c>
      <c r="E838" s="2" t="s">
        <v>2120</v>
      </c>
      <c r="F838" s="2" t="s">
        <v>2124</v>
      </c>
      <c r="G838" s="3">
        <v>45447</v>
      </c>
    </row>
    <row r="839" spans="1:7">
      <c r="A839" s="2" t="s">
        <v>715</v>
      </c>
      <c r="B839" s="2" t="s">
        <v>2646</v>
      </c>
      <c r="C839" s="2" t="s">
        <v>2119</v>
      </c>
      <c r="D839" s="2">
        <v>1993</v>
      </c>
      <c r="E839" s="2" t="s">
        <v>2136</v>
      </c>
      <c r="F839" s="2" t="s">
        <v>2190</v>
      </c>
      <c r="G839" s="3">
        <v>40558</v>
      </c>
    </row>
    <row r="840" spans="1:7">
      <c r="A840" s="2" t="s">
        <v>2647</v>
      </c>
      <c r="B840" s="2" t="s">
        <v>2167</v>
      </c>
      <c r="C840" s="2" t="s">
        <v>2123</v>
      </c>
      <c r="D840" s="2">
        <v>1993</v>
      </c>
      <c r="E840" s="2" t="s">
        <v>2120</v>
      </c>
      <c r="F840" s="2" t="s">
        <v>2190</v>
      </c>
      <c r="G840" s="3">
        <v>44610</v>
      </c>
    </row>
    <row r="841" spans="1:7">
      <c r="A841" s="2" t="s">
        <v>78</v>
      </c>
      <c r="B841" s="2" t="s">
        <v>2256</v>
      </c>
      <c r="C841" s="2" t="s">
        <v>2123</v>
      </c>
      <c r="D841" s="2">
        <v>1992</v>
      </c>
      <c r="E841" s="2" t="s">
        <v>2120</v>
      </c>
      <c r="F841" s="2" t="s">
        <v>2124</v>
      </c>
      <c r="G841" s="3">
        <v>44327</v>
      </c>
    </row>
    <row r="842" spans="1:7">
      <c r="A842" s="2" t="s">
        <v>858</v>
      </c>
      <c r="B842" s="2" t="s">
        <v>2352</v>
      </c>
      <c r="C842" s="2" t="s">
        <v>2119</v>
      </c>
      <c r="D842" s="2">
        <v>1958</v>
      </c>
      <c r="E842" s="2" t="s">
        <v>2120</v>
      </c>
      <c r="F842" s="2" t="s">
        <v>2121</v>
      </c>
      <c r="G842" s="3">
        <v>40460</v>
      </c>
    </row>
    <row r="843" spans="1:7">
      <c r="A843" s="2" t="s">
        <v>2648</v>
      </c>
      <c r="B843" s="2" t="s">
        <v>2440</v>
      </c>
      <c r="C843" s="2" t="s">
        <v>2119</v>
      </c>
      <c r="D843" s="2">
        <v>1986</v>
      </c>
      <c r="E843" s="2" t="s">
        <v>2136</v>
      </c>
      <c r="F843" s="2" t="s">
        <v>2121</v>
      </c>
      <c r="G843" s="3">
        <v>42990</v>
      </c>
    </row>
    <row r="844" spans="1:7">
      <c r="A844" s="2" t="s">
        <v>2093</v>
      </c>
      <c r="B844" s="2" t="s">
        <v>2363</v>
      </c>
      <c r="C844" s="2" t="s">
        <v>2123</v>
      </c>
      <c r="D844" s="2">
        <v>1992</v>
      </c>
      <c r="E844" s="2" t="s">
        <v>2136</v>
      </c>
      <c r="F844" s="2" t="s">
        <v>2121</v>
      </c>
      <c r="G844" s="3">
        <v>44276</v>
      </c>
    </row>
    <row r="845" spans="1:7">
      <c r="A845" s="2" t="s">
        <v>2649</v>
      </c>
      <c r="B845" s="2" t="s">
        <v>2588</v>
      </c>
      <c r="C845" s="2" t="s">
        <v>2119</v>
      </c>
      <c r="D845" s="2">
        <v>1972</v>
      </c>
      <c r="E845" s="2" t="s">
        <v>2136</v>
      </c>
      <c r="F845" s="2" t="s">
        <v>2124</v>
      </c>
      <c r="G845" s="3">
        <v>42012</v>
      </c>
    </row>
    <row r="846" spans="1:7">
      <c r="A846" s="2" t="s">
        <v>1491</v>
      </c>
      <c r="B846" s="2" t="s">
        <v>2309</v>
      </c>
      <c r="C846" s="2" t="s">
        <v>2119</v>
      </c>
      <c r="D846" s="2">
        <v>1975</v>
      </c>
      <c r="E846" s="2" t="s">
        <v>2136</v>
      </c>
      <c r="F846" s="2" t="s">
        <v>2121</v>
      </c>
      <c r="G846" s="3">
        <v>40695</v>
      </c>
    </row>
    <row r="847" spans="1:7">
      <c r="A847" s="2" t="s">
        <v>1224</v>
      </c>
      <c r="B847" s="2" t="s">
        <v>2215</v>
      </c>
      <c r="C847" s="2" t="s">
        <v>2119</v>
      </c>
      <c r="D847" s="2">
        <v>1991</v>
      </c>
      <c r="E847" s="2" t="s">
        <v>2136</v>
      </c>
      <c r="F847" s="2" t="s">
        <v>2124</v>
      </c>
      <c r="G847" s="3">
        <v>43589</v>
      </c>
    </row>
    <row r="848" spans="1:7">
      <c r="A848" s="2" t="s">
        <v>1994</v>
      </c>
      <c r="B848" s="2" t="s">
        <v>2490</v>
      </c>
      <c r="C848" s="2" t="s">
        <v>2119</v>
      </c>
      <c r="D848" s="2">
        <v>1963</v>
      </c>
      <c r="E848" s="2" t="s">
        <v>2120</v>
      </c>
      <c r="F848" s="2" t="s">
        <v>2121</v>
      </c>
      <c r="G848" s="3">
        <v>44118</v>
      </c>
    </row>
    <row r="849" spans="1:7">
      <c r="A849" s="2" t="s">
        <v>1840</v>
      </c>
      <c r="B849" s="2" t="s">
        <v>2354</v>
      </c>
      <c r="C849" s="2" t="s">
        <v>2123</v>
      </c>
      <c r="D849" s="2">
        <v>1972</v>
      </c>
      <c r="E849" s="2" t="s">
        <v>2136</v>
      </c>
      <c r="F849" s="2" t="s">
        <v>2124</v>
      </c>
      <c r="G849" s="3">
        <v>43497</v>
      </c>
    </row>
    <row r="850" spans="1:7">
      <c r="A850" s="2" t="s">
        <v>1783</v>
      </c>
      <c r="B850" s="2" t="s">
        <v>2201</v>
      </c>
      <c r="C850" s="2" t="s">
        <v>2123</v>
      </c>
      <c r="D850" s="2">
        <v>1986</v>
      </c>
      <c r="E850" s="2" t="s">
        <v>2136</v>
      </c>
      <c r="F850" s="2" t="s">
        <v>2124</v>
      </c>
      <c r="G850" s="3">
        <v>40989</v>
      </c>
    </row>
    <row r="851" spans="1:7">
      <c r="A851" s="2" t="s">
        <v>2650</v>
      </c>
      <c r="B851" s="2" t="s">
        <v>2584</v>
      </c>
      <c r="C851" s="2" t="s">
        <v>2119</v>
      </c>
      <c r="D851" s="2">
        <v>1980</v>
      </c>
      <c r="E851" s="2" t="s">
        <v>2120</v>
      </c>
      <c r="F851" s="2" t="s">
        <v>2124</v>
      </c>
      <c r="G851" s="3">
        <v>43289</v>
      </c>
    </row>
    <row r="852" spans="1:7">
      <c r="A852" s="2" t="s">
        <v>2651</v>
      </c>
      <c r="B852" s="2" t="s">
        <v>2391</v>
      </c>
      <c r="C852" s="2" t="s">
        <v>2123</v>
      </c>
      <c r="D852" s="2">
        <v>1990</v>
      </c>
      <c r="E852" s="2" t="s">
        <v>2136</v>
      </c>
      <c r="F852" s="2" t="s">
        <v>2124</v>
      </c>
      <c r="G852" s="3">
        <v>44663</v>
      </c>
    </row>
    <row r="853" spans="1:7">
      <c r="A853" s="2" t="s">
        <v>2652</v>
      </c>
      <c r="B853" s="2" t="s">
        <v>2309</v>
      </c>
      <c r="C853" s="2" t="s">
        <v>2119</v>
      </c>
      <c r="D853" s="2">
        <v>1979</v>
      </c>
      <c r="E853" s="2" t="s">
        <v>2120</v>
      </c>
      <c r="F853" s="2" t="s">
        <v>2190</v>
      </c>
      <c r="G853" s="3">
        <v>43908</v>
      </c>
    </row>
    <row r="854" spans="1:7">
      <c r="A854" s="2" t="s">
        <v>526</v>
      </c>
      <c r="B854" s="2" t="s">
        <v>2515</v>
      </c>
      <c r="C854" s="2" t="s">
        <v>2119</v>
      </c>
      <c r="D854" s="2">
        <v>1997</v>
      </c>
      <c r="E854" s="2" t="s">
        <v>2136</v>
      </c>
      <c r="F854" s="2" t="s">
        <v>2121</v>
      </c>
      <c r="G854" s="3">
        <v>44116</v>
      </c>
    </row>
    <row r="855" spans="1:7">
      <c r="A855" s="2" t="s">
        <v>1918</v>
      </c>
      <c r="B855" s="2" t="s">
        <v>2150</v>
      </c>
      <c r="C855" s="2" t="s">
        <v>2123</v>
      </c>
      <c r="D855" s="2">
        <v>2003</v>
      </c>
      <c r="E855" s="2" t="s">
        <v>2120</v>
      </c>
      <c r="F855" s="2" t="s">
        <v>2124</v>
      </c>
      <c r="G855" s="3">
        <v>41721</v>
      </c>
    </row>
    <row r="856" spans="1:7">
      <c r="A856" s="2" t="s">
        <v>1275</v>
      </c>
      <c r="B856" s="2" t="s">
        <v>2223</v>
      </c>
      <c r="C856" s="2" t="s">
        <v>2123</v>
      </c>
      <c r="D856" s="2">
        <v>1978</v>
      </c>
      <c r="E856" s="2" t="s">
        <v>2136</v>
      </c>
      <c r="F856" s="2" t="s">
        <v>2121</v>
      </c>
      <c r="G856" s="3">
        <v>44984</v>
      </c>
    </row>
    <row r="857" spans="1:7">
      <c r="A857" s="2" t="s">
        <v>2653</v>
      </c>
      <c r="B857" s="2" t="s">
        <v>2216</v>
      </c>
      <c r="C857" s="2" t="s">
        <v>2119</v>
      </c>
      <c r="D857" s="2">
        <v>1974</v>
      </c>
      <c r="E857" s="2" t="s">
        <v>2120</v>
      </c>
      <c r="F857" s="2" t="s">
        <v>2124</v>
      </c>
      <c r="G857" s="3">
        <v>45606</v>
      </c>
    </row>
    <row r="858" spans="1:7">
      <c r="A858" s="2" t="s">
        <v>2654</v>
      </c>
      <c r="B858" s="2" t="s">
        <v>2345</v>
      </c>
      <c r="C858" s="2" t="s">
        <v>2123</v>
      </c>
      <c r="D858" s="2">
        <v>1970</v>
      </c>
      <c r="E858" s="2" t="s">
        <v>2120</v>
      </c>
      <c r="F858" s="2" t="s">
        <v>2124</v>
      </c>
      <c r="G858" s="3">
        <v>41761</v>
      </c>
    </row>
    <row r="859" spans="1:7">
      <c r="A859" s="2" t="s">
        <v>244</v>
      </c>
      <c r="B859" s="2" t="s">
        <v>2194</v>
      </c>
      <c r="C859" s="2" t="s">
        <v>2123</v>
      </c>
      <c r="D859" s="2">
        <v>1961</v>
      </c>
      <c r="E859" s="2" t="s">
        <v>2120</v>
      </c>
      <c r="F859" s="2" t="s">
        <v>2190</v>
      </c>
      <c r="G859" s="3">
        <v>42743</v>
      </c>
    </row>
    <row r="860" spans="1:7">
      <c r="A860" s="2" t="s">
        <v>421</v>
      </c>
      <c r="B860" s="2" t="s">
        <v>2311</v>
      </c>
      <c r="C860" s="2" t="s">
        <v>2123</v>
      </c>
      <c r="D860" s="2">
        <v>1984</v>
      </c>
      <c r="E860" s="2" t="s">
        <v>2136</v>
      </c>
      <c r="F860" s="2" t="s">
        <v>2124</v>
      </c>
      <c r="G860" s="3">
        <v>41659</v>
      </c>
    </row>
    <row r="861" spans="1:7">
      <c r="A861" s="2" t="s">
        <v>1103</v>
      </c>
      <c r="B861" s="2" t="s">
        <v>2363</v>
      </c>
      <c r="C861" s="2" t="s">
        <v>2123</v>
      </c>
      <c r="D861" s="2">
        <v>2001</v>
      </c>
      <c r="E861" s="2" t="s">
        <v>2120</v>
      </c>
      <c r="F861" s="2" t="s">
        <v>2124</v>
      </c>
      <c r="G861" s="3">
        <v>41175</v>
      </c>
    </row>
    <row r="862" spans="1:7">
      <c r="A862" s="2" t="s">
        <v>803</v>
      </c>
      <c r="B862" s="2" t="s">
        <v>2192</v>
      </c>
      <c r="C862" s="2" t="s">
        <v>2119</v>
      </c>
      <c r="D862" s="2">
        <v>2003</v>
      </c>
      <c r="E862" s="2" t="s">
        <v>2120</v>
      </c>
      <c r="F862" s="2" t="s">
        <v>2121</v>
      </c>
      <c r="G862" s="3">
        <v>40730</v>
      </c>
    </row>
    <row r="863" spans="1:7">
      <c r="A863" s="2" t="s">
        <v>2655</v>
      </c>
      <c r="B863" s="2" t="s">
        <v>2185</v>
      </c>
      <c r="C863" s="2" t="s">
        <v>2119</v>
      </c>
      <c r="D863" s="2">
        <v>1999</v>
      </c>
      <c r="E863" s="2" t="s">
        <v>2136</v>
      </c>
      <c r="F863" s="2" t="s">
        <v>2124</v>
      </c>
      <c r="G863" s="3">
        <v>43683</v>
      </c>
    </row>
    <row r="864" spans="1:7">
      <c r="A864" s="2" t="s">
        <v>1726</v>
      </c>
      <c r="B864" s="2" t="s">
        <v>2474</v>
      </c>
      <c r="C864" s="2" t="s">
        <v>2123</v>
      </c>
      <c r="D864" s="2">
        <v>2004</v>
      </c>
      <c r="E864" s="2" t="s">
        <v>2136</v>
      </c>
      <c r="F864" s="2" t="s">
        <v>2121</v>
      </c>
      <c r="G864" s="3">
        <v>45531</v>
      </c>
    </row>
    <row r="865" spans="1:7">
      <c r="A865" s="2" t="s">
        <v>2656</v>
      </c>
      <c r="B865" s="2" t="s">
        <v>2386</v>
      </c>
      <c r="C865" s="2" t="s">
        <v>2123</v>
      </c>
      <c r="D865" s="2">
        <v>1995</v>
      </c>
      <c r="E865" s="2" t="s">
        <v>2120</v>
      </c>
      <c r="F865" s="2" t="s">
        <v>2124</v>
      </c>
      <c r="G865" s="3">
        <v>43210</v>
      </c>
    </row>
    <row r="866" spans="1:7">
      <c r="A866" s="2" t="s">
        <v>687</v>
      </c>
      <c r="B866" s="2" t="s">
        <v>2470</v>
      </c>
      <c r="C866" s="2" t="s">
        <v>2123</v>
      </c>
      <c r="D866" s="2">
        <v>1972</v>
      </c>
      <c r="E866" s="2" t="s">
        <v>2120</v>
      </c>
      <c r="F866" s="2" t="s">
        <v>2124</v>
      </c>
      <c r="G866" s="3">
        <v>41201</v>
      </c>
    </row>
    <row r="867" spans="1:7">
      <c r="A867" s="2" t="s">
        <v>2657</v>
      </c>
      <c r="B867" s="2" t="s">
        <v>2348</v>
      </c>
      <c r="C867" s="2" t="s">
        <v>2119</v>
      </c>
      <c r="D867" s="2">
        <v>1989</v>
      </c>
      <c r="E867" s="2" t="s">
        <v>2120</v>
      </c>
      <c r="F867" s="2" t="s">
        <v>2124</v>
      </c>
      <c r="G867" s="3">
        <v>43974</v>
      </c>
    </row>
    <row r="868" spans="1:7">
      <c r="A868" s="2" t="s">
        <v>1077</v>
      </c>
      <c r="B868" s="2" t="s">
        <v>2181</v>
      </c>
      <c r="C868" s="2" t="s">
        <v>2123</v>
      </c>
      <c r="D868" s="2">
        <v>1963</v>
      </c>
      <c r="E868" s="2" t="s">
        <v>2120</v>
      </c>
      <c r="F868" s="2" t="s">
        <v>2124</v>
      </c>
      <c r="G868" s="3">
        <v>40226</v>
      </c>
    </row>
    <row r="869" spans="1:7">
      <c r="A869" s="2" t="s">
        <v>1046</v>
      </c>
      <c r="B869" s="2" t="s">
        <v>2658</v>
      </c>
      <c r="C869" s="2" t="s">
        <v>2119</v>
      </c>
      <c r="D869" s="2">
        <v>1997</v>
      </c>
      <c r="E869" s="2" t="s">
        <v>2136</v>
      </c>
      <c r="F869" s="2" t="s">
        <v>2124</v>
      </c>
      <c r="G869" s="3">
        <v>43696</v>
      </c>
    </row>
    <row r="870" spans="1:7">
      <c r="A870" s="2" t="s">
        <v>1564</v>
      </c>
      <c r="B870" s="2" t="s">
        <v>2577</v>
      </c>
      <c r="C870" s="2" t="s">
        <v>2119</v>
      </c>
      <c r="D870" s="2">
        <v>1975</v>
      </c>
      <c r="E870" s="2" t="s">
        <v>2120</v>
      </c>
      <c r="F870" s="2" t="s">
        <v>2121</v>
      </c>
      <c r="G870" s="3">
        <v>43886</v>
      </c>
    </row>
    <row r="871" spans="1:7">
      <c r="A871" s="2" t="s">
        <v>577</v>
      </c>
      <c r="B871" s="2" t="s">
        <v>2262</v>
      </c>
      <c r="C871" s="2" t="s">
        <v>2123</v>
      </c>
      <c r="D871" s="2">
        <v>1991</v>
      </c>
      <c r="E871" s="2" t="s">
        <v>2120</v>
      </c>
      <c r="F871" s="2" t="s">
        <v>2124</v>
      </c>
      <c r="G871" s="3">
        <v>40852</v>
      </c>
    </row>
    <row r="872" spans="1:7">
      <c r="A872" s="2" t="s">
        <v>2659</v>
      </c>
      <c r="B872" s="2" t="s">
        <v>2300</v>
      </c>
      <c r="C872" s="2" t="s">
        <v>2119</v>
      </c>
      <c r="D872" s="2">
        <v>1980</v>
      </c>
      <c r="E872" s="2" t="s">
        <v>2120</v>
      </c>
      <c r="F872" s="2" t="s">
        <v>2121</v>
      </c>
      <c r="G872" s="3">
        <v>40786</v>
      </c>
    </row>
    <row r="873" spans="1:7">
      <c r="A873" s="2" t="s">
        <v>967</v>
      </c>
      <c r="B873" s="2" t="s">
        <v>2247</v>
      </c>
      <c r="C873" s="2" t="s">
        <v>2119</v>
      </c>
      <c r="D873" s="2">
        <v>1994</v>
      </c>
      <c r="E873" s="2" t="s">
        <v>2120</v>
      </c>
      <c r="F873" s="2" t="s">
        <v>2124</v>
      </c>
      <c r="G873" s="3">
        <v>41048</v>
      </c>
    </row>
    <row r="874" spans="1:7">
      <c r="A874" s="2" t="s">
        <v>2043</v>
      </c>
      <c r="B874" s="2" t="s">
        <v>2145</v>
      </c>
      <c r="C874" s="2" t="s">
        <v>2119</v>
      </c>
      <c r="D874" s="2">
        <v>1990</v>
      </c>
      <c r="E874" s="2" t="s">
        <v>2120</v>
      </c>
      <c r="F874" s="2" t="s">
        <v>2190</v>
      </c>
      <c r="G874" s="3">
        <v>45487</v>
      </c>
    </row>
    <row r="875" spans="1:7">
      <c r="A875" s="2" t="s">
        <v>63</v>
      </c>
      <c r="B875" s="2" t="s">
        <v>2375</v>
      </c>
      <c r="C875" s="2" t="s">
        <v>2123</v>
      </c>
      <c r="D875" s="2">
        <v>1991</v>
      </c>
      <c r="E875" s="2" t="s">
        <v>2120</v>
      </c>
      <c r="F875" s="2" t="s">
        <v>2124</v>
      </c>
      <c r="G875" s="3">
        <v>42926</v>
      </c>
    </row>
    <row r="876" spans="1:7">
      <c r="A876" s="2" t="s">
        <v>2660</v>
      </c>
      <c r="B876" s="2" t="s">
        <v>2419</v>
      </c>
      <c r="C876" s="2" t="s">
        <v>2123</v>
      </c>
      <c r="D876" s="2">
        <v>1995</v>
      </c>
      <c r="E876" s="2" t="s">
        <v>2136</v>
      </c>
      <c r="F876" s="2" t="s">
        <v>2124</v>
      </c>
      <c r="G876" s="3">
        <v>41556</v>
      </c>
    </row>
    <row r="877" spans="1:7">
      <c r="A877" s="2" t="s">
        <v>2661</v>
      </c>
      <c r="B877" s="2" t="s">
        <v>2512</v>
      </c>
      <c r="C877" s="2" t="s">
        <v>2123</v>
      </c>
      <c r="D877" s="2">
        <v>1977</v>
      </c>
      <c r="E877" s="2" t="s">
        <v>2120</v>
      </c>
      <c r="F877" s="2" t="s">
        <v>2124</v>
      </c>
      <c r="G877" s="3">
        <v>44005</v>
      </c>
    </row>
    <row r="878" spans="1:7">
      <c r="A878" s="2" t="s">
        <v>445</v>
      </c>
      <c r="B878" s="2" t="s">
        <v>2551</v>
      </c>
      <c r="C878" s="2" t="s">
        <v>2123</v>
      </c>
      <c r="D878" s="2">
        <v>1983</v>
      </c>
      <c r="E878" s="2" t="s">
        <v>2120</v>
      </c>
      <c r="F878" s="2" t="s">
        <v>2124</v>
      </c>
      <c r="G878" s="3">
        <v>45810</v>
      </c>
    </row>
    <row r="879" spans="1:7">
      <c r="A879" s="2" t="s">
        <v>1655</v>
      </c>
      <c r="B879" s="2" t="s">
        <v>2662</v>
      </c>
      <c r="C879" s="2" t="s">
        <v>2119</v>
      </c>
      <c r="D879" s="2">
        <v>1976</v>
      </c>
      <c r="E879" s="2" t="s">
        <v>2120</v>
      </c>
      <c r="F879" s="2" t="s">
        <v>2124</v>
      </c>
      <c r="G879" s="3">
        <v>40489</v>
      </c>
    </row>
    <row r="880" spans="1:7">
      <c r="A880" s="2" t="s">
        <v>344</v>
      </c>
      <c r="B880" s="2" t="s">
        <v>2532</v>
      </c>
      <c r="C880" s="2" t="s">
        <v>2119</v>
      </c>
      <c r="D880" s="2">
        <v>1999</v>
      </c>
      <c r="E880" s="2" t="s">
        <v>2120</v>
      </c>
      <c r="F880" s="2" t="s">
        <v>2124</v>
      </c>
      <c r="G880" s="3">
        <v>40644</v>
      </c>
    </row>
    <row r="881" spans="1:7">
      <c r="A881" s="2" t="s">
        <v>1098</v>
      </c>
      <c r="B881" s="2" t="s">
        <v>2198</v>
      </c>
      <c r="C881" s="2" t="s">
        <v>2123</v>
      </c>
      <c r="D881" s="2">
        <v>2002</v>
      </c>
      <c r="E881" s="2" t="s">
        <v>2120</v>
      </c>
      <c r="F881" s="2" t="s">
        <v>2124</v>
      </c>
      <c r="G881" s="3">
        <v>44180</v>
      </c>
    </row>
    <row r="882" spans="1:7">
      <c r="A882" s="2" t="s">
        <v>89</v>
      </c>
      <c r="B882" s="2" t="s">
        <v>2329</v>
      </c>
      <c r="C882" s="2" t="s">
        <v>2123</v>
      </c>
      <c r="D882" s="2">
        <v>1993</v>
      </c>
      <c r="E882" s="2" t="s">
        <v>2120</v>
      </c>
      <c r="F882" s="2" t="s">
        <v>2121</v>
      </c>
      <c r="G882" s="3">
        <v>42570</v>
      </c>
    </row>
    <row r="883" spans="1:7">
      <c r="A883" s="2" t="s">
        <v>188</v>
      </c>
      <c r="B883" s="2" t="s">
        <v>2333</v>
      </c>
      <c r="C883" s="2" t="s">
        <v>2119</v>
      </c>
      <c r="D883" s="2">
        <v>1971</v>
      </c>
      <c r="E883" s="2" t="s">
        <v>2120</v>
      </c>
      <c r="F883" s="2" t="s">
        <v>2124</v>
      </c>
      <c r="G883" s="3">
        <v>45796</v>
      </c>
    </row>
    <row r="884" spans="1:7">
      <c r="A884" s="2" t="s">
        <v>1321</v>
      </c>
      <c r="B884" s="2" t="s">
        <v>2323</v>
      </c>
      <c r="C884" s="2" t="s">
        <v>2123</v>
      </c>
      <c r="D884" s="2">
        <v>2004</v>
      </c>
      <c r="E884" s="2" t="s">
        <v>2136</v>
      </c>
      <c r="F884" s="2" t="s">
        <v>2121</v>
      </c>
      <c r="G884" s="3">
        <v>40792</v>
      </c>
    </row>
    <row r="885" spans="1:7">
      <c r="A885" s="2" t="s">
        <v>58</v>
      </c>
      <c r="B885" s="2" t="s">
        <v>2461</v>
      </c>
      <c r="C885" s="2" t="s">
        <v>2119</v>
      </c>
      <c r="D885" s="2">
        <v>1962</v>
      </c>
      <c r="E885" s="2" t="s">
        <v>2120</v>
      </c>
      <c r="F885" s="2" t="s">
        <v>2121</v>
      </c>
      <c r="G885" s="3">
        <v>43029</v>
      </c>
    </row>
    <row r="886" spans="1:7">
      <c r="A886" s="2" t="s">
        <v>2034</v>
      </c>
      <c r="B886" s="2" t="s">
        <v>2394</v>
      </c>
      <c r="C886" s="2" t="s">
        <v>2119</v>
      </c>
      <c r="D886" s="2">
        <v>1994</v>
      </c>
      <c r="E886" s="2" t="s">
        <v>2120</v>
      </c>
      <c r="F886" s="2" t="s">
        <v>2190</v>
      </c>
      <c r="G886" s="3">
        <v>43766</v>
      </c>
    </row>
    <row r="887" spans="1:7">
      <c r="A887" s="2" t="s">
        <v>342</v>
      </c>
      <c r="B887" s="2" t="s">
        <v>2470</v>
      </c>
      <c r="C887" s="2" t="s">
        <v>2123</v>
      </c>
      <c r="D887" s="2">
        <v>1967</v>
      </c>
      <c r="E887" s="2" t="s">
        <v>2136</v>
      </c>
      <c r="F887" s="2" t="s">
        <v>2121</v>
      </c>
      <c r="G887" s="3">
        <v>45395</v>
      </c>
    </row>
    <row r="888" spans="1:7">
      <c r="A888" s="2" t="s">
        <v>348</v>
      </c>
      <c r="B888" s="2" t="s">
        <v>2663</v>
      </c>
      <c r="C888" s="2" t="s">
        <v>2119</v>
      </c>
      <c r="D888" s="2">
        <v>1970</v>
      </c>
      <c r="E888" s="2" t="s">
        <v>2136</v>
      </c>
      <c r="F888" s="2" t="s">
        <v>2124</v>
      </c>
      <c r="G888" s="3">
        <v>41989</v>
      </c>
    </row>
    <row r="889" spans="1:7">
      <c r="A889" s="2" t="s">
        <v>1738</v>
      </c>
      <c r="B889" s="2" t="s">
        <v>2208</v>
      </c>
      <c r="C889" s="2" t="s">
        <v>2123</v>
      </c>
      <c r="D889" s="2">
        <v>2000</v>
      </c>
      <c r="E889" s="2" t="s">
        <v>2120</v>
      </c>
      <c r="F889" s="2" t="s">
        <v>2124</v>
      </c>
      <c r="G889" s="3">
        <v>45013</v>
      </c>
    </row>
    <row r="890" spans="1:7">
      <c r="A890" s="2" t="s">
        <v>264</v>
      </c>
      <c r="B890" s="2" t="s">
        <v>2664</v>
      </c>
      <c r="C890" s="2" t="s">
        <v>2119</v>
      </c>
      <c r="D890" s="2">
        <v>1997</v>
      </c>
      <c r="E890" s="2" t="s">
        <v>2136</v>
      </c>
      <c r="F890" s="2" t="s">
        <v>2124</v>
      </c>
      <c r="G890" s="3">
        <v>42728</v>
      </c>
    </row>
    <row r="891" spans="1:7">
      <c r="A891" s="2" t="s">
        <v>36</v>
      </c>
      <c r="B891" s="2" t="s">
        <v>2149</v>
      </c>
      <c r="C891" s="2" t="s">
        <v>2123</v>
      </c>
      <c r="D891" s="2">
        <v>1995</v>
      </c>
      <c r="E891" s="2" t="s">
        <v>2120</v>
      </c>
      <c r="F891" s="2" t="s">
        <v>2124</v>
      </c>
      <c r="G891" s="3">
        <v>44759</v>
      </c>
    </row>
    <row r="892" spans="1:7">
      <c r="A892" s="2" t="s">
        <v>316</v>
      </c>
      <c r="B892" s="2" t="s">
        <v>2665</v>
      </c>
      <c r="C892" s="2" t="s">
        <v>2123</v>
      </c>
      <c r="D892" s="2">
        <v>1977</v>
      </c>
      <c r="E892" s="2" t="s">
        <v>2120</v>
      </c>
      <c r="F892" s="2" t="s">
        <v>2124</v>
      </c>
      <c r="G892" s="3">
        <v>43609</v>
      </c>
    </row>
    <row r="893" spans="1:7">
      <c r="A893" s="2" t="s">
        <v>1343</v>
      </c>
      <c r="B893" s="2" t="s">
        <v>2200</v>
      </c>
      <c r="C893" s="2" t="s">
        <v>2123</v>
      </c>
      <c r="D893" s="2">
        <v>1988</v>
      </c>
      <c r="E893" s="2" t="s">
        <v>2120</v>
      </c>
      <c r="F893" s="2" t="s">
        <v>2121</v>
      </c>
      <c r="G893" s="3">
        <v>45943</v>
      </c>
    </row>
    <row r="894" spans="1:7">
      <c r="A894" s="2" t="s">
        <v>2666</v>
      </c>
      <c r="B894" s="2" t="s">
        <v>2409</v>
      </c>
      <c r="C894" s="2" t="s">
        <v>2119</v>
      </c>
      <c r="D894" s="2">
        <v>1986</v>
      </c>
      <c r="E894" s="2" t="s">
        <v>2136</v>
      </c>
      <c r="F894" s="2" t="s">
        <v>2121</v>
      </c>
      <c r="G894" s="3">
        <v>44623</v>
      </c>
    </row>
    <row r="895" spans="1:7">
      <c r="A895" s="2" t="s">
        <v>1359</v>
      </c>
      <c r="B895" s="2" t="s">
        <v>2138</v>
      </c>
      <c r="C895" s="2" t="s">
        <v>2119</v>
      </c>
      <c r="D895" s="2">
        <v>1983</v>
      </c>
      <c r="E895" s="2" t="s">
        <v>2136</v>
      </c>
      <c r="F895" s="2" t="s">
        <v>2121</v>
      </c>
      <c r="G895" s="3">
        <v>44132</v>
      </c>
    </row>
    <row r="896" spans="1:7">
      <c r="A896" s="2" t="s">
        <v>2667</v>
      </c>
      <c r="B896" s="2" t="s">
        <v>2459</v>
      </c>
      <c r="C896" s="2" t="s">
        <v>2123</v>
      </c>
      <c r="D896" s="2">
        <v>1985</v>
      </c>
      <c r="E896" s="2" t="s">
        <v>2120</v>
      </c>
      <c r="F896" s="2" t="s">
        <v>2124</v>
      </c>
      <c r="G896" s="3">
        <v>43123</v>
      </c>
    </row>
    <row r="897" spans="1:7">
      <c r="A897" s="2" t="s">
        <v>107</v>
      </c>
      <c r="B897" s="2" t="s">
        <v>2305</v>
      </c>
      <c r="C897" s="2" t="s">
        <v>2119</v>
      </c>
      <c r="D897" s="2">
        <v>1992</v>
      </c>
      <c r="E897" s="2" t="s">
        <v>2136</v>
      </c>
      <c r="F897" s="2" t="s">
        <v>2190</v>
      </c>
      <c r="G897" s="3">
        <v>43719</v>
      </c>
    </row>
    <row r="898" spans="1:7">
      <c r="A898" s="2" t="s">
        <v>2668</v>
      </c>
      <c r="B898" s="2" t="s">
        <v>2403</v>
      </c>
      <c r="C898" s="2" t="s">
        <v>2119</v>
      </c>
      <c r="D898" s="2">
        <v>1982</v>
      </c>
      <c r="E898" s="2" t="s">
        <v>2120</v>
      </c>
      <c r="F898" s="2" t="s">
        <v>2124</v>
      </c>
      <c r="G898" s="3">
        <v>42978</v>
      </c>
    </row>
    <row r="899" spans="1:7">
      <c r="A899" s="2" t="s">
        <v>96</v>
      </c>
      <c r="B899" s="2" t="s">
        <v>2197</v>
      </c>
      <c r="C899" s="2" t="s">
        <v>2119</v>
      </c>
      <c r="D899" s="2">
        <v>1985</v>
      </c>
      <c r="E899" s="2" t="s">
        <v>2120</v>
      </c>
      <c r="F899" s="2" t="s">
        <v>2190</v>
      </c>
      <c r="G899" s="3">
        <v>42681</v>
      </c>
    </row>
    <row r="900" spans="1:7">
      <c r="A900" s="2" t="s">
        <v>2077</v>
      </c>
      <c r="B900" s="2" t="s">
        <v>2433</v>
      </c>
      <c r="C900" s="2" t="s">
        <v>2123</v>
      </c>
      <c r="D900" s="2">
        <v>1980</v>
      </c>
      <c r="E900" s="2" t="s">
        <v>2120</v>
      </c>
      <c r="F900" s="2" t="s">
        <v>2121</v>
      </c>
      <c r="G900" s="3">
        <v>41702</v>
      </c>
    </row>
    <row r="901" spans="1:7">
      <c r="A901" s="2" t="s">
        <v>2669</v>
      </c>
      <c r="B901" s="2" t="s">
        <v>2492</v>
      </c>
      <c r="C901" s="2" t="s">
        <v>2123</v>
      </c>
      <c r="D901" s="2">
        <v>1974</v>
      </c>
      <c r="E901" s="2" t="s">
        <v>2136</v>
      </c>
      <c r="F901" s="2" t="s">
        <v>2124</v>
      </c>
      <c r="G901" s="3">
        <v>41253</v>
      </c>
    </row>
    <row r="902" spans="1:7">
      <c r="A902" s="2" t="s">
        <v>1121</v>
      </c>
      <c r="B902" s="2" t="s">
        <v>2355</v>
      </c>
      <c r="C902" s="2" t="s">
        <v>2119</v>
      </c>
      <c r="D902" s="2">
        <v>1978</v>
      </c>
      <c r="E902" s="2" t="s">
        <v>2120</v>
      </c>
      <c r="F902" s="2" t="s">
        <v>2124</v>
      </c>
      <c r="G902" s="3">
        <v>45433</v>
      </c>
    </row>
    <row r="903" spans="1:7">
      <c r="A903" s="2" t="s">
        <v>658</v>
      </c>
      <c r="B903" s="2" t="s">
        <v>2256</v>
      </c>
      <c r="C903" s="2" t="s">
        <v>2123</v>
      </c>
      <c r="D903" s="2">
        <v>1978</v>
      </c>
      <c r="E903" s="2" t="s">
        <v>2136</v>
      </c>
      <c r="F903" s="2" t="s">
        <v>2121</v>
      </c>
      <c r="G903" s="3">
        <v>42894</v>
      </c>
    </row>
    <row r="904" spans="1:7">
      <c r="A904" s="2" t="s">
        <v>1410</v>
      </c>
      <c r="B904" s="2" t="s">
        <v>2257</v>
      </c>
      <c r="C904" s="2" t="s">
        <v>2123</v>
      </c>
      <c r="D904" s="2">
        <v>1984</v>
      </c>
      <c r="E904" s="2" t="s">
        <v>2120</v>
      </c>
      <c r="F904" s="2" t="s">
        <v>2121</v>
      </c>
      <c r="G904" s="3">
        <v>43248</v>
      </c>
    </row>
    <row r="905" spans="1:7">
      <c r="A905" s="2" t="s">
        <v>34</v>
      </c>
      <c r="B905" s="2" t="s">
        <v>2131</v>
      </c>
      <c r="C905" s="2" t="s">
        <v>2123</v>
      </c>
      <c r="D905" s="2">
        <v>2001</v>
      </c>
      <c r="E905" s="2" t="s">
        <v>2120</v>
      </c>
      <c r="F905" s="2" t="s">
        <v>2124</v>
      </c>
      <c r="G905" s="3">
        <v>45055</v>
      </c>
    </row>
    <row r="906" spans="1:7">
      <c r="A906" s="2" t="s">
        <v>2670</v>
      </c>
      <c r="B906" s="2" t="s">
        <v>2203</v>
      </c>
      <c r="C906" s="2" t="s">
        <v>2123</v>
      </c>
      <c r="D906" s="2">
        <v>1983</v>
      </c>
      <c r="E906" s="2" t="s">
        <v>2120</v>
      </c>
      <c r="F906" s="2" t="s">
        <v>2124</v>
      </c>
      <c r="G906" s="3">
        <v>43224</v>
      </c>
    </row>
    <row r="907" spans="1:7">
      <c r="A907" s="2" t="s">
        <v>1333</v>
      </c>
      <c r="B907" s="2" t="s">
        <v>2189</v>
      </c>
      <c r="C907" s="2" t="s">
        <v>2119</v>
      </c>
      <c r="D907" s="2">
        <v>1970</v>
      </c>
      <c r="E907" s="2" t="s">
        <v>2120</v>
      </c>
      <c r="F907" s="2" t="s">
        <v>2121</v>
      </c>
      <c r="G907" s="3">
        <v>41873</v>
      </c>
    </row>
    <row r="908" spans="1:7">
      <c r="A908" s="2" t="s">
        <v>2671</v>
      </c>
      <c r="B908" s="2" t="s">
        <v>2450</v>
      </c>
      <c r="C908" s="2" t="s">
        <v>2123</v>
      </c>
      <c r="D908" s="2">
        <v>1968</v>
      </c>
      <c r="E908" s="2" t="s">
        <v>2136</v>
      </c>
      <c r="F908" s="2" t="s">
        <v>2121</v>
      </c>
      <c r="G908" s="3">
        <v>42150</v>
      </c>
    </row>
    <row r="909" spans="1:7">
      <c r="A909" s="2" t="s">
        <v>557</v>
      </c>
      <c r="B909" s="2" t="s">
        <v>2143</v>
      </c>
      <c r="C909" s="2" t="s">
        <v>2119</v>
      </c>
      <c r="D909" s="2">
        <v>1997</v>
      </c>
      <c r="E909" s="2" t="s">
        <v>2136</v>
      </c>
      <c r="F909" s="2" t="s">
        <v>2124</v>
      </c>
      <c r="G909" s="3">
        <v>44861</v>
      </c>
    </row>
    <row r="910" spans="1:7">
      <c r="A910" s="2" t="s">
        <v>2672</v>
      </c>
      <c r="B910" s="2" t="s">
        <v>2411</v>
      </c>
      <c r="C910" s="2" t="s">
        <v>2123</v>
      </c>
      <c r="D910" s="2">
        <v>1986</v>
      </c>
      <c r="E910" s="2" t="s">
        <v>2120</v>
      </c>
      <c r="F910" s="2" t="s">
        <v>2124</v>
      </c>
      <c r="G910" s="3">
        <v>43590</v>
      </c>
    </row>
    <row r="911" spans="1:7">
      <c r="A911" s="2" t="s">
        <v>458</v>
      </c>
      <c r="B911" s="2" t="s">
        <v>2250</v>
      </c>
      <c r="C911" s="2" t="s">
        <v>2123</v>
      </c>
      <c r="D911" s="2">
        <v>1970</v>
      </c>
      <c r="E911" s="2" t="s">
        <v>2136</v>
      </c>
      <c r="F911" s="2" t="s">
        <v>2124</v>
      </c>
      <c r="G911" s="3">
        <v>43639</v>
      </c>
    </row>
    <row r="912" spans="1:7">
      <c r="A912" s="2" t="s">
        <v>47</v>
      </c>
      <c r="B912" s="2" t="s">
        <v>2423</v>
      </c>
      <c r="C912" s="2" t="s">
        <v>2119</v>
      </c>
      <c r="D912" s="2">
        <v>1976</v>
      </c>
      <c r="E912" s="2" t="s">
        <v>2120</v>
      </c>
      <c r="F912" s="2" t="s">
        <v>2124</v>
      </c>
      <c r="G912" s="3">
        <v>44685</v>
      </c>
    </row>
    <row r="913" spans="1:7">
      <c r="A913" s="2" t="s">
        <v>137</v>
      </c>
      <c r="B913" s="2" t="s">
        <v>2673</v>
      </c>
      <c r="C913" s="2" t="s">
        <v>2119</v>
      </c>
      <c r="D913" s="2">
        <v>1986</v>
      </c>
      <c r="E913" s="2" t="s">
        <v>2136</v>
      </c>
      <c r="F913" s="2" t="s">
        <v>2124</v>
      </c>
      <c r="G913" s="3">
        <v>40290</v>
      </c>
    </row>
    <row r="914" spans="1:7">
      <c r="A914" s="2" t="s">
        <v>206</v>
      </c>
      <c r="B914" s="2" t="s">
        <v>2361</v>
      </c>
      <c r="C914" s="2" t="s">
        <v>2119</v>
      </c>
      <c r="D914" s="2">
        <v>1975</v>
      </c>
      <c r="E914" s="2" t="s">
        <v>2120</v>
      </c>
      <c r="F914" s="2" t="s">
        <v>2121</v>
      </c>
      <c r="G914" s="3">
        <v>44025</v>
      </c>
    </row>
    <row r="915" spans="1:7">
      <c r="A915" s="2" t="s">
        <v>208</v>
      </c>
      <c r="B915" s="2" t="s">
        <v>2151</v>
      </c>
      <c r="C915" s="2" t="s">
        <v>2119</v>
      </c>
      <c r="D915" s="2">
        <v>1997</v>
      </c>
      <c r="E915" s="2" t="s">
        <v>2120</v>
      </c>
      <c r="F915" s="2" t="s">
        <v>2124</v>
      </c>
      <c r="G915" s="3">
        <v>43786</v>
      </c>
    </row>
    <row r="916" spans="1:7">
      <c r="A916" s="2" t="s">
        <v>1516</v>
      </c>
      <c r="B916" s="2" t="s">
        <v>2355</v>
      </c>
      <c r="C916" s="2" t="s">
        <v>2119</v>
      </c>
      <c r="D916" s="2">
        <v>2000</v>
      </c>
      <c r="E916" s="2" t="s">
        <v>2136</v>
      </c>
      <c r="F916" s="2" t="s">
        <v>2124</v>
      </c>
      <c r="G916" s="3">
        <v>40924</v>
      </c>
    </row>
    <row r="917" spans="1:7">
      <c r="A917" s="2" t="s">
        <v>2674</v>
      </c>
      <c r="B917" s="2" t="s">
        <v>2206</v>
      </c>
      <c r="C917" s="2" t="s">
        <v>2119</v>
      </c>
      <c r="D917" s="2">
        <v>1985</v>
      </c>
      <c r="E917" s="2" t="s">
        <v>2120</v>
      </c>
      <c r="F917" s="2" t="s">
        <v>2124</v>
      </c>
      <c r="G917" s="3">
        <v>45929</v>
      </c>
    </row>
    <row r="918" spans="1:7">
      <c r="A918" s="2" t="s">
        <v>1788</v>
      </c>
      <c r="B918" s="2" t="s">
        <v>2318</v>
      </c>
      <c r="C918" s="2" t="s">
        <v>2119</v>
      </c>
      <c r="D918" s="2">
        <v>1972</v>
      </c>
      <c r="E918" s="2" t="s">
        <v>2120</v>
      </c>
      <c r="F918" s="2" t="s">
        <v>2124</v>
      </c>
      <c r="G918" s="3">
        <v>43224</v>
      </c>
    </row>
    <row r="919" spans="1:7">
      <c r="A919" s="2" t="s">
        <v>2675</v>
      </c>
      <c r="B919" s="2" t="s">
        <v>2456</v>
      </c>
      <c r="C919" s="2" t="s">
        <v>2123</v>
      </c>
      <c r="D919" s="2">
        <v>2000</v>
      </c>
      <c r="E919" s="2" t="s">
        <v>2120</v>
      </c>
      <c r="F919" s="2" t="s">
        <v>2124</v>
      </c>
      <c r="G919" s="3">
        <v>45215</v>
      </c>
    </row>
    <row r="920" spans="1:7">
      <c r="A920" s="2" t="s">
        <v>1326</v>
      </c>
      <c r="B920" s="2" t="s">
        <v>2138</v>
      </c>
      <c r="C920" s="2" t="s">
        <v>2119</v>
      </c>
      <c r="D920" s="2">
        <v>1996</v>
      </c>
      <c r="E920" s="2" t="s">
        <v>2120</v>
      </c>
      <c r="F920" s="2" t="s">
        <v>2121</v>
      </c>
      <c r="G920" s="3">
        <v>41116</v>
      </c>
    </row>
    <row r="921" spans="1:7">
      <c r="A921" s="2" t="s">
        <v>250</v>
      </c>
      <c r="B921" s="2" t="s">
        <v>2333</v>
      </c>
      <c r="C921" s="2" t="s">
        <v>2119</v>
      </c>
      <c r="D921" s="2">
        <v>1980</v>
      </c>
      <c r="E921" s="2" t="s">
        <v>2136</v>
      </c>
      <c r="F921" s="2" t="s">
        <v>2124</v>
      </c>
      <c r="G921" s="3">
        <v>43598</v>
      </c>
    </row>
    <row r="922" spans="1:7">
      <c r="A922" s="2" t="s">
        <v>439</v>
      </c>
      <c r="B922" s="2" t="s">
        <v>2531</v>
      </c>
      <c r="C922" s="2" t="s">
        <v>2119</v>
      </c>
      <c r="D922" s="2">
        <v>1983</v>
      </c>
      <c r="E922" s="2" t="s">
        <v>2120</v>
      </c>
      <c r="F922" s="2" t="s">
        <v>2121</v>
      </c>
      <c r="G922" s="3">
        <v>45624</v>
      </c>
    </row>
    <row r="923" spans="1:7">
      <c r="A923" s="2" t="s">
        <v>762</v>
      </c>
      <c r="B923" s="2" t="s">
        <v>2359</v>
      </c>
      <c r="C923" s="2" t="s">
        <v>2119</v>
      </c>
      <c r="D923" s="2">
        <v>1983</v>
      </c>
      <c r="E923" s="2" t="s">
        <v>2120</v>
      </c>
      <c r="F923" s="2" t="s">
        <v>2121</v>
      </c>
      <c r="G923" s="3">
        <v>43924</v>
      </c>
    </row>
    <row r="924" spans="1:7">
      <c r="A924" s="2" t="s">
        <v>2676</v>
      </c>
      <c r="B924" s="2" t="s">
        <v>2305</v>
      </c>
      <c r="C924" s="2" t="s">
        <v>2119</v>
      </c>
      <c r="D924" s="2">
        <v>1963</v>
      </c>
      <c r="E924" s="2" t="s">
        <v>2120</v>
      </c>
      <c r="F924" s="2" t="s">
        <v>2190</v>
      </c>
      <c r="G924" s="3">
        <v>42806</v>
      </c>
    </row>
    <row r="925" spans="1:7">
      <c r="A925" s="2" t="s">
        <v>324</v>
      </c>
      <c r="B925" s="2" t="s">
        <v>2156</v>
      </c>
      <c r="C925" s="2" t="s">
        <v>2119</v>
      </c>
      <c r="D925" s="2">
        <v>1960</v>
      </c>
      <c r="E925" s="2" t="s">
        <v>2120</v>
      </c>
      <c r="F925" s="2" t="s">
        <v>2121</v>
      </c>
      <c r="G925" s="3">
        <v>44615</v>
      </c>
    </row>
    <row r="926" spans="1:7">
      <c r="A926" s="2" t="s">
        <v>498</v>
      </c>
      <c r="B926" s="2" t="s">
        <v>2235</v>
      </c>
      <c r="C926" s="2" t="s">
        <v>2123</v>
      </c>
      <c r="D926" s="2">
        <v>1973</v>
      </c>
      <c r="E926" s="2" t="s">
        <v>2120</v>
      </c>
      <c r="F926" s="2" t="s">
        <v>2121</v>
      </c>
      <c r="G926" s="3">
        <v>44289</v>
      </c>
    </row>
    <row r="927" spans="1:7">
      <c r="A927" s="2" t="s">
        <v>2677</v>
      </c>
      <c r="B927" s="2" t="s">
        <v>2212</v>
      </c>
      <c r="C927" s="2" t="s">
        <v>2123</v>
      </c>
      <c r="D927" s="2">
        <v>1987</v>
      </c>
      <c r="E927" s="2" t="s">
        <v>2120</v>
      </c>
      <c r="F927" s="2" t="s">
        <v>2124</v>
      </c>
      <c r="G927" s="3">
        <v>41276</v>
      </c>
    </row>
    <row r="928" spans="1:7">
      <c r="A928" s="2" t="s">
        <v>2678</v>
      </c>
      <c r="B928" s="2" t="s">
        <v>2679</v>
      </c>
      <c r="C928" s="2" t="s">
        <v>2119</v>
      </c>
      <c r="D928" s="2">
        <v>1991</v>
      </c>
      <c r="E928" s="2" t="s">
        <v>2120</v>
      </c>
      <c r="F928" s="2" t="s">
        <v>2124</v>
      </c>
      <c r="G928" s="3">
        <v>45738</v>
      </c>
    </row>
    <row r="929" spans="1:7">
      <c r="A929" s="2" t="s">
        <v>1845</v>
      </c>
      <c r="B929" s="2" t="s">
        <v>2407</v>
      </c>
      <c r="C929" s="2" t="s">
        <v>2123</v>
      </c>
      <c r="D929" s="2">
        <v>1985</v>
      </c>
      <c r="E929" s="2" t="s">
        <v>2136</v>
      </c>
      <c r="F929" s="2" t="s">
        <v>2124</v>
      </c>
      <c r="G929" s="3">
        <v>43161</v>
      </c>
    </row>
    <row r="930" spans="1:7">
      <c r="A930" s="2" t="s">
        <v>2680</v>
      </c>
      <c r="B930" s="2" t="s">
        <v>2182</v>
      </c>
      <c r="C930" s="2" t="s">
        <v>2119</v>
      </c>
      <c r="D930" s="2">
        <v>2003</v>
      </c>
      <c r="E930" s="2" t="s">
        <v>2136</v>
      </c>
      <c r="F930" s="2" t="s">
        <v>2121</v>
      </c>
      <c r="G930" s="3">
        <v>41051</v>
      </c>
    </row>
    <row r="931" spans="1:7">
      <c r="A931" s="2" t="s">
        <v>1028</v>
      </c>
      <c r="B931" s="2" t="s">
        <v>2129</v>
      </c>
      <c r="C931" s="2" t="s">
        <v>2123</v>
      </c>
      <c r="D931" s="2">
        <v>2002</v>
      </c>
      <c r="E931" s="2" t="s">
        <v>2136</v>
      </c>
      <c r="F931" s="2" t="s">
        <v>2121</v>
      </c>
      <c r="G931" s="3">
        <v>42370</v>
      </c>
    </row>
    <row r="932" spans="1:7">
      <c r="A932" s="2" t="s">
        <v>2068</v>
      </c>
      <c r="B932" s="2" t="s">
        <v>2681</v>
      </c>
      <c r="C932" s="2" t="s">
        <v>2123</v>
      </c>
      <c r="D932" s="2">
        <v>2001</v>
      </c>
      <c r="E932" s="2" t="s">
        <v>2136</v>
      </c>
      <c r="F932" s="2" t="s">
        <v>2124</v>
      </c>
      <c r="G932" s="3">
        <v>45246</v>
      </c>
    </row>
    <row r="933" spans="1:7">
      <c r="A933" s="2" t="s">
        <v>1464</v>
      </c>
      <c r="B933" s="2" t="s">
        <v>2525</v>
      </c>
      <c r="C933" s="2" t="s">
        <v>2119</v>
      </c>
      <c r="D933" s="2">
        <v>1999</v>
      </c>
      <c r="E933" s="2" t="s">
        <v>2136</v>
      </c>
      <c r="F933" s="2" t="s">
        <v>2124</v>
      </c>
      <c r="G933" s="3">
        <v>41673</v>
      </c>
    </row>
    <row r="934" spans="1:7">
      <c r="A934" s="2" t="s">
        <v>2682</v>
      </c>
      <c r="B934" s="2" t="s">
        <v>2218</v>
      </c>
      <c r="C934" s="2" t="s">
        <v>2119</v>
      </c>
      <c r="D934" s="2">
        <v>1980</v>
      </c>
      <c r="E934" s="2" t="s">
        <v>2120</v>
      </c>
      <c r="F934" s="2" t="s">
        <v>2124</v>
      </c>
      <c r="G934" s="3">
        <v>40720</v>
      </c>
    </row>
    <row r="935" spans="1:7">
      <c r="A935" s="2" t="s">
        <v>2683</v>
      </c>
      <c r="B935" s="2" t="s">
        <v>2304</v>
      </c>
      <c r="C935" s="2" t="s">
        <v>2123</v>
      </c>
      <c r="D935" s="2">
        <v>1995</v>
      </c>
      <c r="E935" s="2" t="s">
        <v>2120</v>
      </c>
      <c r="F935" s="2" t="s">
        <v>2121</v>
      </c>
      <c r="G935" s="3">
        <v>45680</v>
      </c>
    </row>
    <row r="936" spans="1:7">
      <c r="A936" s="2" t="s">
        <v>1187</v>
      </c>
      <c r="B936" s="2" t="s">
        <v>2137</v>
      </c>
      <c r="C936" s="2" t="s">
        <v>2119</v>
      </c>
      <c r="D936" s="2">
        <v>2001</v>
      </c>
      <c r="E936" s="2" t="s">
        <v>2136</v>
      </c>
      <c r="F936" s="2" t="s">
        <v>2190</v>
      </c>
      <c r="G936" s="3">
        <v>43785</v>
      </c>
    </row>
    <row r="937" spans="1:7">
      <c r="A937" s="2" t="s">
        <v>1505</v>
      </c>
      <c r="B937" s="2" t="s">
        <v>2415</v>
      </c>
      <c r="C937" s="2" t="s">
        <v>2119</v>
      </c>
      <c r="D937" s="2">
        <v>2002</v>
      </c>
      <c r="E937" s="2" t="s">
        <v>2136</v>
      </c>
      <c r="F937" s="2" t="s">
        <v>2121</v>
      </c>
      <c r="G937" s="3">
        <v>42043</v>
      </c>
    </row>
    <row r="938" spans="1:7">
      <c r="A938" s="2" t="s">
        <v>1442</v>
      </c>
      <c r="B938" s="2" t="s">
        <v>2337</v>
      </c>
      <c r="C938" s="2" t="s">
        <v>2123</v>
      </c>
      <c r="D938" s="2">
        <v>1989</v>
      </c>
      <c r="E938" s="2" t="s">
        <v>2120</v>
      </c>
      <c r="F938" s="2" t="s">
        <v>2121</v>
      </c>
      <c r="G938" s="3">
        <v>41354</v>
      </c>
    </row>
    <row r="939" spans="1:7">
      <c r="A939" s="2" t="s">
        <v>2684</v>
      </c>
      <c r="B939" s="2" t="s">
        <v>2230</v>
      </c>
      <c r="C939" s="2" t="s">
        <v>2119</v>
      </c>
      <c r="D939" s="2">
        <v>1997</v>
      </c>
      <c r="E939" s="2" t="s">
        <v>2120</v>
      </c>
      <c r="F939" s="2" t="s">
        <v>2124</v>
      </c>
      <c r="G939" s="3">
        <v>41984</v>
      </c>
    </row>
    <row r="940" spans="1:7">
      <c r="A940" s="2" t="s">
        <v>19</v>
      </c>
      <c r="B940" s="2" t="s">
        <v>2193</v>
      </c>
      <c r="C940" s="2" t="s">
        <v>2119</v>
      </c>
      <c r="D940" s="2">
        <v>2003</v>
      </c>
      <c r="E940" s="2" t="s">
        <v>2120</v>
      </c>
      <c r="F940" s="2" t="s">
        <v>2124</v>
      </c>
      <c r="G940" s="3">
        <v>42682</v>
      </c>
    </row>
    <row r="941" spans="1:7">
      <c r="A941" s="2" t="s">
        <v>854</v>
      </c>
      <c r="B941" s="2" t="s">
        <v>2456</v>
      </c>
      <c r="C941" s="2" t="s">
        <v>2123</v>
      </c>
      <c r="D941" s="2">
        <v>1968</v>
      </c>
      <c r="E941" s="2" t="s">
        <v>2120</v>
      </c>
      <c r="F941" s="2" t="s">
        <v>2121</v>
      </c>
      <c r="G941" s="3">
        <v>43959</v>
      </c>
    </row>
    <row r="942" spans="1:7">
      <c r="A942" s="2" t="s">
        <v>433</v>
      </c>
      <c r="B942" s="2" t="s">
        <v>2442</v>
      </c>
      <c r="C942" s="2" t="s">
        <v>2119</v>
      </c>
      <c r="D942" s="2">
        <v>1986</v>
      </c>
      <c r="E942" s="2" t="s">
        <v>2120</v>
      </c>
      <c r="F942" s="2" t="s">
        <v>2121</v>
      </c>
      <c r="G942" s="3">
        <v>45978</v>
      </c>
    </row>
    <row r="943" spans="1:7">
      <c r="A943" s="2" t="s">
        <v>903</v>
      </c>
      <c r="B943" s="2" t="s">
        <v>2461</v>
      </c>
      <c r="C943" s="2" t="s">
        <v>2119</v>
      </c>
      <c r="D943" s="2">
        <v>1972</v>
      </c>
      <c r="E943" s="2" t="s">
        <v>2120</v>
      </c>
      <c r="F943" s="2" t="s">
        <v>2190</v>
      </c>
      <c r="G943" s="3">
        <v>43505</v>
      </c>
    </row>
    <row r="944" spans="1:7">
      <c r="A944" s="2" t="s">
        <v>2066</v>
      </c>
      <c r="B944" s="2" t="s">
        <v>2685</v>
      </c>
      <c r="C944" s="2" t="s">
        <v>2123</v>
      </c>
      <c r="D944" s="2">
        <v>2002</v>
      </c>
      <c r="E944" s="2" t="s">
        <v>2120</v>
      </c>
      <c r="F944" s="2" t="s">
        <v>2124</v>
      </c>
      <c r="G944" s="3">
        <v>41799</v>
      </c>
    </row>
    <row r="945" spans="1:7">
      <c r="A945" s="2" t="s">
        <v>2686</v>
      </c>
      <c r="B945" s="2" t="s">
        <v>2339</v>
      </c>
      <c r="C945" s="2" t="s">
        <v>2123</v>
      </c>
      <c r="D945" s="2">
        <v>1989</v>
      </c>
      <c r="E945" s="2" t="s">
        <v>2136</v>
      </c>
      <c r="F945" s="2" t="s">
        <v>2124</v>
      </c>
      <c r="G945" s="3">
        <v>43034</v>
      </c>
    </row>
    <row r="946" spans="1:7">
      <c r="A946" s="2" t="s">
        <v>1129</v>
      </c>
      <c r="B946" s="2" t="s">
        <v>2147</v>
      </c>
      <c r="C946" s="2" t="s">
        <v>2123</v>
      </c>
      <c r="D946" s="2">
        <v>1978</v>
      </c>
      <c r="E946" s="2" t="s">
        <v>2120</v>
      </c>
      <c r="F946" s="2" t="s">
        <v>2121</v>
      </c>
      <c r="G946" s="3">
        <v>42765</v>
      </c>
    </row>
    <row r="947" spans="1:7">
      <c r="A947" s="2" t="s">
        <v>224</v>
      </c>
      <c r="B947" s="2" t="s">
        <v>2617</v>
      </c>
      <c r="C947" s="2" t="s">
        <v>2123</v>
      </c>
      <c r="D947" s="2">
        <v>1997</v>
      </c>
      <c r="E947" s="2" t="s">
        <v>2120</v>
      </c>
      <c r="F947" s="2" t="s">
        <v>2121</v>
      </c>
      <c r="G947" s="3">
        <v>44702</v>
      </c>
    </row>
    <row r="948" spans="1:7">
      <c r="A948" s="2" t="s">
        <v>1593</v>
      </c>
      <c r="B948" s="2" t="s">
        <v>2687</v>
      </c>
      <c r="C948" s="2" t="s">
        <v>2123</v>
      </c>
      <c r="D948" s="2">
        <v>1997</v>
      </c>
      <c r="E948" s="2" t="s">
        <v>2120</v>
      </c>
      <c r="F948" s="2" t="s">
        <v>2121</v>
      </c>
      <c r="G948" s="3">
        <v>45734</v>
      </c>
    </row>
    <row r="949" spans="1:7">
      <c r="A949" s="2" t="s">
        <v>991</v>
      </c>
      <c r="B949" s="2" t="s">
        <v>2394</v>
      </c>
      <c r="C949" s="2" t="s">
        <v>2119</v>
      </c>
      <c r="D949" s="2">
        <v>1999</v>
      </c>
      <c r="E949" s="2" t="s">
        <v>2136</v>
      </c>
      <c r="F949" s="2" t="s">
        <v>2124</v>
      </c>
      <c r="G949" s="3">
        <v>41004</v>
      </c>
    </row>
    <row r="950" spans="1:7">
      <c r="A950" s="2" t="s">
        <v>2688</v>
      </c>
      <c r="B950" s="2" t="s">
        <v>2291</v>
      </c>
      <c r="C950" s="2" t="s">
        <v>2119</v>
      </c>
      <c r="D950" s="2">
        <v>1987</v>
      </c>
      <c r="E950" s="2" t="s">
        <v>2120</v>
      </c>
      <c r="F950" s="2" t="s">
        <v>2124</v>
      </c>
      <c r="G950" s="3">
        <v>43734</v>
      </c>
    </row>
    <row r="951" spans="1:7">
      <c r="A951" s="2" t="s">
        <v>1571</v>
      </c>
      <c r="B951" s="2" t="s">
        <v>2290</v>
      </c>
      <c r="C951" s="2" t="s">
        <v>2119</v>
      </c>
      <c r="D951" s="2">
        <v>1968</v>
      </c>
      <c r="E951" s="2" t="s">
        <v>2136</v>
      </c>
      <c r="F951" s="2" t="s">
        <v>2121</v>
      </c>
      <c r="G951" s="3">
        <v>41499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L1330"/>
  <sheetViews>
    <sheetView workbookViewId="0">
      <pane ySplit="1" topLeftCell="A2" activePane="bottomLeft" state="frozen"/>
      <selection pane="bottomLeft" activeCell="M1" sqref="M1"/>
    </sheetView>
  </sheetViews>
  <sheetFormatPr defaultRowHeight="14.5"/>
  <cols>
    <col min="1" max="1" width="11" customWidth="1"/>
    <col min="2" max="2" width="15" customWidth="1"/>
    <col min="3" max="3" width="11" customWidth="1"/>
    <col min="4" max="4" width="13" customWidth="1"/>
    <col min="5" max="5" width="19" customWidth="1"/>
    <col min="6" max="6" width="12" customWidth="1"/>
    <col min="7" max="7" width="13" customWidth="1"/>
    <col min="8" max="8" width="11" customWidth="1"/>
    <col min="9" max="9" width="12" customWidth="1"/>
    <col min="10" max="10" width="13" customWidth="1"/>
    <col min="11" max="11" width="10" customWidth="1"/>
    <col min="12" max="12" width="14"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s="3">
        <v>46023</v>
      </c>
      <c r="C2" s="2" t="s">
        <v>13</v>
      </c>
      <c r="D2" s="2" t="s">
        <v>14</v>
      </c>
      <c r="E2" s="2" t="s">
        <v>15</v>
      </c>
      <c r="F2" s="2" t="s">
        <v>3</v>
      </c>
      <c r="G2" s="4">
        <v>25000</v>
      </c>
      <c r="H2" s="5">
        <v>5.8299999999999998E-2</v>
      </c>
      <c r="I2" s="2">
        <v>12</v>
      </c>
      <c r="J2" s="2" t="s">
        <v>16</v>
      </c>
      <c r="K2" s="2" t="s">
        <v>17</v>
      </c>
      <c r="L2" s="3">
        <v>46030</v>
      </c>
    </row>
    <row r="3" spans="1:12">
      <c r="A3" s="2" t="s">
        <v>18</v>
      </c>
      <c r="B3" s="3">
        <v>46023</v>
      </c>
      <c r="C3" s="2" t="s">
        <v>19</v>
      </c>
      <c r="D3" s="2" t="s">
        <v>20</v>
      </c>
      <c r="E3" s="2" t="s">
        <v>21</v>
      </c>
      <c r="F3" s="2" t="s">
        <v>3</v>
      </c>
      <c r="G3" s="4">
        <v>122900</v>
      </c>
      <c r="H3" s="5">
        <v>3.7499999999999999E-2</v>
      </c>
      <c r="I3" s="2">
        <v>120</v>
      </c>
      <c r="J3" s="2" t="s">
        <v>22</v>
      </c>
      <c r="K3" s="2" t="s">
        <v>17</v>
      </c>
      <c r="L3" s="3">
        <v>46036</v>
      </c>
    </row>
    <row r="4" spans="1:12">
      <c r="A4" s="2" t="s">
        <v>23</v>
      </c>
      <c r="B4" s="3">
        <v>46023</v>
      </c>
      <c r="C4" s="2" t="s">
        <v>24</v>
      </c>
      <c r="D4" s="2" t="s">
        <v>25</v>
      </c>
      <c r="E4" s="2" t="s">
        <v>15</v>
      </c>
      <c r="F4" s="2" t="s">
        <v>3</v>
      </c>
      <c r="G4" s="4">
        <v>23200</v>
      </c>
      <c r="H4" s="5">
        <v>6.8199999999999997E-2</v>
      </c>
      <c r="I4" s="2">
        <v>12</v>
      </c>
      <c r="J4" s="2" t="s">
        <v>26</v>
      </c>
      <c r="K4" s="2" t="s">
        <v>17</v>
      </c>
      <c r="L4" s="3">
        <v>46030</v>
      </c>
    </row>
    <row r="5" spans="1:12">
      <c r="A5" s="2" t="s">
        <v>27</v>
      </c>
      <c r="B5" s="3">
        <v>46023</v>
      </c>
      <c r="C5" s="2" t="s">
        <v>28</v>
      </c>
      <c r="D5" s="2" t="s">
        <v>29</v>
      </c>
      <c r="E5" s="2" t="s">
        <v>30</v>
      </c>
      <c r="F5" s="2" t="s">
        <v>31</v>
      </c>
      <c r="G5" s="4">
        <v>11600</v>
      </c>
      <c r="H5" s="5">
        <v>4.41E-2</v>
      </c>
      <c r="I5" s="2">
        <v>48</v>
      </c>
      <c r="J5" s="2" t="s">
        <v>32</v>
      </c>
      <c r="K5" s="2" t="s">
        <v>17</v>
      </c>
      <c r="L5" s="3">
        <v>46025</v>
      </c>
    </row>
    <row r="6" spans="1:12">
      <c r="A6" s="2" t="s">
        <v>33</v>
      </c>
      <c r="B6" s="3">
        <v>46023</v>
      </c>
      <c r="C6" s="2" t="s">
        <v>34</v>
      </c>
      <c r="D6" s="2" t="s">
        <v>25</v>
      </c>
      <c r="E6" s="2" t="s">
        <v>15</v>
      </c>
      <c r="F6" s="2" t="s">
        <v>31</v>
      </c>
      <c r="G6" s="4">
        <v>24300</v>
      </c>
      <c r="H6" s="5">
        <v>6.25E-2</v>
      </c>
      <c r="I6" s="2">
        <v>60</v>
      </c>
      <c r="J6" s="2" t="s">
        <v>26</v>
      </c>
      <c r="K6" s="2" t="s">
        <v>17</v>
      </c>
      <c r="L6" s="3">
        <v>46028</v>
      </c>
    </row>
    <row r="7" spans="1:12">
      <c r="A7" s="2" t="s">
        <v>35</v>
      </c>
      <c r="B7" s="3">
        <v>46023</v>
      </c>
      <c r="C7" s="2" t="s">
        <v>36</v>
      </c>
      <c r="D7" s="2" t="s">
        <v>20</v>
      </c>
      <c r="E7" s="2" t="s">
        <v>15</v>
      </c>
      <c r="F7" s="2" t="s">
        <v>3</v>
      </c>
      <c r="G7" s="4">
        <v>10600</v>
      </c>
      <c r="H7" s="5">
        <v>0.06</v>
      </c>
      <c r="I7" s="2">
        <v>36</v>
      </c>
      <c r="J7" s="2" t="s">
        <v>37</v>
      </c>
      <c r="K7" s="2" t="s">
        <v>17</v>
      </c>
      <c r="L7" s="3">
        <v>46025</v>
      </c>
    </row>
    <row r="8" spans="1:12">
      <c r="A8" s="2" t="s">
        <v>38</v>
      </c>
      <c r="B8" s="3">
        <v>46024</v>
      </c>
      <c r="C8" s="2" t="s">
        <v>39</v>
      </c>
      <c r="D8" s="2" t="s">
        <v>14</v>
      </c>
      <c r="E8" s="2" t="s">
        <v>15</v>
      </c>
      <c r="F8" s="2" t="s">
        <v>3</v>
      </c>
      <c r="G8" s="4">
        <v>20300</v>
      </c>
      <c r="H8" s="5">
        <v>6.3799999999999996E-2</v>
      </c>
      <c r="I8" s="2">
        <v>12</v>
      </c>
      <c r="J8" s="2" t="s">
        <v>40</v>
      </c>
      <c r="K8" s="2" t="s">
        <v>17</v>
      </c>
      <c r="L8" s="3">
        <v>46025</v>
      </c>
    </row>
    <row r="9" spans="1:12">
      <c r="A9" s="2" t="s">
        <v>41</v>
      </c>
      <c r="B9" s="3">
        <v>46024</v>
      </c>
      <c r="C9" s="2" t="s">
        <v>42</v>
      </c>
      <c r="D9" s="2" t="s">
        <v>20</v>
      </c>
      <c r="E9" s="2" t="s">
        <v>43</v>
      </c>
      <c r="F9" s="2" t="s">
        <v>3</v>
      </c>
      <c r="G9" s="4">
        <v>55100</v>
      </c>
      <c r="H9" s="5">
        <v>7.5999999999999998E-2</v>
      </c>
      <c r="I9" s="2">
        <v>84</v>
      </c>
      <c r="J9" s="2" t="s">
        <v>44</v>
      </c>
      <c r="K9" s="2" t="s">
        <v>45</v>
      </c>
      <c r="L9" s="3">
        <v>46041</v>
      </c>
    </row>
    <row r="10" spans="1:12">
      <c r="A10" s="2" t="s">
        <v>46</v>
      </c>
      <c r="B10" s="3">
        <v>46024</v>
      </c>
      <c r="C10" s="2" t="s">
        <v>47</v>
      </c>
      <c r="D10" s="2" t="s">
        <v>14</v>
      </c>
      <c r="E10" s="2" t="s">
        <v>15</v>
      </c>
      <c r="F10" s="2" t="s">
        <v>3</v>
      </c>
      <c r="G10" s="4">
        <v>2000</v>
      </c>
      <c r="H10" s="5">
        <v>5.5199999999999999E-2</v>
      </c>
      <c r="I10" s="2">
        <v>24</v>
      </c>
      <c r="J10" s="2" t="s">
        <v>48</v>
      </c>
      <c r="K10" s="2" t="s">
        <v>17</v>
      </c>
      <c r="L10" s="3">
        <v>46031</v>
      </c>
    </row>
    <row r="11" spans="1:12">
      <c r="A11" s="2" t="s">
        <v>49</v>
      </c>
      <c r="B11" s="3">
        <v>46024</v>
      </c>
      <c r="C11" s="2" t="s">
        <v>50</v>
      </c>
      <c r="D11" s="2" t="s">
        <v>20</v>
      </c>
      <c r="E11" s="2" t="s">
        <v>51</v>
      </c>
      <c r="F11" s="2" t="s">
        <v>31</v>
      </c>
      <c r="G11" s="4">
        <v>10600</v>
      </c>
      <c r="H11" s="5">
        <v>4.7199999999999999E-2</v>
      </c>
      <c r="I11" s="2">
        <v>36</v>
      </c>
      <c r="J11" s="2" t="s">
        <v>37</v>
      </c>
      <c r="K11" s="2" t="s">
        <v>17</v>
      </c>
      <c r="L11" s="3">
        <v>46028</v>
      </c>
    </row>
    <row r="12" spans="1:12">
      <c r="A12" s="2" t="s">
        <v>52</v>
      </c>
      <c r="B12" s="3">
        <v>46025</v>
      </c>
      <c r="C12" s="2" t="s">
        <v>53</v>
      </c>
      <c r="D12" s="2" t="s">
        <v>54</v>
      </c>
      <c r="E12" s="2" t="s">
        <v>30</v>
      </c>
      <c r="F12" s="2" t="s">
        <v>55</v>
      </c>
      <c r="G12" s="4">
        <v>9600</v>
      </c>
      <c r="H12" s="5">
        <v>4.2000000000000003E-2</v>
      </c>
      <c r="I12" s="2">
        <v>36</v>
      </c>
      <c r="J12" s="2" t="s">
        <v>56</v>
      </c>
      <c r="K12" s="2" t="s">
        <v>17</v>
      </c>
      <c r="L12" s="3">
        <v>46029</v>
      </c>
    </row>
    <row r="13" spans="1:12">
      <c r="A13" s="2" t="s">
        <v>57</v>
      </c>
      <c r="B13" s="3">
        <v>46025</v>
      </c>
      <c r="C13" s="2" t="s">
        <v>58</v>
      </c>
      <c r="D13" s="2" t="s">
        <v>20</v>
      </c>
      <c r="E13" s="2" t="s">
        <v>15</v>
      </c>
      <c r="F13" s="2" t="s">
        <v>3</v>
      </c>
      <c r="G13" s="4">
        <v>12700</v>
      </c>
      <c r="H13" s="5">
        <v>5.4600000000000003E-2</v>
      </c>
      <c r="I13" s="2">
        <v>24</v>
      </c>
      <c r="J13" s="2" t="s">
        <v>22</v>
      </c>
      <c r="K13" s="2" t="s">
        <v>17</v>
      </c>
      <c r="L13" s="3">
        <v>46031</v>
      </c>
    </row>
    <row r="14" spans="1:12">
      <c r="A14" s="2" t="s">
        <v>59</v>
      </c>
      <c r="B14" s="3">
        <v>46025</v>
      </c>
      <c r="C14" s="2" t="s">
        <v>60</v>
      </c>
      <c r="D14" s="2" t="s">
        <v>29</v>
      </c>
      <c r="E14" s="2" t="s">
        <v>15</v>
      </c>
      <c r="F14" s="2" t="s">
        <v>3</v>
      </c>
      <c r="G14" s="4">
        <v>12300</v>
      </c>
      <c r="H14" s="5">
        <v>6.1800000000000001E-2</v>
      </c>
      <c r="I14" s="2">
        <v>60</v>
      </c>
      <c r="J14" s="2" t="s">
        <v>61</v>
      </c>
      <c r="K14" s="2" t="s">
        <v>17</v>
      </c>
      <c r="L14" s="3">
        <v>46027</v>
      </c>
    </row>
    <row r="15" spans="1:12">
      <c r="A15" s="2" t="s">
        <v>62</v>
      </c>
      <c r="B15" s="3">
        <v>46026</v>
      </c>
      <c r="C15" s="2" t="s">
        <v>63</v>
      </c>
      <c r="D15" s="2" t="s">
        <v>20</v>
      </c>
      <c r="E15" s="2" t="s">
        <v>43</v>
      </c>
      <c r="F15" s="2" t="s">
        <v>31</v>
      </c>
      <c r="G15" s="4">
        <v>110700</v>
      </c>
      <c r="H15" s="5">
        <v>7.9200000000000007E-2</v>
      </c>
      <c r="I15" s="2">
        <v>84</v>
      </c>
      <c r="J15" s="2" t="s">
        <v>22</v>
      </c>
      <c r="K15" s="2" t="s">
        <v>45</v>
      </c>
      <c r="L15" s="3">
        <v>46041</v>
      </c>
    </row>
    <row r="16" spans="1:12">
      <c r="A16" s="2" t="s">
        <v>64</v>
      </c>
      <c r="B16" s="3">
        <v>46026</v>
      </c>
      <c r="C16" s="2" t="s">
        <v>65</v>
      </c>
      <c r="D16" s="2" t="s">
        <v>25</v>
      </c>
      <c r="E16" s="2" t="s">
        <v>30</v>
      </c>
      <c r="F16" s="2" t="s">
        <v>3</v>
      </c>
      <c r="G16" s="4">
        <v>7400</v>
      </c>
      <c r="H16" s="5">
        <v>3.85E-2</v>
      </c>
      <c r="I16" s="2">
        <v>60</v>
      </c>
      <c r="J16" s="2" t="s">
        <v>66</v>
      </c>
      <c r="K16" s="2" t="s">
        <v>45</v>
      </c>
      <c r="L16" s="3">
        <v>46030</v>
      </c>
    </row>
    <row r="17" spans="1:12">
      <c r="A17" s="2" t="s">
        <v>67</v>
      </c>
      <c r="B17" s="3">
        <v>46026</v>
      </c>
      <c r="C17" s="2" t="s">
        <v>68</v>
      </c>
      <c r="D17" s="2" t="s">
        <v>20</v>
      </c>
      <c r="E17" s="2" t="s">
        <v>15</v>
      </c>
      <c r="F17" s="2" t="s">
        <v>3</v>
      </c>
      <c r="G17" s="4">
        <v>12300</v>
      </c>
      <c r="H17" s="5">
        <v>5.6099999999999997E-2</v>
      </c>
      <c r="I17" s="2">
        <v>12</v>
      </c>
      <c r="J17" s="2" t="s">
        <v>44</v>
      </c>
      <c r="K17" s="2" t="s">
        <v>17</v>
      </c>
      <c r="L17" s="3">
        <v>46033</v>
      </c>
    </row>
    <row r="18" spans="1:12">
      <c r="A18" s="2" t="s">
        <v>69</v>
      </c>
      <c r="B18" s="3">
        <v>46026</v>
      </c>
      <c r="C18" s="2" t="s">
        <v>70</v>
      </c>
      <c r="D18" s="2" t="s">
        <v>71</v>
      </c>
      <c r="E18" s="2" t="s">
        <v>15</v>
      </c>
      <c r="F18" s="2" t="s">
        <v>31</v>
      </c>
      <c r="G18" s="4">
        <v>3000</v>
      </c>
      <c r="H18" s="5">
        <v>6.3899999999999998E-2</v>
      </c>
      <c r="I18" s="2">
        <v>24</v>
      </c>
      <c r="J18" s="2" t="s">
        <v>72</v>
      </c>
      <c r="K18" s="2" t="s">
        <v>17</v>
      </c>
      <c r="L18" s="3">
        <v>46029</v>
      </c>
    </row>
    <row r="19" spans="1:12">
      <c r="A19" s="2" t="s">
        <v>73</v>
      </c>
      <c r="B19" s="3">
        <v>46026</v>
      </c>
      <c r="C19" s="2" t="s">
        <v>74</v>
      </c>
      <c r="D19" s="2" t="s">
        <v>25</v>
      </c>
      <c r="E19" s="2" t="s">
        <v>43</v>
      </c>
      <c r="F19" s="2" t="s">
        <v>3</v>
      </c>
      <c r="G19" s="4">
        <v>148100</v>
      </c>
      <c r="H19" s="5">
        <v>7.5600000000000001E-2</v>
      </c>
      <c r="I19" s="2">
        <v>24</v>
      </c>
      <c r="J19" s="2" t="s">
        <v>66</v>
      </c>
      <c r="K19" s="2" t="s">
        <v>45</v>
      </c>
      <c r="L19" s="3">
        <v>46043</v>
      </c>
    </row>
    <row r="20" spans="1:12">
      <c r="A20" s="2" t="s">
        <v>75</v>
      </c>
      <c r="B20" s="3">
        <v>46027</v>
      </c>
      <c r="C20" s="2" t="s">
        <v>76</v>
      </c>
      <c r="D20" s="2" t="s">
        <v>71</v>
      </c>
      <c r="E20" s="2" t="s">
        <v>43</v>
      </c>
      <c r="F20" s="2" t="s">
        <v>3</v>
      </c>
      <c r="G20" s="4">
        <v>77100</v>
      </c>
      <c r="H20" s="5">
        <v>7.7200000000000005E-2</v>
      </c>
      <c r="I20" s="2">
        <v>84</v>
      </c>
      <c r="J20" s="2" t="s">
        <v>72</v>
      </c>
      <c r="K20" s="2" t="s">
        <v>45</v>
      </c>
      <c r="L20" s="3">
        <v>46036</v>
      </c>
    </row>
    <row r="21" spans="1:12">
      <c r="A21" s="2" t="s">
        <v>77</v>
      </c>
      <c r="B21" s="3">
        <v>46027</v>
      </c>
      <c r="C21" s="2" t="s">
        <v>78</v>
      </c>
      <c r="D21" s="2" t="s">
        <v>29</v>
      </c>
      <c r="E21" s="2" t="s">
        <v>43</v>
      </c>
      <c r="F21" s="2" t="s">
        <v>3</v>
      </c>
      <c r="G21" s="4">
        <v>38400</v>
      </c>
      <c r="H21" s="5">
        <v>6.3100000000000003E-2</v>
      </c>
      <c r="I21" s="2">
        <v>24</v>
      </c>
      <c r="J21" s="2" t="s">
        <v>61</v>
      </c>
      <c r="K21" s="2" t="s">
        <v>17</v>
      </c>
      <c r="L21" s="3">
        <v>46035</v>
      </c>
    </row>
    <row r="22" spans="1:12">
      <c r="A22" s="2" t="s">
        <v>79</v>
      </c>
      <c r="B22" s="3">
        <v>46027</v>
      </c>
      <c r="C22" s="2" t="s">
        <v>80</v>
      </c>
      <c r="D22" s="2" t="s">
        <v>20</v>
      </c>
      <c r="E22" s="2" t="s">
        <v>43</v>
      </c>
      <c r="F22" s="2" t="s">
        <v>3</v>
      </c>
      <c r="G22" s="4">
        <v>55100</v>
      </c>
      <c r="H22" s="5">
        <v>7.7100000000000002E-2</v>
      </c>
      <c r="I22" s="2">
        <v>60</v>
      </c>
      <c r="J22" s="2" t="s">
        <v>44</v>
      </c>
      <c r="K22" s="2" t="s">
        <v>45</v>
      </c>
      <c r="L22" s="3">
        <v>46038</v>
      </c>
    </row>
    <row r="23" spans="1:12">
      <c r="A23" s="2" t="s">
        <v>81</v>
      </c>
      <c r="B23" s="3">
        <v>46027</v>
      </c>
      <c r="C23" s="2" t="s">
        <v>82</v>
      </c>
      <c r="D23" s="2" t="s">
        <v>14</v>
      </c>
      <c r="E23" s="2" t="s">
        <v>43</v>
      </c>
      <c r="F23" s="2" t="s">
        <v>3</v>
      </c>
      <c r="G23" s="2"/>
      <c r="H23" s="5">
        <v>6.9400000000000003E-2</v>
      </c>
      <c r="I23" s="2">
        <v>36</v>
      </c>
      <c r="J23" s="2" t="s">
        <v>40</v>
      </c>
      <c r="K23" s="2" t="s">
        <v>17</v>
      </c>
      <c r="L23" s="3">
        <v>46034</v>
      </c>
    </row>
    <row r="24" spans="1:12">
      <c r="A24" s="2" t="s">
        <v>83</v>
      </c>
      <c r="B24" s="3">
        <v>46027</v>
      </c>
      <c r="C24" s="2" t="s">
        <v>84</v>
      </c>
      <c r="D24" s="2" t="s">
        <v>20</v>
      </c>
      <c r="E24" s="2" t="s">
        <v>43</v>
      </c>
      <c r="F24" s="2" t="s">
        <v>3</v>
      </c>
      <c r="G24" s="4">
        <v>62100</v>
      </c>
      <c r="H24" s="5">
        <v>5.6500000000000002E-2</v>
      </c>
      <c r="I24" s="2">
        <v>36</v>
      </c>
      <c r="J24" s="2" t="s">
        <v>44</v>
      </c>
      <c r="K24" s="2" t="s">
        <v>45</v>
      </c>
      <c r="L24" s="3">
        <v>46047</v>
      </c>
    </row>
    <row r="25" spans="1:12">
      <c r="A25" s="2" t="s">
        <v>85</v>
      </c>
      <c r="B25" s="3">
        <v>46028</v>
      </c>
      <c r="C25" s="2" t="s">
        <v>86</v>
      </c>
      <c r="D25" s="2" t="s">
        <v>20</v>
      </c>
      <c r="E25" s="2" t="s">
        <v>87</v>
      </c>
      <c r="F25" s="2" t="s">
        <v>3</v>
      </c>
      <c r="G25" s="4">
        <v>8900</v>
      </c>
      <c r="H25" s="5">
        <v>5.5500000000000001E-2</v>
      </c>
      <c r="I25" s="2">
        <v>12</v>
      </c>
      <c r="J25" s="2" t="s">
        <v>22</v>
      </c>
      <c r="K25" s="2" t="s">
        <v>17</v>
      </c>
      <c r="L25" s="3">
        <v>46029</v>
      </c>
    </row>
    <row r="26" spans="1:12">
      <c r="A26" s="2" t="s">
        <v>88</v>
      </c>
      <c r="B26" s="3">
        <v>46028</v>
      </c>
      <c r="C26" s="2" t="s">
        <v>89</v>
      </c>
      <c r="D26" s="2" t="s">
        <v>20</v>
      </c>
      <c r="E26" s="2" t="s">
        <v>30</v>
      </c>
      <c r="F26" s="2" t="s">
        <v>3</v>
      </c>
      <c r="G26" s="4">
        <v>13400</v>
      </c>
      <c r="H26" s="5">
        <v>3.5299999999999998E-2</v>
      </c>
      <c r="I26" s="2">
        <v>48</v>
      </c>
      <c r="J26" s="2" t="s">
        <v>37</v>
      </c>
      <c r="K26" s="2" t="s">
        <v>45</v>
      </c>
      <c r="L26" s="3">
        <v>46030</v>
      </c>
    </row>
    <row r="27" spans="1:12">
      <c r="A27" s="2" t="s">
        <v>90</v>
      </c>
      <c r="B27" s="3">
        <v>46028</v>
      </c>
      <c r="C27" s="2" t="s">
        <v>91</v>
      </c>
      <c r="D27" s="2" t="s">
        <v>54</v>
      </c>
      <c r="E27" s="2" t="s">
        <v>21</v>
      </c>
      <c r="F27" s="2" t="s">
        <v>55</v>
      </c>
      <c r="G27" s="4">
        <v>199400</v>
      </c>
      <c r="H27" s="5">
        <v>3.2000000000000001E-2</v>
      </c>
      <c r="I27" s="2">
        <v>120</v>
      </c>
      <c r="J27" s="2" t="s">
        <v>56</v>
      </c>
      <c r="K27" s="2" t="s">
        <v>45</v>
      </c>
      <c r="L27" s="3">
        <v>46050</v>
      </c>
    </row>
    <row r="28" spans="1:12">
      <c r="A28" s="2" t="s">
        <v>92</v>
      </c>
      <c r="B28" s="3">
        <v>46029</v>
      </c>
      <c r="C28" s="2" t="s">
        <v>93</v>
      </c>
      <c r="D28" s="2" t="s">
        <v>71</v>
      </c>
      <c r="E28" s="2" t="s">
        <v>30</v>
      </c>
      <c r="F28" s="2" t="s">
        <v>3</v>
      </c>
      <c r="G28" s="4">
        <v>8800</v>
      </c>
      <c r="H28" s="5">
        <v>4.1500000000000002E-2</v>
      </c>
      <c r="I28" s="2">
        <v>60</v>
      </c>
      <c r="J28" s="2" t="s">
        <v>94</v>
      </c>
      <c r="K28" s="2" t="s">
        <v>17</v>
      </c>
      <c r="L28" s="3">
        <v>46032</v>
      </c>
    </row>
    <row r="29" spans="1:12">
      <c r="A29" s="2" t="s">
        <v>95</v>
      </c>
      <c r="B29" s="3">
        <v>46029</v>
      </c>
      <c r="C29" s="2" t="s">
        <v>96</v>
      </c>
      <c r="D29" s="2" t="s">
        <v>14</v>
      </c>
      <c r="E29" s="2" t="s">
        <v>15</v>
      </c>
      <c r="F29" s="2" t="s">
        <v>3</v>
      </c>
      <c r="G29" s="4">
        <v>16600</v>
      </c>
      <c r="H29" s="5">
        <v>6.5199999999999994E-2</v>
      </c>
      <c r="I29" s="2">
        <v>48</v>
      </c>
      <c r="J29" s="2" t="s">
        <v>16</v>
      </c>
      <c r="K29" s="2" t="s">
        <v>17</v>
      </c>
      <c r="L29" s="3">
        <v>46033</v>
      </c>
    </row>
    <row r="30" spans="1:12">
      <c r="A30" s="2" t="s">
        <v>97</v>
      </c>
      <c r="B30" s="3">
        <v>46030</v>
      </c>
      <c r="C30" s="2" t="s">
        <v>98</v>
      </c>
      <c r="D30" s="2" t="s">
        <v>29</v>
      </c>
      <c r="E30" s="2" t="s">
        <v>21</v>
      </c>
      <c r="F30" s="2" t="s">
        <v>55</v>
      </c>
      <c r="G30" s="4">
        <v>215000</v>
      </c>
      <c r="H30" s="5">
        <v>4.3200000000000002E-2</v>
      </c>
      <c r="I30" s="2">
        <v>300</v>
      </c>
      <c r="J30" s="2" t="s">
        <v>32</v>
      </c>
      <c r="K30" s="2" t="s">
        <v>17</v>
      </c>
      <c r="L30" s="3">
        <v>46054</v>
      </c>
    </row>
    <row r="31" spans="1:12">
      <c r="A31" s="2" t="s">
        <v>99</v>
      </c>
      <c r="B31" s="3">
        <v>46030</v>
      </c>
      <c r="C31" s="2" t="s">
        <v>100</v>
      </c>
      <c r="D31" s="2" t="s">
        <v>71</v>
      </c>
      <c r="E31" s="2" t="s">
        <v>21</v>
      </c>
      <c r="F31" s="2" t="s">
        <v>3</v>
      </c>
      <c r="G31" s="4">
        <v>78800</v>
      </c>
      <c r="H31" s="5">
        <v>3.7400000000000003E-2</v>
      </c>
      <c r="I31" s="2">
        <v>300</v>
      </c>
      <c r="J31" s="2" t="s">
        <v>101</v>
      </c>
      <c r="K31" s="2" t="s">
        <v>17</v>
      </c>
      <c r="L31" s="3">
        <v>46050</v>
      </c>
    </row>
    <row r="32" spans="1:12">
      <c r="A32" s="2" t="s">
        <v>102</v>
      </c>
      <c r="B32" s="3">
        <v>46031</v>
      </c>
      <c r="C32" s="2" t="s">
        <v>103</v>
      </c>
      <c r="D32" s="2" t="s">
        <v>14</v>
      </c>
      <c r="E32" s="2" t="s">
        <v>15</v>
      </c>
      <c r="F32" s="2" t="s">
        <v>3</v>
      </c>
      <c r="G32" s="4">
        <v>20800</v>
      </c>
      <c r="H32" s="5">
        <v>6.7500000000000004E-2</v>
      </c>
      <c r="I32" s="2">
        <v>24</v>
      </c>
      <c r="J32" s="2" t="s">
        <v>16</v>
      </c>
      <c r="K32" s="2" t="s">
        <v>17</v>
      </c>
      <c r="L32" s="3">
        <v>46037</v>
      </c>
    </row>
    <row r="33" spans="1:12">
      <c r="A33" s="2" t="s">
        <v>104</v>
      </c>
      <c r="B33" s="3">
        <v>46031</v>
      </c>
      <c r="C33" s="2" t="s">
        <v>105</v>
      </c>
      <c r="D33" s="2" t="s">
        <v>71</v>
      </c>
      <c r="E33" s="2" t="s">
        <v>15</v>
      </c>
      <c r="F33" s="2" t="s">
        <v>3</v>
      </c>
      <c r="G33" s="4">
        <v>25000</v>
      </c>
      <c r="H33" s="5">
        <v>5.1999999999999998E-2</v>
      </c>
      <c r="I33" s="2">
        <v>36</v>
      </c>
      <c r="J33" s="2" t="s">
        <v>94</v>
      </c>
      <c r="K33" s="2" t="s">
        <v>45</v>
      </c>
      <c r="L33" s="3">
        <v>46035</v>
      </c>
    </row>
    <row r="34" spans="1:12">
      <c r="A34" s="2" t="s">
        <v>106</v>
      </c>
      <c r="B34" s="3">
        <v>46031</v>
      </c>
      <c r="C34" s="2" t="s">
        <v>107</v>
      </c>
      <c r="D34" s="2" t="s">
        <v>71</v>
      </c>
      <c r="E34" s="2" t="s">
        <v>43</v>
      </c>
      <c r="F34" s="2" t="s">
        <v>3</v>
      </c>
      <c r="G34" s="4">
        <v>105600</v>
      </c>
      <c r="H34" s="5">
        <v>6.08E-2</v>
      </c>
      <c r="I34" s="2">
        <v>60</v>
      </c>
      <c r="J34" s="2" t="s">
        <v>72</v>
      </c>
      <c r="K34" s="2" t="s">
        <v>45</v>
      </c>
      <c r="L34" s="3">
        <v>46051</v>
      </c>
    </row>
    <row r="35" spans="1:12">
      <c r="A35" s="2" t="s">
        <v>108</v>
      </c>
      <c r="B35" s="3">
        <v>46031</v>
      </c>
      <c r="C35" s="2" t="s">
        <v>109</v>
      </c>
      <c r="D35" s="2" t="s">
        <v>20</v>
      </c>
      <c r="E35" s="2" t="s">
        <v>110</v>
      </c>
      <c r="F35" s="2" t="s">
        <v>31</v>
      </c>
      <c r="G35" s="4">
        <v>60400</v>
      </c>
      <c r="H35" s="5">
        <v>6.1499999999999999E-2</v>
      </c>
      <c r="I35" s="2">
        <v>36</v>
      </c>
      <c r="J35" s="2" t="s">
        <v>22</v>
      </c>
      <c r="K35" s="2" t="s">
        <v>17</v>
      </c>
      <c r="L35" s="3">
        <v>46052</v>
      </c>
    </row>
    <row r="36" spans="1:12">
      <c r="A36" s="2" t="s">
        <v>111</v>
      </c>
      <c r="B36" s="3">
        <v>46031</v>
      </c>
      <c r="C36" s="2" t="s">
        <v>112</v>
      </c>
      <c r="D36" s="2" t="s">
        <v>71</v>
      </c>
      <c r="E36" s="2" t="s">
        <v>43</v>
      </c>
      <c r="F36" s="2" t="s">
        <v>3</v>
      </c>
      <c r="G36" s="4">
        <v>110800</v>
      </c>
      <c r="H36" s="5">
        <v>6.6500000000000004E-2</v>
      </c>
      <c r="I36" s="2">
        <v>36</v>
      </c>
      <c r="J36" s="2" t="s">
        <v>72</v>
      </c>
      <c r="K36" s="2" t="s">
        <v>17</v>
      </c>
      <c r="L36" s="3">
        <v>46041</v>
      </c>
    </row>
    <row r="37" spans="1:12">
      <c r="A37" s="2" t="s">
        <v>113</v>
      </c>
      <c r="B37" s="3">
        <v>46032</v>
      </c>
      <c r="C37" s="2" t="s">
        <v>114</v>
      </c>
      <c r="D37" s="2" t="s">
        <v>71</v>
      </c>
      <c r="E37" s="2" t="s">
        <v>15</v>
      </c>
      <c r="F37" s="2" t="s">
        <v>3</v>
      </c>
      <c r="G37" s="4">
        <v>14600</v>
      </c>
      <c r="H37" s="5">
        <v>5.3499999999999999E-2</v>
      </c>
      <c r="I37" s="2">
        <v>60</v>
      </c>
      <c r="J37" s="2" t="s">
        <v>72</v>
      </c>
      <c r="K37" s="2" t="s">
        <v>17</v>
      </c>
      <c r="L37" s="3">
        <v>46037</v>
      </c>
    </row>
    <row r="38" spans="1:12">
      <c r="A38" s="2" t="s">
        <v>115</v>
      </c>
      <c r="B38" s="3">
        <v>46032</v>
      </c>
      <c r="C38" s="2" t="s">
        <v>116</v>
      </c>
      <c r="D38" s="2" t="s">
        <v>20</v>
      </c>
      <c r="E38" s="2" t="s">
        <v>15</v>
      </c>
      <c r="F38" s="2" t="s">
        <v>31</v>
      </c>
      <c r="G38" s="4">
        <v>14600</v>
      </c>
      <c r="H38" s="5">
        <v>6.6299999999999998E-2</v>
      </c>
      <c r="I38" s="2">
        <v>12</v>
      </c>
      <c r="J38" s="2" t="s">
        <v>44</v>
      </c>
      <c r="K38" s="2" t="s">
        <v>17</v>
      </c>
      <c r="L38" s="3">
        <v>46033</v>
      </c>
    </row>
    <row r="39" spans="1:12">
      <c r="A39" s="2" t="s">
        <v>115</v>
      </c>
      <c r="B39" s="3">
        <v>46032</v>
      </c>
      <c r="C39" s="2" t="s">
        <v>116</v>
      </c>
      <c r="D39" s="2" t="s">
        <v>20</v>
      </c>
      <c r="E39" s="2" t="s">
        <v>15</v>
      </c>
      <c r="F39" s="2" t="s">
        <v>31</v>
      </c>
      <c r="G39" s="4">
        <v>14600</v>
      </c>
      <c r="H39" s="5">
        <v>6.6299999999999998E-2</v>
      </c>
      <c r="I39" s="2">
        <v>12</v>
      </c>
      <c r="J39" s="2" t="s">
        <v>44</v>
      </c>
      <c r="K39" s="2" t="s">
        <v>17</v>
      </c>
      <c r="L39" s="3">
        <v>46033</v>
      </c>
    </row>
    <row r="40" spans="1:12">
      <c r="A40" s="2" t="s">
        <v>117</v>
      </c>
      <c r="B40" s="3">
        <v>46032</v>
      </c>
      <c r="C40" s="2" t="s">
        <v>118</v>
      </c>
      <c r="D40" s="2" t="s">
        <v>20</v>
      </c>
      <c r="E40" s="2" t="s">
        <v>43</v>
      </c>
      <c r="F40" s="2" t="s">
        <v>3</v>
      </c>
      <c r="G40" s="4">
        <v>125200</v>
      </c>
      <c r="H40" s="5">
        <v>6.8900000000000003E-2</v>
      </c>
      <c r="I40" s="2">
        <v>60</v>
      </c>
      <c r="J40" s="2" t="s">
        <v>37</v>
      </c>
      <c r="K40" s="2" t="s">
        <v>17</v>
      </c>
      <c r="L40" s="3">
        <v>46048</v>
      </c>
    </row>
    <row r="41" spans="1:12">
      <c r="A41" s="2" t="s">
        <v>119</v>
      </c>
      <c r="B41" s="3">
        <v>46032</v>
      </c>
      <c r="C41" s="2" t="s">
        <v>120</v>
      </c>
      <c r="D41" s="2" t="s">
        <v>20</v>
      </c>
      <c r="E41" s="2" t="s">
        <v>30</v>
      </c>
      <c r="F41" s="2" t="s">
        <v>3</v>
      </c>
      <c r="G41" s="4">
        <v>9300</v>
      </c>
      <c r="H41" s="5">
        <v>4.6800000000000001E-2</v>
      </c>
      <c r="I41" s="2">
        <v>36</v>
      </c>
      <c r="J41" s="2" t="s">
        <v>44</v>
      </c>
      <c r="K41" s="2" t="s">
        <v>17</v>
      </c>
      <c r="L41" s="3">
        <v>46035</v>
      </c>
    </row>
    <row r="42" spans="1:12">
      <c r="A42" s="2" t="s">
        <v>121</v>
      </c>
      <c r="B42" s="3">
        <v>46033</v>
      </c>
      <c r="C42" s="2" t="s">
        <v>122</v>
      </c>
      <c r="D42" s="2" t="s">
        <v>29</v>
      </c>
      <c r="E42" s="2" t="s">
        <v>21</v>
      </c>
      <c r="F42" s="2" t="s">
        <v>31</v>
      </c>
      <c r="G42" s="4">
        <v>286500</v>
      </c>
      <c r="H42" s="5">
        <v>3.3099999999999997E-2</v>
      </c>
      <c r="I42" s="2">
        <v>300</v>
      </c>
      <c r="J42" s="2" t="s">
        <v>123</v>
      </c>
      <c r="K42" s="2" t="s">
        <v>17</v>
      </c>
      <c r="L42" s="3">
        <v>46054</v>
      </c>
    </row>
    <row r="43" spans="1:12">
      <c r="A43" s="2" t="s">
        <v>124</v>
      </c>
      <c r="B43" s="3">
        <v>46033</v>
      </c>
      <c r="C43" s="2" t="s">
        <v>125</v>
      </c>
      <c r="D43" s="2" t="s">
        <v>20</v>
      </c>
      <c r="E43" s="2" t="s">
        <v>30</v>
      </c>
      <c r="F43" s="2" t="s">
        <v>3</v>
      </c>
      <c r="G43" s="4">
        <v>7700</v>
      </c>
      <c r="H43" s="5">
        <v>4.5600000000000002E-2</v>
      </c>
      <c r="I43" s="2">
        <v>60</v>
      </c>
      <c r="J43" s="2" t="s">
        <v>44</v>
      </c>
      <c r="K43" s="2" t="s">
        <v>45</v>
      </c>
      <c r="L43" s="3">
        <v>46036</v>
      </c>
    </row>
    <row r="44" spans="1:12">
      <c r="A44" s="2" t="s">
        <v>124</v>
      </c>
      <c r="B44" s="3">
        <v>46033</v>
      </c>
      <c r="C44" s="2" t="s">
        <v>125</v>
      </c>
      <c r="D44" s="2" t="s">
        <v>20</v>
      </c>
      <c r="E44" s="2" t="s">
        <v>30</v>
      </c>
      <c r="F44" s="2" t="s">
        <v>3</v>
      </c>
      <c r="G44" s="4">
        <v>7700</v>
      </c>
      <c r="H44" s="5">
        <v>4.5600000000000002E-2</v>
      </c>
      <c r="I44" s="2">
        <v>60</v>
      </c>
      <c r="J44" s="2" t="s">
        <v>44</v>
      </c>
      <c r="K44" s="2" t="s">
        <v>45</v>
      </c>
      <c r="L44" s="3">
        <v>46036</v>
      </c>
    </row>
    <row r="45" spans="1:12">
      <c r="A45" s="2" t="s">
        <v>126</v>
      </c>
      <c r="B45" s="3">
        <v>46033</v>
      </c>
      <c r="C45" s="2" t="s">
        <v>127</v>
      </c>
      <c r="D45" s="2" t="s">
        <v>29</v>
      </c>
      <c r="E45" s="2" t="s">
        <v>30</v>
      </c>
      <c r="F45" s="2" t="s">
        <v>3</v>
      </c>
      <c r="G45" s="4">
        <v>16700</v>
      </c>
      <c r="H45" s="5">
        <v>4.2500000000000003E-2</v>
      </c>
      <c r="I45" s="2">
        <v>48</v>
      </c>
      <c r="J45" s="2" t="s">
        <v>61</v>
      </c>
      <c r="K45" s="2" t="s">
        <v>17</v>
      </c>
      <c r="L45" s="3">
        <v>46034</v>
      </c>
    </row>
    <row r="46" spans="1:12">
      <c r="A46" s="2" t="s">
        <v>128</v>
      </c>
      <c r="B46" s="3">
        <v>46033</v>
      </c>
      <c r="C46" s="2" t="s">
        <v>129</v>
      </c>
      <c r="D46" s="2" t="s">
        <v>20</v>
      </c>
      <c r="E46" s="2" t="s">
        <v>30</v>
      </c>
      <c r="F46" s="2" t="s">
        <v>31</v>
      </c>
      <c r="G46" s="4">
        <v>10400</v>
      </c>
      <c r="H46" s="5">
        <v>3.7600000000000001E-2</v>
      </c>
      <c r="I46" s="2">
        <v>48</v>
      </c>
      <c r="J46" s="2" t="s">
        <v>22</v>
      </c>
      <c r="K46" s="2" t="s">
        <v>45</v>
      </c>
      <c r="L46" s="3">
        <v>46034</v>
      </c>
    </row>
    <row r="47" spans="1:12">
      <c r="A47" s="2" t="s">
        <v>130</v>
      </c>
      <c r="B47" s="3">
        <v>46033</v>
      </c>
      <c r="C47" s="2" t="s">
        <v>131</v>
      </c>
      <c r="D47" s="2" t="s">
        <v>20</v>
      </c>
      <c r="E47" s="2" t="s">
        <v>30</v>
      </c>
      <c r="F47" s="2" t="s">
        <v>3</v>
      </c>
      <c r="G47" s="4">
        <v>16200</v>
      </c>
      <c r="H47" s="5">
        <v>4.2299999999999997E-2</v>
      </c>
      <c r="I47" s="2">
        <v>48</v>
      </c>
      <c r="J47" s="2" t="s">
        <v>44</v>
      </c>
      <c r="K47" s="2" t="s">
        <v>45</v>
      </c>
      <c r="L47" s="3">
        <v>46035</v>
      </c>
    </row>
    <row r="48" spans="1:12">
      <c r="A48" s="2" t="s">
        <v>132</v>
      </c>
      <c r="B48" s="3">
        <v>46034</v>
      </c>
      <c r="C48" s="2" t="s">
        <v>133</v>
      </c>
      <c r="D48" s="2" t="s">
        <v>71</v>
      </c>
      <c r="E48" s="2" t="s">
        <v>15</v>
      </c>
      <c r="F48" s="2" t="s">
        <v>55</v>
      </c>
      <c r="G48" s="4">
        <v>5600</v>
      </c>
      <c r="H48" s="5">
        <v>5.6099999999999997E-2</v>
      </c>
      <c r="I48" s="2">
        <v>12</v>
      </c>
      <c r="J48" s="2" t="s">
        <v>72</v>
      </c>
      <c r="K48" s="2" t="s">
        <v>17</v>
      </c>
      <c r="L48" s="3">
        <v>46041</v>
      </c>
    </row>
    <row r="49" spans="1:12">
      <c r="A49" s="2" t="s">
        <v>134</v>
      </c>
      <c r="B49" s="3">
        <v>46034</v>
      </c>
      <c r="C49" s="2" t="s">
        <v>135</v>
      </c>
      <c r="D49" s="2" t="s">
        <v>25</v>
      </c>
      <c r="E49" s="2" t="s">
        <v>30</v>
      </c>
      <c r="F49" s="2" t="s">
        <v>55</v>
      </c>
      <c r="G49" s="4">
        <v>14500</v>
      </c>
      <c r="H49" s="5">
        <v>4.4499999999999998E-2</v>
      </c>
      <c r="I49" s="2">
        <v>48</v>
      </c>
      <c r="J49" s="2" t="s">
        <v>26</v>
      </c>
      <c r="K49" s="2" t="s">
        <v>17</v>
      </c>
      <c r="L49" s="3">
        <v>46036</v>
      </c>
    </row>
    <row r="50" spans="1:12">
      <c r="A50" s="2" t="s">
        <v>136</v>
      </c>
      <c r="B50" s="3">
        <v>46034</v>
      </c>
      <c r="C50" s="2" t="s">
        <v>137</v>
      </c>
      <c r="D50" s="2" t="s">
        <v>71</v>
      </c>
      <c r="E50" s="2" t="s">
        <v>15</v>
      </c>
      <c r="F50" s="2" t="s">
        <v>3</v>
      </c>
      <c r="G50" s="4">
        <v>6200</v>
      </c>
      <c r="H50" s="5">
        <v>6.0400000000000002E-2</v>
      </c>
      <c r="I50" s="2">
        <v>36</v>
      </c>
      <c r="J50" s="2" t="s">
        <v>72</v>
      </c>
      <c r="K50" s="2" t="s">
        <v>17</v>
      </c>
      <c r="L50" s="3">
        <v>46035</v>
      </c>
    </row>
    <row r="51" spans="1:12">
      <c r="A51" s="2" t="s">
        <v>138</v>
      </c>
      <c r="B51" s="3">
        <v>46034</v>
      </c>
      <c r="C51" s="2" t="s">
        <v>139</v>
      </c>
      <c r="D51" s="2" t="s">
        <v>29</v>
      </c>
      <c r="E51" s="2" t="s">
        <v>15</v>
      </c>
      <c r="F51" s="2" t="s">
        <v>3</v>
      </c>
      <c r="G51" s="4">
        <v>5300</v>
      </c>
      <c r="H51" s="5">
        <v>5.1200000000000002E-2</v>
      </c>
      <c r="I51" s="2">
        <v>48</v>
      </c>
      <c r="J51" s="2" t="s">
        <v>123</v>
      </c>
      <c r="K51" s="2" t="s">
        <v>17</v>
      </c>
      <c r="L51" s="3">
        <v>46035</v>
      </c>
    </row>
    <row r="52" spans="1:12">
      <c r="A52" s="2" t="s">
        <v>140</v>
      </c>
      <c r="B52" s="3">
        <v>46035</v>
      </c>
      <c r="C52" s="2" t="s">
        <v>141</v>
      </c>
      <c r="D52" s="2" t="s">
        <v>29</v>
      </c>
      <c r="E52" s="2" t="s">
        <v>15</v>
      </c>
      <c r="F52" s="2" t="s">
        <v>3</v>
      </c>
      <c r="G52" s="4">
        <v>23500</v>
      </c>
      <c r="H52" s="5">
        <v>5.3699999999999998E-2</v>
      </c>
      <c r="I52" s="2">
        <v>48</v>
      </c>
      <c r="J52" s="2" t="s">
        <v>61</v>
      </c>
      <c r="K52" s="2" t="s">
        <v>17</v>
      </c>
      <c r="L52" s="3">
        <v>46040</v>
      </c>
    </row>
    <row r="53" spans="1:12">
      <c r="A53" s="2" t="s">
        <v>142</v>
      </c>
      <c r="B53" s="3">
        <v>46035</v>
      </c>
      <c r="C53" s="2" t="s">
        <v>34</v>
      </c>
      <c r="D53" s="2" t="s">
        <v>25</v>
      </c>
      <c r="E53" s="2" t="s">
        <v>30</v>
      </c>
      <c r="F53" s="2" t="s">
        <v>3</v>
      </c>
      <c r="G53" s="4">
        <v>10700</v>
      </c>
      <c r="H53" s="5">
        <v>4.99E-2</v>
      </c>
      <c r="I53" s="2">
        <v>36</v>
      </c>
      <c r="J53" s="2" t="s">
        <v>26</v>
      </c>
      <c r="K53" s="2" t="s">
        <v>17</v>
      </c>
      <c r="L53" s="3">
        <v>46038</v>
      </c>
    </row>
    <row r="54" spans="1:12">
      <c r="A54" s="2" t="s">
        <v>143</v>
      </c>
      <c r="B54" s="3">
        <v>46035</v>
      </c>
      <c r="C54" s="2" t="s">
        <v>144</v>
      </c>
      <c r="D54" s="2" t="s">
        <v>29</v>
      </c>
      <c r="E54" s="2" t="s">
        <v>15</v>
      </c>
      <c r="F54" s="2" t="s">
        <v>31</v>
      </c>
      <c r="G54" s="4">
        <v>18100</v>
      </c>
      <c r="H54" s="5">
        <v>5.2299999999999999E-2</v>
      </c>
      <c r="I54" s="2">
        <v>36</v>
      </c>
      <c r="J54" s="2" t="s">
        <v>61</v>
      </c>
      <c r="K54" s="2" t="s">
        <v>17</v>
      </c>
      <c r="L54" s="3">
        <v>46042</v>
      </c>
    </row>
    <row r="55" spans="1:12">
      <c r="A55" s="2" t="s">
        <v>145</v>
      </c>
      <c r="B55" s="3">
        <v>46035</v>
      </c>
      <c r="C55" s="2" t="s">
        <v>146</v>
      </c>
      <c r="D55" s="2" t="s">
        <v>54</v>
      </c>
      <c r="E55" s="2" t="s">
        <v>43</v>
      </c>
      <c r="F55" s="2" t="s">
        <v>147</v>
      </c>
      <c r="G55" s="4">
        <v>62800</v>
      </c>
      <c r="H55" s="5">
        <v>5.8900000000000001E-2</v>
      </c>
      <c r="I55" s="2">
        <v>24</v>
      </c>
      <c r="J55" s="2" t="s">
        <v>148</v>
      </c>
      <c r="K55" s="2" t="s">
        <v>17</v>
      </c>
      <c r="L55" s="3">
        <v>46046</v>
      </c>
    </row>
    <row r="56" spans="1:12">
      <c r="A56" s="2" t="s">
        <v>149</v>
      </c>
      <c r="B56" s="3">
        <v>46035</v>
      </c>
      <c r="C56" s="2" t="s">
        <v>150</v>
      </c>
      <c r="D56" s="2" t="s">
        <v>14</v>
      </c>
      <c r="E56" s="2" t="s">
        <v>151</v>
      </c>
      <c r="F56" s="2" t="s">
        <v>55</v>
      </c>
      <c r="G56" s="4">
        <v>31300</v>
      </c>
      <c r="H56" s="5">
        <v>7.7700000000000005E-2</v>
      </c>
      <c r="I56" s="2">
        <v>36</v>
      </c>
      <c r="J56" s="2" t="s">
        <v>40</v>
      </c>
      <c r="K56" s="2" t="s">
        <v>17</v>
      </c>
      <c r="L56" s="3">
        <v>46044</v>
      </c>
    </row>
    <row r="57" spans="1:12">
      <c r="A57" s="2" t="s">
        <v>152</v>
      </c>
      <c r="B57" s="3">
        <v>46036</v>
      </c>
      <c r="C57" s="2" t="s">
        <v>153</v>
      </c>
      <c r="D57" s="2" t="s">
        <v>20</v>
      </c>
      <c r="E57" s="2" t="s">
        <v>15</v>
      </c>
      <c r="F57" s="2" t="s">
        <v>154</v>
      </c>
      <c r="G57" s="4">
        <v>19900</v>
      </c>
      <c r="H57" s="5">
        <v>6.1699999999999998E-2</v>
      </c>
      <c r="I57" s="2">
        <v>48</v>
      </c>
      <c r="J57" s="2" t="s">
        <v>44</v>
      </c>
      <c r="K57" s="2" t="s">
        <v>17</v>
      </c>
      <c r="L57" s="3">
        <v>46039</v>
      </c>
    </row>
    <row r="58" spans="1:12">
      <c r="A58" s="2" t="s">
        <v>155</v>
      </c>
      <c r="B58" s="3">
        <v>46036</v>
      </c>
      <c r="C58" s="2" t="s">
        <v>156</v>
      </c>
      <c r="D58" s="2" t="s">
        <v>14</v>
      </c>
      <c r="E58" s="2" t="s">
        <v>157</v>
      </c>
      <c r="F58" s="2" t="s">
        <v>55</v>
      </c>
      <c r="G58" s="4">
        <v>20300</v>
      </c>
      <c r="H58" s="5">
        <v>5.6099999999999997E-2</v>
      </c>
      <c r="I58" s="2">
        <v>12</v>
      </c>
      <c r="J58" s="2" t="s">
        <v>40</v>
      </c>
      <c r="K58" s="2" t="s">
        <v>17</v>
      </c>
      <c r="L58" s="3">
        <v>46037</v>
      </c>
    </row>
    <row r="59" spans="1:12">
      <c r="A59" s="2" t="s">
        <v>158</v>
      </c>
      <c r="B59" s="3">
        <v>46036</v>
      </c>
      <c r="C59" s="2" t="s">
        <v>159</v>
      </c>
      <c r="D59" s="2" t="s">
        <v>25</v>
      </c>
      <c r="E59" s="2" t="s">
        <v>160</v>
      </c>
      <c r="F59" s="2" t="s">
        <v>3</v>
      </c>
      <c r="G59" s="4">
        <v>15200</v>
      </c>
      <c r="H59" s="5">
        <v>4.8399999999999999E-2</v>
      </c>
      <c r="I59" s="2">
        <v>60</v>
      </c>
      <c r="J59" s="2" t="s">
        <v>66</v>
      </c>
      <c r="K59" s="2" t="s">
        <v>17</v>
      </c>
      <c r="L59" s="3">
        <v>46037</v>
      </c>
    </row>
    <row r="60" spans="1:12">
      <c r="A60" s="2" t="s">
        <v>161</v>
      </c>
      <c r="B60" s="3">
        <v>46036</v>
      </c>
      <c r="C60" s="2" t="s">
        <v>162</v>
      </c>
      <c r="D60" s="2" t="s">
        <v>14</v>
      </c>
      <c r="E60" s="2" t="s">
        <v>157</v>
      </c>
      <c r="F60" s="2" t="s">
        <v>3</v>
      </c>
      <c r="G60" s="4">
        <v>7000</v>
      </c>
      <c r="H60" s="5">
        <v>6.5000000000000002E-2</v>
      </c>
      <c r="I60" s="2">
        <v>36</v>
      </c>
      <c r="J60" s="2" t="s">
        <v>48</v>
      </c>
      <c r="K60" s="2" t="s">
        <v>17</v>
      </c>
      <c r="L60" s="3">
        <v>46040</v>
      </c>
    </row>
    <row r="61" spans="1:12">
      <c r="A61" s="2" t="s">
        <v>163</v>
      </c>
      <c r="B61" s="3">
        <v>46036</v>
      </c>
      <c r="C61" s="2" t="s">
        <v>164</v>
      </c>
      <c r="D61" s="2" t="s">
        <v>54</v>
      </c>
      <c r="E61" s="2" t="s">
        <v>15</v>
      </c>
      <c r="F61" s="2" t="s">
        <v>3</v>
      </c>
      <c r="G61" s="4">
        <v>21700</v>
      </c>
      <c r="H61" s="5">
        <v>5.8500000000000003E-2</v>
      </c>
      <c r="I61" s="2">
        <v>48</v>
      </c>
      <c r="J61" s="2" t="s">
        <v>148</v>
      </c>
      <c r="K61" s="2" t="s">
        <v>17</v>
      </c>
      <c r="L61" s="3">
        <v>46039</v>
      </c>
    </row>
    <row r="62" spans="1:12">
      <c r="A62" s="2" t="s">
        <v>165</v>
      </c>
      <c r="B62" s="3">
        <v>46036</v>
      </c>
      <c r="C62" s="2" t="s">
        <v>166</v>
      </c>
      <c r="D62" s="2" t="s">
        <v>20</v>
      </c>
      <c r="E62" s="2" t="s">
        <v>43</v>
      </c>
      <c r="F62" s="2" t="s">
        <v>3</v>
      </c>
      <c r="G62" s="4">
        <v>84800</v>
      </c>
      <c r="H62" s="5">
        <v>7.7799999999999994E-2</v>
      </c>
      <c r="I62" s="2">
        <v>24</v>
      </c>
      <c r="J62" s="2" t="s">
        <v>37</v>
      </c>
      <c r="K62" s="2" t="s">
        <v>17</v>
      </c>
      <c r="L62" s="3">
        <v>46047</v>
      </c>
    </row>
    <row r="63" spans="1:12">
      <c r="A63" s="2" t="s">
        <v>167</v>
      </c>
      <c r="B63" s="3">
        <v>46036</v>
      </c>
      <c r="C63" s="2" t="s">
        <v>168</v>
      </c>
      <c r="D63" s="2" t="s">
        <v>25</v>
      </c>
      <c r="E63" s="2" t="s">
        <v>43</v>
      </c>
      <c r="F63" s="2" t="s">
        <v>3</v>
      </c>
      <c r="G63" s="4">
        <v>80000</v>
      </c>
      <c r="H63" s="5">
        <v>6.0199999999999997E-2</v>
      </c>
      <c r="I63" s="2">
        <v>36</v>
      </c>
      <c r="J63" s="2" t="s">
        <v>26</v>
      </c>
      <c r="K63" s="2" t="s">
        <v>45</v>
      </c>
      <c r="L63" s="3">
        <v>46046</v>
      </c>
    </row>
    <row r="64" spans="1:12">
      <c r="A64" s="2" t="s">
        <v>169</v>
      </c>
      <c r="B64" s="3">
        <v>46036</v>
      </c>
      <c r="C64" s="2" t="s">
        <v>170</v>
      </c>
      <c r="D64" s="2" t="s">
        <v>20</v>
      </c>
      <c r="E64" s="2" t="s">
        <v>15</v>
      </c>
      <c r="F64" s="2" t="s">
        <v>3</v>
      </c>
      <c r="G64" s="4">
        <v>11900</v>
      </c>
      <c r="H64" s="5">
        <v>5.7799999999999997E-2</v>
      </c>
      <c r="I64" s="2">
        <v>36</v>
      </c>
      <c r="J64" s="2" t="s">
        <v>22</v>
      </c>
      <c r="K64" s="2" t="s">
        <v>17</v>
      </c>
      <c r="L64" s="3">
        <v>46039</v>
      </c>
    </row>
    <row r="65" spans="1:12">
      <c r="A65" s="2" t="s">
        <v>171</v>
      </c>
      <c r="B65" s="3">
        <v>46037</v>
      </c>
      <c r="C65" s="2" t="s">
        <v>172</v>
      </c>
      <c r="D65" s="2" t="s">
        <v>20</v>
      </c>
      <c r="E65" s="2" t="s">
        <v>15</v>
      </c>
      <c r="F65" s="2" t="s">
        <v>3</v>
      </c>
      <c r="G65" s="4">
        <v>10900</v>
      </c>
      <c r="H65" s="5">
        <v>6.9400000000000003E-2</v>
      </c>
      <c r="I65" s="2">
        <v>48</v>
      </c>
      <c r="J65" s="2" t="s">
        <v>44</v>
      </c>
      <c r="K65" s="2" t="s">
        <v>17</v>
      </c>
      <c r="L65" s="3">
        <v>46043</v>
      </c>
    </row>
    <row r="66" spans="1:12">
      <c r="A66" s="2" t="s">
        <v>173</v>
      </c>
      <c r="B66" s="3">
        <v>46037</v>
      </c>
      <c r="C66" s="2" t="s">
        <v>174</v>
      </c>
      <c r="D66" s="2" t="s">
        <v>20</v>
      </c>
      <c r="E66" s="2" t="s">
        <v>30</v>
      </c>
      <c r="F66" s="2" t="s">
        <v>55</v>
      </c>
      <c r="G66" s="4">
        <v>15800</v>
      </c>
      <c r="H66" s="5">
        <v>3.6900000000000002E-2</v>
      </c>
      <c r="I66" s="2">
        <v>60</v>
      </c>
      <c r="J66" s="2" t="s">
        <v>22</v>
      </c>
      <c r="K66" s="2" t="s">
        <v>17</v>
      </c>
      <c r="L66" s="3">
        <v>46038</v>
      </c>
    </row>
    <row r="67" spans="1:12">
      <c r="A67" s="2" t="s">
        <v>175</v>
      </c>
      <c r="B67" s="3">
        <v>46037</v>
      </c>
      <c r="C67" s="2" t="s">
        <v>176</v>
      </c>
      <c r="D67" s="2" t="s">
        <v>25</v>
      </c>
      <c r="E67" s="2" t="s">
        <v>30</v>
      </c>
      <c r="F67" s="2" t="s">
        <v>3</v>
      </c>
      <c r="G67" s="4">
        <v>4600</v>
      </c>
      <c r="H67" s="5">
        <v>3.7400000000000003E-2</v>
      </c>
      <c r="I67" s="2">
        <v>36</v>
      </c>
      <c r="J67" s="2" t="s">
        <v>26</v>
      </c>
      <c r="K67" s="2" t="s">
        <v>17</v>
      </c>
      <c r="L67" s="3">
        <v>46038</v>
      </c>
    </row>
    <row r="68" spans="1:12">
      <c r="A68" s="2" t="s">
        <v>177</v>
      </c>
      <c r="B68" s="3">
        <v>46038</v>
      </c>
      <c r="C68" s="2" t="s">
        <v>178</v>
      </c>
      <c r="D68" s="2" t="s">
        <v>14</v>
      </c>
      <c r="E68" s="2" t="s">
        <v>15</v>
      </c>
      <c r="F68" s="2" t="s">
        <v>3</v>
      </c>
      <c r="G68" s="4">
        <v>13600</v>
      </c>
      <c r="H68" s="5">
        <v>6.4399999999999999E-2</v>
      </c>
      <c r="I68" s="2">
        <v>60</v>
      </c>
      <c r="J68" s="2" t="s">
        <v>40</v>
      </c>
      <c r="K68" s="2" t="s">
        <v>17</v>
      </c>
      <c r="L68" s="3">
        <v>46042</v>
      </c>
    </row>
    <row r="69" spans="1:12">
      <c r="A69" s="2" t="s">
        <v>179</v>
      </c>
      <c r="B69" s="3">
        <v>46038</v>
      </c>
      <c r="C69" s="2" t="s">
        <v>180</v>
      </c>
      <c r="D69" s="2" t="s">
        <v>25</v>
      </c>
      <c r="E69" s="2" t="s">
        <v>15</v>
      </c>
      <c r="F69" s="2" t="s">
        <v>3</v>
      </c>
      <c r="G69" s="4">
        <v>14700</v>
      </c>
      <c r="H69" s="5">
        <v>6.9599999999999995E-2</v>
      </c>
      <c r="I69" s="2">
        <v>36</v>
      </c>
      <c r="J69" s="2" t="s">
        <v>181</v>
      </c>
      <c r="K69" s="2" t="s">
        <v>45</v>
      </c>
      <c r="L69" s="3">
        <v>46045</v>
      </c>
    </row>
    <row r="70" spans="1:12">
      <c r="A70" s="2" t="s">
        <v>182</v>
      </c>
      <c r="B70" s="3">
        <v>46038</v>
      </c>
      <c r="C70" s="2" t="s">
        <v>183</v>
      </c>
      <c r="D70" s="2" t="s">
        <v>14</v>
      </c>
      <c r="E70" s="2" t="s">
        <v>15</v>
      </c>
      <c r="F70" s="2" t="s">
        <v>55</v>
      </c>
      <c r="G70" s="4">
        <v>16700</v>
      </c>
      <c r="H70" s="5">
        <v>6.7400000000000002E-2</v>
      </c>
      <c r="I70" s="2">
        <v>12</v>
      </c>
      <c r="J70" s="2" t="s">
        <v>40</v>
      </c>
      <c r="K70" s="2" t="s">
        <v>17</v>
      </c>
      <c r="L70" s="3">
        <v>46045</v>
      </c>
    </row>
    <row r="71" spans="1:12">
      <c r="A71" s="2" t="s">
        <v>184</v>
      </c>
      <c r="B71" s="3">
        <v>46038</v>
      </c>
      <c r="C71" s="2" t="s">
        <v>185</v>
      </c>
      <c r="D71" s="2" t="s">
        <v>54</v>
      </c>
      <c r="E71" s="2" t="s">
        <v>21</v>
      </c>
      <c r="F71" s="2" t="s">
        <v>3</v>
      </c>
      <c r="G71" s="4">
        <v>64500</v>
      </c>
      <c r="H71" s="5">
        <v>4.1000000000000002E-2</v>
      </c>
      <c r="I71" s="2">
        <v>120</v>
      </c>
      <c r="J71" s="2" t="s">
        <v>186</v>
      </c>
      <c r="K71" s="2" t="s">
        <v>17</v>
      </c>
      <c r="L71" s="3">
        <v>46054</v>
      </c>
    </row>
    <row r="72" spans="1:12">
      <c r="A72" s="2" t="s">
        <v>187</v>
      </c>
      <c r="B72" s="3">
        <v>46038</v>
      </c>
      <c r="C72" s="2" t="s">
        <v>188</v>
      </c>
      <c r="D72" s="2" t="s">
        <v>29</v>
      </c>
      <c r="E72" s="2" t="s">
        <v>15</v>
      </c>
      <c r="F72" s="2" t="s">
        <v>3</v>
      </c>
      <c r="G72" s="4">
        <v>8400</v>
      </c>
      <c r="H72" s="5">
        <v>5.8900000000000001E-2</v>
      </c>
      <c r="I72" s="2">
        <v>48</v>
      </c>
      <c r="J72" s="2" t="s">
        <v>61</v>
      </c>
      <c r="K72" s="2" t="s">
        <v>17</v>
      </c>
      <c r="L72" s="3">
        <v>46040</v>
      </c>
    </row>
    <row r="73" spans="1:12">
      <c r="A73" s="2" t="s">
        <v>189</v>
      </c>
      <c r="B73" s="3">
        <v>46038</v>
      </c>
      <c r="C73" s="2" t="s">
        <v>190</v>
      </c>
      <c r="D73" s="2" t="s">
        <v>71</v>
      </c>
      <c r="E73" s="2" t="s">
        <v>30</v>
      </c>
      <c r="F73" s="2" t="s">
        <v>3</v>
      </c>
      <c r="G73" s="4">
        <v>10000</v>
      </c>
      <c r="H73" s="5">
        <v>4.9599999999999998E-2</v>
      </c>
      <c r="I73" s="2">
        <v>60</v>
      </c>
      <c r="J73" s="2" t="s">
        <v>94</v>
      </c>
      <c r="K73" s="2" t="s">
        <v>45</v>
      </c>
      <c r="L73" s="3">
        <v>46039</v>
      </c>
    </row>
    <row r="74" spans="1:12">
      <c r="A74" s="2" t="s">
        <v>191</v>
      </c>
      <c r="B74" s="3">
        <v>46039</v>
      </c>
      <c r="C74" s="2" t="s">
        <v>192</v>
      </c>
      <c r="D74" s="2" t="s">
        <v>71</v>
      </c>
      <c r="E74" s="2" t="s">
        <v>21</v>
      </c>
      <c r="F74" s="2" t="s">
        <v>3</v>
      </c>
      <c r="G74" s="4">
        <v>176900</v>
      </c>
      <c r="H74" s="5">
        <v>3.39E-2</v>
      </c>
      <c r="I74" s="2">
        <v>300</v>
      </c>
      <c r="J74" s="2" t="s">
        <v>101</v>
      </c>
      <c r="K74" s="2" t="s">
        <v>45</v>
      </c>
      <c r="L74" s="3">
        <v>46053</v>
      </c>
    </row>
    <row r="75" spans="1:12">
      <c r="A75" s="2" t="s">
        <v>193</v>
      </c>
      <c r="B75" s="3">
        <v>46039</v>
      </c>
      <c r="C75" s="2" t="s">
        <v>24</v>
      </c>
      <c r="D75" s="2" t="s">
        <v>25</v>
      </c>
      <c r="E75" s="2" t="s">
        <v>15</v>
      </c>
      <c r="F75" s="2" t="s">
        <v>3</v>
      </c>
      <c r="G75" s="4">
        <v>7700</v>
      </c>
      <c r="H75" s="5">
        <v>6.7299999999999999E-2</v>
      </c>
      <c r="I75" s="2">
        <v>60</v>
      </c>
      <c r="J75" s="2" t="s">
        <v>181</v>
      </c>
      <c r="K75" s="2" t="s">
        <v>17</v>
      </c>
      <c r="L75" s="3">
        <v>46041</v>
      </c>
    </row>
    <row r="76" spans="1:12">
      <c r="A76" s="2" t="s">
        <v>194</v>
      </c>
      <c r="B76" s="3">
        <v>46040</v>
      </c>
      <c r="C76" s="2" t="s">
        <v>195</v>
      </c>
      <c r="D76" s="2" t="s">
        <v>71</v>
      </c>
      <c r="E76" s="2" t="s">
        <v>15</v>
      </c>
      <c r="F76" s="2" t="s">
        <v>3</v>
      </c>
      <c r="G76" s="2" t="s">
        <v>196</v>
      </c>
      <c r="H76" s="5">
        <v>6.4100000000000004E-2</v>
      </c>
      <c r="I76" s="2">
        <v>60</v>
      </c>
      <c r="J76" s="2" t="s">
        <v>72</v>
      </c>
      <c r="K76" s="2" t="s">
        <v>17</v>
      </c>
      <c r="L76" s="3">
        <v>46046</v>
      </c>
    </row>
    <row r="77" spans="1:12">
      <c r="A77" s="2" t="s">
        <v>197</v>
      </c>
      <c r="B77" s="3">
        <v>46041</v>
      </c>
      <c r="C77" s="2" t="s">
        <v>198</v>
      </c>
      <c r="D77" s="2" t="s">
        <v>29</v>
      </c>
      <c r="E77" s="2" t="s">
        <v>15</v>
      </c>
      <c r="F77" s="2" t="s">
        <v>3</v>
      </c>
      <c r="G77" s="4">
        <v>6400</v>
      </c>
      <c r="H77" s="5">
        <v>6.9599999999999995E-2</v>
      </c>
      <c r="I77" s="2">
        <v>12</v>
      </c>
      <c r="J77" s="2" t="s">
        <v>123</v>
      </c>
      <c r="K77" s="2" t="s">
        <v>45</v>
      </c>
      <c r="L77" s="3">
        <v>46045</v>
      </c>
    </row>
    <row r="78" spans="1:12">
      <c r="A78" s="2" t="s">
        <v>199</v>
      </c>
      <c r="B78" s="3">
        <v>46041</v>
      </c>
      <c r="C78" s="2" t="s">
        <v>200</v>
      </c>
      <c r="D78" s="2" t="s">
        <v>14</v>
      </c>
      <c r="E78" s="2" t="s">
        <v>30</v>
      </c>
      <c r="F78" s="2" t="s">
        <v>31</v>
      </c>
      <c r="G78" s="4">
        <v>7400</v>
      </c>
      <c r="H78" s="5">
        <v>4.5900000000000003E-2</v>
      </c>
      <c r="I78" s="2">
        <v>36</v>
      </c>
      <c r="J78" s="2" t="s">
        <v>48</v>
      </c>
      <c r="K78" s="2" t="s">
        <v>17</v>
      </c>
      <c r="L78" s="3">
        <v>46045</v>
      </c>
    </row>
    <row r="79" spans="1:12">
      <c r="A79" s="2" t="s">
        <v>201</v>
      </c>
      <c r="B79" s="3">
        <v>46041</v>
      </c>
      <c r="C79" s="2" t="s">
        <v>202</v>
      </c>
      <c r="D79" s="2" t="s">
        <v>14</v>
      </c>
      <c r="E79" s="2" t="s">
        <v>15</v>
      </c>
      <c r="F79" s="2" t="s">
        <v>55</v>
      </c>
      <c r="G79" s="4">
        <v>24200</v>
      </c>
      <c r="H79" s="5">
        <v>6.5500000000000003E-2</v>
      </c>
      <c r="I79" s="2">
        <v>12</v>
      </c>
      <c r="J79" s="2" t="s">
        <v>16</v>
      </c>
      <c r="K79" s="2" t="s">
        <v>45</v>
      </c>
      <c r="L79" s="3">
        <v>46045</v>
      </c>
    </row>
    <row r="80" spans="1:12">
      <c r="A80" s="2" t="s">
        <v>203</v>
      </c>
      <c r="B80" s="3">
        <v>46041</v>
      </c>
      <c r="C80" s="2" t="s">
        <v>204</v>
      </c>
      <c r="D80" s="2" t="s">
        <v>25</v>
      </c>
      <c r="E80" s="2" t="s">
        <v>21</v>
      </c>
      <c r="F80" s="2" t="s">
        <v>3</v>
      </c>
      <c r="G80" s="4">
        <v>142300</v>
      </c>
      <c r="H80" s="5">
        <v>4.3400000000000001E-2</v>
      </c>
      <c r="I80" s="2">
        <v>300</v>
      </c>
      <c r="J80" s="2" t="s">
        <v>26</v>
      </c>
      <c r="K80" s="2" t="s">
        <v>17</v>
      </c>
      <c r="L80" s="3">
        <v>46062</v>
      </c>
    </row>
    <row r="81" spans="1:12">
      <c r="A81" s="2" t="s">
        <v>205</v>
      </c>
      <c r="B81" s="3">
        <v>46041</v>
      </c>
      <c r="C81" s="2" t="s">
        <v>206</v>
      </c>
      <c r="D81" s="2" t="s">
        <v>54</v>
      </c>
      <c r="E81" s="2" t="s">
        <v>15</v>
      </c>
      <c r="F81" s="2" t="s">
        <v>31</v>
      </c>
      <c r="G81" s="4">
        <v>5700</v>
      </c>
      <c r="H81" s="5">
        <v>6.3899999999999998E-2</v>
      </c>
      <c r="I81" s="2">
        <v>24</v>
      </c>
      <c r="J81" s="2" t="s">
        <v>148</v>
      </c>
      <c r="K81" s="2" t="s">
        <v>17</v>
      </c>
      <c r="L81" s="3">
        <v>46045</v>
      </c>
    </row>
    <row r="82" spans="1:12">
      <c r="A82" s="2" t="s">
        <v>207</v>
      </c>
      <c r="B82" s="3">
        <v>46042</v>
      </c>
      <c r="C82" s="2" t="s">
        <v>208</v>
      </c>
      <c r="D82" s="2" t="s">
        <v>20</v>
      </c>
      <c r="E82" s="2" t="s">
        <v>43</v>
      </c>
      <c r="F82" s="2" t="s">
        <v>3</v>
      </c>
      <c r="G82" s="4">
        <v>80500</v>
      </c>
      <c r="H82" s="5">
        <v>7.8700000000000006E-2</v>
      </c>
      <c r="I82" s="2">
        <v>36</v>
      </c>
      <c r="J82" s="2" t="s">
        <v>37</v>
      </c>
      <c r="K82" s="2" t="s">
        <v>45</v>
      </c>
      <c r="L82" s="3">
        <v>46061</v>
      </c>
    </row>
    <row r="83" spans="1:12">
      <c r="A83" s="2" t="s">
        <v>209</v>
      </c>
      <c r="B83" s="3">
        <v>46042</v>
      </c>
      <c r="C83" s="2" t="s">
        <v>210</v>
      </c>
      <c r="D83" s="2" t="s">
        <v>25</v>
      </c>
      <c r="E83" s="2" t="s">
        <v>43</v>
      </c>
      <c r="F83" s="2" t="s">
        <v>3</v>
      </c>
      <c r="G83" s="2" t="s">
        <v>211</v>
      </c>
      <c r="H83" s="5">
        <v>6.6900000000000001E-2</v>
      </c>
      <c r="I83" s="2">
        <v>84</v>
      </c>
      <c r="J83" s="2" t="s">
        <v>181</v>
      </c>
      <c r="K83" s="2" t="s">
        <v>45</v>
      </c>
      <c r="L83" s="3">
        <v>46054</v>
      </c>
    </row>
    <row r="84" spans="1:12">
      <c r="A84" s="2" t="s">
        <v>212</v>
      </c>
      <c r="B84" s="3">
        <v>46043</v>
      </c>
      <c r="C84" s="2" t="s">
        <v>213</v>
      </c>
      <c r="D84" s="2" t="s">
        <v>29</v>
      </c>
      <c r="E84" s="2" t="s">
        <v>15</v>
      </c>
      <c r="F84" s="2" t="s">
        <v>3</v>
      </c>
      <c r="G84" s="4">
        <v>12200</v>
      </c>
      <c r="H84" s="5">
        <v>5.6500000000000002E-2</v>
      </c>
      <c r="I84" s="2">
        <v>12</v>
      </c>
      <c r="J84" s="2" t="s">
        <v>61</v>
      </c>
      <c r="K84" s="2" t="s">
        <v>17</v>
      </c>
      <c r="L84" s="3">
        <v>46046</v>
      </c>
    </row>
    <row r="85" spans="1:12">
      <c r="A85" s="2" t="s">
        <v>214</v>
      </c>
      <c r="B85" s="3">
        <v>46043</v>
      </c>
      <c r="C85" s="2" t="s">
        <v>146</v>
      </c>
      <c r="D85" s="2" t="s">
        <v>29</v>
      </c>
      <c r="E85" s="2" t="s">
        <v>15</v>
      </c>
      <c r="F85" s="2" t="s">
        <v>3</v>
      </c>
      <c r="G85" s="4">
        <v>17500</v>
      </c>
      <c r="H85" s="5">
        <v>6.5000000000000002E-2</v>
      </c>
      <c r="I85" s="2">
        <v>12</v>
      </c>
      <c r="J85" s="2" t="s">
        <v>61</v>
      </c>
      <c r="K85" s="2" t="s">
        <v>17</v>
      </c>
      <c r="L85" s="3">
        <v>46046</v>
      </c>
    </row>
    <row r="86" spans="1:12">
      <c r="A86" s="2" t="s">
        <v>215</v>
      </c>
      <c r="B86" s="3">
        <v>46044</v>
      </c>
      <c r="C86" s="2" t="s">
        <v>216</v>
      </c>
      <c r="D86" s="2" t="s">
        <v>29</v>
      </c>
      <c r="E86" s="2" t="s">
        <v>30</v>
      </c>
      <c r="F86" s="2" t="s">
        <v>3</v>
      </c>
      <c r="G86" s="4">
        <v>8400</v>
      </c>
      <c r="H86" s="5">
        <v>3.7999999999999999E-2</v>
      </c>
      <c r="I86" s="2">
        <v>60</v>
      </c>
      <c r="J86" s="2" t="s">
        <v>32</v>
      </c>
      <c r="K86" s="2" t="s">
        <v>17</v>
      </c>
      <c r="L86" s="3">
        <v>46048</v>
      </c>
    </row>
    <row r="87" spans="1:12">
      <c r="A87" s="2" t="s">
        <v>217</v>
      </c>
      <c r="B87" s="3">
        <v>46044</v>
      </c>
      <c r="C87" s="2" t="s">
        <v>218</v>
      </c>
      <c r="D87" s="2" t="s">
        <v>14</v>
      </c>
      <c r="E87" s="2" t="s">
        <v>43</v>
      </c>
      <c r="F87" s="2" t="s">
        <v>3</v>
      </c>
      <c r="G87" s="4">
        <v>71000</v>
      </c>
      <c r="H87" s="5">
        <v>0.06</v>
      </c>
      <c r="I87" s="2">
        <v>60</v>
      </c>
      <c r="J87" s="2" t="s">
        <v>16</v>
      </c>
      <c r="K87" s="2" t="s">
        <v>17</v>
      </c>
      <c r="L87" s="3">
        <v>46065</v>
      </c>
    </row>
    <row r="88" spans="1:12">
      <c r="A88" s="2" t="s">
        <v>219</v>
      </c>
      <c r="B88" s="3">
        <v>46044</v>
      </c>
      <c r="C88" s="2" t="s">
        <v>220</v>
      </c>
      <c r="D88" s="2" t="s">
        <v>29</v>
      </c>
      <c r="E88" s="2" t="s">
        <v>30</v>
      </c>
      <c r="F88" s="2" t="s">
        <v>147</v>
      </c>
      <c r="G88" s="4">
        <v>17000</v>
      </c>
      <c r="H88" s="5">
        <v>3.78E-2</v>
      </c>
      <c r="I88" s="2">
        <v>36</v>
      </c>
      <c r="J88" s="2" t="s">
        <v>32</v>
      </c>
      <c r="K88" s="2" t="s">
        <v>17</v>
      </c>
      <c r="L88" s="3">
        <v>46045</v>
      </c>
    </row>
    <row r="89" spans="1:12">
      <c r="A89" s="2" t="s">
        <v>221</v>
      </c>
      <c r="B89" s="3">
        <v>46045</v>
      </c>
      <c r="C89" s="2" t="s">
        <v>222</v>
      </c>
      <c r="D89" s="2" t="s">
        <v>14</v>
      </c>
      <c r="E89" s="2" t="s">
        <v>30</v>
      </c>
      <c r="F89" s="2" t="s">
        <v>3</v>
      </c>
      <c r="G89" s="4">
        <v>15700</v>
      </c>
      <c r="H89" s="5">
        <v>3.5900000000000001E-2</v>
      </c>
      <c r="I89" s="2">
        <v>60</v>
      </c>
      <c r="J89" s="2" t="s">
        <v>16</v>
      </c>
      <c r="K89" s="2" t="s">
        <v>17</v>
      </c>
      <c r="L89" s="3">
        <v>46046</v>
      </c>
    </row>
    <row r="90" spans="1:12">
      <c r="A90" s="2" t="s">
        <v>223</v>
      </c>
      <c r="B90" s="3">
        <v>46046</v>
      </c>
      <c r="C90" s="2" t="s">
        <v>224</v>
      </c>
      <c r="D90" s="2" t="s">
        <v>20</v>
      </c>
      <c r="E90" s="2" t="s">
        <v>21</v>
      </c>
      <c r="F90" s="2" t="s">
        <v>3</v>
      </c>
      <c r="G90" s="4">
        <v>145100</v>
      </c>
      <c r="H90" s="5">
        <v>3.1899999999999998E-2</v>
      </c>
      <c r="I90" s="2">
        <v>240</v>
      </c>
      <c r="J90" s="2" t="s">
        <v>22</v>
      </c>
      <c r="K90" s="2" t="s">
        <v>17</v>
      </c>
      <c r="L90" s="3">
        <v>46070</v>
      </c>
    </row>
    <row r="91" spans="1:12">
      <c r="A91" s="2" t="s">
        <v>225</v>
      </c>
      <c r="B91" s="3">
        <v>46046</v>
      </c>
      <c r="C91" s="2" t="s">
        <v>226</v>
      </c>
      <c r="D91" s="2" t="s">
        <v>29</v>
      </c>
      <c r="E91" s="2" t="s">
        <v>15</v>
      </c>
      <c r="F91" s="2" t="s">
        <v>3</v>
      </c>
      <c r="G91" s="4">
        <v>20800</v>
      </c>
      <c r="H91" s="5">
        <v>6.9699999999999998E-2</v>
      </c>
      <c r="I91" s="2">
        <v>12</v>
      </c>
      <c r="J91" s="2" t="s">
        <v>123</v>
      </c>
      <c r="K91" s="2" t="s">
        <v>17</v>
      </c>
      <c r="L91" s="3">
        <v>46053</v>
      </c>
    </row>
    <row r="92" spans="1:12">
      <c r="A92" s="2" t="s">
        <v>225</v>
      </c>
      <c r="B92" s="3">
        <v>46046</v>
      </c>
      <c r="C92" s="2" t="s">
        <v>226</v>
      </c>
      <c r="D92" s="2" t="s">
        <v>29</v>
      </c>
      <c r="E92" s="2" t="s">
        <v>15</v>
      </c>
      <c r="F92" s="2" t="s">
        <v>3</v>
      </c>
      <c r="G92" s="4">
        <v>20800</v>
      </c>
      <c r="H92" s="5">
        <v>6.9699999999999998E-2</v>
      </c>
      <c r="I92" s="2">
        <v>12</v>
      </c>
      <c r="J92" s="2" t="s">
        <v>123</v>
      </c>
      <c r="K92" s="2" t="s">
        <v>17</v>
      </c>
      <c r="L92" s="3">
        <v>46053</v>
      </c>
    </row>
    <row r="93" spans="1:12">
      <c r="A93" s="2" t="s">
        <v>227</v>
      </c>
      <c r="B93" s="3">
        <v>46046</v>
      </c>
      <c r="C93" s="2" t="s">
        <v>228</v>
      </c>
      <c r="D93" s="2" t="s">
        <v>20</v>
      </c>
      <c r="E93" s="2" t="s">
        <v>43</v>
      </c>
      <c r="F93" s="2" t="s">
        <v>3</v>
      </c>
      <c r="G93" s="4">
        <v>165600</v>
      </c>
      <c r="H93" s="5">
        <v>5.8400000000000001E-2</v>
      </c>
      <c r="I93" s="2">
        <v>60</v>
      </c>
      <c r="J93" s="2" t="s">
        <v>44</v>
      </c>
      <c r="K93" s="2" t="s">
        <v>17</v>
      </c>
      <c r="L93" s="3">
        <v>46063</v>
      </c>
    </row>
    <row r="94" spans="1:12">
      <c r="A94" s="2" t="s">
        <v>229</v>
      </c>
      <c r="B94" s="3">
        <v>46046</v>
      </c>
      <c r="C94" s="2" t="s">
        <v>230</v>
      </c>
      <c r="D94" s="2" t="s">
        <v>54</v>
      </c>
      <c r="E94" s="2" t="s">
        <v>15</v>
      </c>
      <c r="F94" s="2" t="s">
        <v>3</v>
      </c>
      <c r="G94" s="4">
        <v>18300</v>
      </c>
      <c r="H94" s="5">
        <v>5.2200000000000003E-2</v>
      </c>
      <c r="I94" s="2">
        <v>24</v>
      </c>
      <c r="J94" s="2" t="s">
        <v>148</v>
      </c>
      <c r="K94" s="2" t="s">
        <v>17</v>
      </c>
      <c r="L94" s="3">
        <v>46051</v>
      </c>
    </row>
    <row r="95" spans="1:12">
      <c r="A95" s="2" t="s">
        <v>229</v>
      </c>
      <c r="B95" s="3">
        <v>46046</v>
      </c>
      <c r="C95" s="2" t="s">
        <v>230</v>
      </c>
      <c r="D95" s="2" t="s">
        <v>54</v>
      </c>
      <c r="E95" s="2" t="s">
        <v>15</v>
      </c>
      <c r="F95" s="2" t="s">
        <v>3</v>
      </c>
      <c r="G95" s="4">
        <v>18300</v>
      </c>
      <c r="H95" s="5">
        <v>5.2200000000000003E-2</v>
      </c>
      <c r="I95" s="2">
        <v>24</v>
      </c>
      <c r="J95" s="2" t="s">
        <v>148</v>
      </c>
      <c r="K95" s="2" t="s">
        <v>17</v>
      </c>
      <c r="L95" s="3">
        <v>46051</v>
      </c>
    </row>
    <row r="96" spans="1:12">
      <c r="A96" s="2" t="s">
        <v>231</v>
      </c>
      <c r="B96" s="3">
        <v>46047</v>
      </c>
      <c r="C96" s="2" t="s">
        <v>232</v>
      </c>
      <c r="D96" s="2" t="s">
        <v>14</v>
      </c>
      <c r="E96" s="2" t="s">
        <v>15</v>
      </c>
      <c r="F96" s="2" t="s">
        <v>3</v>
      </c>
      <c r="G96" s="4">
        <v>13600</v>
      </c>
      <c r="H96" s="5">
        <v>6.88E-2</v>
      </c>
      <c r="I96" s="2">
        <v>12</v>
      </c>
      <c r="J96" s="2" t="s">
        <v>48</v>
      </c>
      <c r="K96" s="2" t="s">
        <v>45</v>
      </c>
      <c r="L96" s="3">
        <v>46049</v>
      </c>
    </row>
    <row r="97" spans="1:12">
      <c r="A97" s="2" t="s">
        <v>233</v>
      </c>
      <c r="B97" s="3">
        <v>46047</v>
      </c>
      <c r="C97" s="2" t="s">
        <v>234</v>
      </c>
      <c r="D97" s="2" t="s">
        <v>29</v>
      </c>
      <c r="E97" s="2" t="s">
        <v>15</v>
      </c>
      <c r="F97" s="2" t="s">
        <v>31</v>
      </c>
      <c r="G97" s="4">
        <v>8600</v>
      </c>
      <c r="H97" s="5">
        <v>5.9799999999999999E-2</v>
      </c>
      <c r="I97" s="2">
        <v>36</v>
      </c>
      <c r="J97" s="2" t="s">
        <v>32</v>
      </c>
      <c r="K97" s="2" t="s">
        <v>17</v>
      </c>
      <c r="L97" s="3">
        <v>46048</v>
      </c>
    </row>
    <row r="98" spans="1:12">
      <c r="A98" s="2" t="s">
        <v>233</v>
      </c>
      <c r="B98" s="3">
        <v>46047</v>
      </c>
      <c r="C98" s="2" t="s">
        <v>234</v>
      </c>
      <c r="D98" s="2" t="s">
        <v>29</v>
      </c>
      <c r="E98" s="2" t="s">
        <v>15</v>
      </c>
      <c r="F98" s="2" t="s">
        <v>31</v>
      </c>
      <c r="G98" s="4">
        <v>8600</v>
      </c>
      <c r="H98" s="5">
        <v>5.9799999999999999E-2</v>
      </c>
      <c r="I98" s="2">
        <v>36</v>
      </c>
      <c r="J98" s="2" t="s">
        <v>32</v>
      </c>
      <c r="K98" s="2" t="s">
        <v>17</v>
      </c>
      <c r="L98" s="3">
        <v>46048</v>
      </c>
    </row>
    <row r="99" spans="1:12">
      <c r="A99" s="2" t="s">
        <v>235</v>
      </c>
      <c r="B99" s="3">
        <v>46047</v>
      </c>
      <c r="C99" s="2" t="s">
        <v>236</v>
      </c>
      <c r="D99" s="2" t="s">
        <v>14</v>
      </c>
      <c r="E99" s="2" t="s">
        <v>30</v>
      </c>
      <c r="F99" s="2" t="s">
        <v>31</v>
      </c>
      <c r="G99" s="4">
        <v>12000</v>
      </c>
      <c r="H99" s="5">
        <v>3.9800000000000002E-2</v>
      </c>
      <c r="I99" s="2">
        <v>36</v>
      </c>
      <c r="J99" s="2" t="s">
        <v>48</v>
      </c>
      <c r="K99" s="2" t="s">
        <v>17</v>
      </c>
      <c r="L99" s="3">
        <v>46050</v>
      </c>
    </row>
    <row r="100" spans="1:12">
      <c r="A100" s="2" t="s">
        <v>237</v>
      </c>
      <c r="B100" s="3">
        <v>46047</v>
      </c>
      <c r="C100" s="2" t="s">
        <v>238</v>
      </c>
      <c r="D100" s="2" t="s">
        <v>71</v>
      </c>
      <c r="E100" s="2" t="s">
        <v>15</v>
      </c>
      <c r="F100" s="2" t="s">
        <v>3</v>
      </c>
      <c r="G100" s="4">
        <v>25000</v>
      </c>
      <c r="H100" s="5">
        <v>5.5599999999999997E-2</v>
      </c>
      <c r="I100" s="2">
        <v>48</v>
      </c>
      <c r="J100" s="2" t="s">
        <v>94</v>
      </c>
      <c r="K100" s="2" t="s">
        <v>17</v>
      </c>
      <c r="L100" s="3">
        <v>46048</v>
      </c>
    </row>
    <row r="101" spans="1:12">
      <c r="A101" s="2" t="s">
        <v>239</v>
      </c>
      <c r="B101" s="3">
        <v>46047</v>
      </c>
      <c r="C101" s="2" t="s">
        <v>240</v>
      </c>
      <c r="D101" s="2" t="s">
        <v>14</v>
      </c>
      <c r="E101" s="2" t="s">
        <v>21</v>
      </c>
      <c r="F101" s="2" t="s">
        <v>3</v>
      </c>
      <c r="G101" s="4">
        <v>137400</v>
      </c>
      <c r="H101" s="5">
        <v>3.7100000000000001E-2</v>
      </c>
      <c r="I101" s="2">
        <v>180</v>
      </c>
      <c r="J101" s="2" t="s">
        <v>40</v>
      </c>
      <c r="K101" s="2" t="s">
        <v>17</v>
      </c>
      <c r="L101" s="3">
        <v>46074</v>
      </c>
    </row>
    <row r="102" spans="1:12">
      <c r="A102" s="2" t="s">
        <v>241</v>
      </c>
      <c r="B102" s="3">
        <v>46047</v>
      </c>
      <c r="C102" s="2" t="s">
        <v>242</v>
      </c>
      <c r="D102" s="2" t="s">
        <v>20</v>
      </c>
      <c r="E102" s="2" t="s">
        <v>15</v>
      </c>
      <c r="F102" s="2" t="s">
        <v>55</v>
      </c>
      <c r="G102" s="4">
        <v>7800</v>
      </c>
      <c r="H102" s="5">
        <v>6.9599999999999995E-2</v>
      </c>
      <c r="I102" s="2">
        <v>24</v>
      </c>
      <c r="J102" s="2" t="s">
        <v>44</v>
      </c>
      <c r="K102" s="2" t="s">
        <v>17</v>
      </c>
      <c r="L102" s="3">
        <v>46053</v>
      </c>
    </row>
    <row r="103" spans="1:12">
      <c r="A103" s="2" t="s">
        <v>243</v>
      </c>
      <c r="B103" s="3">
        <v>46048</v>
      </c>
      <c r="C103" s="2" t="s">
        <v>244</v>
      </c>
      <c r="D103" s="2" t="s">
        <v>14</v>
      </c>
      <c r="E103" s="2" t="s">
        <v>30</v>
      </c>
      <c r="F103" s="2" t="s">
        <v>55</v>
      </c>
      <c r="G103" s="4">
        <v>8900</v>
      </c>
      <c r="H103" s="5">
        <v>3.61E-2</v>
      </c>
      <c r="I103" s="2">
        <v>48</v>
      </c>
      <c r="J103" s="2" t="s">
        <v>48</v>
      </c>
      <c r="K103" s="2" t="s">
        <v>17</v>
      </c>
      <c r="L103" s="3">
        <v>46049</v>
      </c>
    </row>
    <row r="104" spans="1:12">
      <c r="A104" s="2" t="s">
        <v>245</v>
      </c>
      <c r="B104" s="3">
        <v>46048</v>
      </c>
      <c r="C104" s="2" t="s">
        <v>234</v>
      </c>
      <c r="D104" s="2" t="s">
        <v>20</v>
      </c>
      <c r="E104" s="2" t="s">
        <v>30</v>
      </c>
      <c r="F104" s="2" t="s">
        <v>3</v>
      </c>
      <c r="G104" s="4">
        <v>11800</v>
      </c>
      <c r="H104" s="5">
        <v>4.2900000000000001E-2</v>
      </c>
      <c r="I104" s="2">
        <v>60</v>
      </c>
      <c r="J104" s="2" t="s">
        <v>22</v>
      </c>
      <c r="K104" s="2" t="s">
        <v>17</v>
      </c>
      <c r="L104" s="3">
        <v>46051</v>
      </c>
    </row>
    <row r="105" spans="1:12">
      <c r="A105" s="2" t="s">
        <v>246</v>
      </c>
      <c r="B105" s="3">
        <v>46048</v>
      </c>
      <c r="C105" s="2" t="s">
        <v>232</v>
      </c>
      <c r="D105" s="2" t="s">
        <v>29</v>
      </c>
      <c r="E105" s="2" t="s">
        <v>15</v>
      </c>
      <c r="F105" s="2" t="s">
        <v>3</v>
      </c>
      <c r="G105" s="4">
        <v>12500</v>
      </c>
      <c r="H105" s="5">
        <v>5.5899999999999998E-2</v>
      </c>
      <c r="I105" s="2">
        <v>12</v>
      </c>
      <c r="J105" s="2" t="s">
        <v>61</v>
      </c>
      <c r="K105" s="2" t="s">
        <v>17</v>
      </c>
      <c r="L105" s="3">
        <v>46054</v>
      </c>
    </row>
    <row r="106" spans="1:12">
      <c r="A106" s="2" t="s">
        <v>247</v>
      </c>
      <c r="B106" s="3">
        <v>46048</v>
      </c>
      <c r="C106" s="2" t="s">
        <v>248</v>
      </c>
      <c r="D106" s="2" t="s">
        <v>14</v>
      </c>
      <c r="E106" s="2" t="s">
        <v>21</v>
      </c>
      <c r="F106" s="2" t="s">
        <v>55</v>
      </c>
      <c r="G106" s="4">
        <v>99400</v>
      </c>
      <c r="H106" s="5">
        <v>3.56E-2</v>
      </c>
      <c r="I106" s="2">
        <v>300</v>
      </c>
      <c r="J106" s="2" t="s">
        <v>48</v>
      </c>
      <c r="K106" s="2" t="s">
        <v>17</v>
      </c>
      <c r="L106" s="3">
        <v>46076</v>
      </c>
    </row>
    <row r="107" spans="1:12">
      <c r="A107" s="2" t="s">
        <v>249</v>
      </c>
      <c r="B107" s="3">
        <v>46049</v>
      </c>
      <c r="C107" s="2" t="s">
        <v>250</v>
      </c>
      <c r="D107" s="2" t="s">
        <v>14</v>
      </c>
      <c r="E107" s="2" t="s">
        <v>15</v>
      </c>
      <c r="F107" s="2" t="s">
        <v>3</v>
      </c>
      <c r="G107" s="4">
        <v>3900</v>
      </c>
      <c r="H107" s="5">
        <v>5.5100000000000003E-2</v>
      </c>
      <c r="I107" s="2">
        <v>24</v>
      </c>
      <c r="J107" s="2" t="s">
        <v>40</v>
      </c>
      <c r="K107" s="2" t="s">
        <v>17</v>
      </c>
      <c r="L107" s="3">
        <v>46053</v>
      </c>
    </row>
    <row r="108" spans="1:12">
      <c r="A108" s="2" t="s">
        <v>251</v>
      </c>
      <c r="B108" s="3">
        <v>46049</v>
      </c>
      <c r="C108" s="2" t="s">
        <v>252</v>
      </c>
      <c r="D108" s="2" t="s">
        <v>14</v>
      </c>
      <c r="E108" s="2" t="s">
        <v>21</v>
      </c>
      <c r="F108" s="2" t="s">
        <v>3</v>
      </c>
      <c r="G108" s="4">
        <v>227200</v>
      </c>
      <c r="H108" s="5">
        <v>3.61E-2</v>
      </c>
      <c r="I108" s="2">
        <v>180</v>
      </c>
      <c r="J108" s="2" t="s">
        <v>40</v>
      </c>
      <c r="K108" s="2" t="s">
        <v>17</v>
      </c>
      <c r="L108" s="3">
        <v>46076</v>
      </c>
    </row>
    <row r="109" spans="1:12">
      <c r="A109" s="2" t="s">
        <v>253</v>
      </c>
      <c r="B109" s="3">
        <v>46050</v>
      </c>
      <c r="C109" s="2" t="s">
        <v>254</v>
      </c>
      <c r="D109" s="2" t="s">
        <v>20</v>
      </c>
      <c r="E109" s="2" t="s">
        <v>15</v>
      </c>
      <c r="F109" s="2" t="s">
        <v>3</v>
      </c>
      <c r="G109" s="4">
        <v>14100</v>
      </c>
      <c r="H109" s="5">
        <v>6.59E-2</v>
      </c>
      <c r="I109" s="2">
        <v>24</v>
      </c>
      <c r="J109" s="2" t="s">
        <v>37</v>
      </c>
      <c r="K109" s="2" t="s">
        <v>17</v>
      </c>
      <c r="L109" s="3">
        <v>46051</v>
      </c>
    </row>
    <row r="110" spans="1:12">
      <c r="A110" s="2" t="s">
        <v>255</v>
      </c>
      <c r="B110" s="3">
        <v>46050</v>
      </c>
      <c r="C110" s="2" t="s">
        <v>256</v>
      </c>
      <c r="D110" s="2" t="s">
        <v>20</v>
      </c>
      <c r="E110" s="2" t="s">
        <v>15</v>
      </c>
      <c r="F110" s="2" t="s">
        <v>31</v>
      </c>
      <c r="G110" s="4">
        <v>8000</v>
      </c>
      <c r="H110" s="5">
        <v>6.5100000000000005E-2</v>
      </c>
      <c r="I110" s="2">
        <v>24</v>
      </c>
      <c r="J110" s="2" t="s">
        <v>22</v>
      </c>
      <c r="K110" s="2" t="s">
        <v>17</v>
      </c>
      <c r="L110" s="3">
        <v>46053</v>
      </c>
    </row>
    <row r="111" spans="1:12">
      <c r="A111" s="2" t="s">
        <v>257</v>
      </c>
      <c r="B111" s="3">
        <v>46050</v>
      </c>
      <c r="C111" s="2" t="s">
        <v>258</v>
      </c>
      <c r="D111" s="2" t="s">
        <v>14</v>
      </c>
      <c r="E111" s="2" t="s">
        <v>21</v>
      </c>
      <c r="F111" s="2" t="s">
        <v>3</v>
      </c>
      <c r="G111" s="4">
        <v>142500</v>
      </c>
      <c r="H111" s="5">
        <v>4.41E-2</v>
      </c>
      <c r="I111" s="2">
        <v>240</v>
      </c>
      <c r="J111" s="2" t="s">
        <v>16</v>
      </c>
      <c r="K111" s="2" t="s">
        <v>17</v>
      </c>
      <c r="L111" s="3">
        <v>46068</v>
      </c>
    </row>
    <row r="112" spans="1:12">
      <c r="A112" s="2" t="s">
        <v>259</v>
      </c>
      <c r="B112" s="3">
        <v>46051</v>
      </c>
      <c r="C112" s="2" t="s">
        <v>260</v>
      </c>
      <c r="D112" s="2" t="s">
        <v>20</v>
      </c>
      <c r="E112" s="2" t="s">
        <v>30</v>
      </c>
      <c r="F112" s="2" t="s">
        <v>3</v>
      </c>
      <c r="G112" s="4">
        <v>8100</v>
      </c>
      <c r="H112" s="5">
        <v>4.5400000000000003E-2</v>
      </c>
      <c r="I112" s="2">
        <v>48</v>
      </c>
      <c r="J112" s="2" t="s">
        <v>22</v>
      </c>
      <c r="K112" s="2" t="s">
        <v>17</v>
      </c>
      <c r="L112" s="3">
        <v>46054</v>
      </c>
    </row>
    <row r="113" spans="1:12">
      <c r="A113" s="2" t="s">
        <v>261</v>
      </c>
      <c r="B113" s="3">
        <v>46051</v>
      </c>
      <c r="C113" s="2" t="s">
        <v>262</v>
      </c>
      <c r="D113" s="2" t="s">
        <v>25</v>
      </c>
      <c r="E113" s="2" t="s">
        <v>30</v>
      </c>
      <c r="F113" s="2" t="s">
        <v>31</v>
      </c>
      <c r="G113" s="4">
        <v>10800</v>
      </c>
      <c r="H113" s="5">
        <v>4.7600000000000003E-2</v>
      </c>
      <c r="I113" s="2">
        <v>48</v>
      </c>
      <c r="J113" s="2" t="s">
        <v>26</v>
      </c>
      <c r="K113" s="2" t="s">
        <v>17</v>
      </c>
      <c r="L113" s="3">
        <v>46052</v>
      </c>
    </row>
    <row r="114" spans="1:12">
      <c r="A114" s="2" t="s">
        <v>263</v>
      </c>
      <c r="B114" s="3">
        <v>46051</v>
      </c>
      <c r="C114" s="2" t="s">
        <v>264</v>
      </c>
      <c r="D114" s="2" t="s">
        <v>54</v>
      </c>
      <c r="E114" s="2" t="s">
        <v>30</v>
      </c>
      <c r="F114" s="2" t="s">
        <v>3</v>
      </c>
      <c r="G114" s="4">
        <v>13900</v>
      </c>
      <c r="H114" s="5">
        <v>3.7699999999999997E-2</v>
      </c>
      <c r="I114" s="2">
        <v>48</v>
      </c>
      <c r="J114" s="2" t="s">
        <v>56</v>
      </c>
      <c r="K114" s="2" t="s">
        <v>17</v>
      </c>
      <c r="L114" s="3">
        <v>46056</v>
      </c>
    </row>
    <row r="115" spans="1:12">
      <c r="A115" s="2" t="s">
        <v>265</v>
      </c>
      <c r="B115" s="3">
        <v>46051</v>
      </c>
      <c r="C115" s="2" t="s">
        <v>266</v>
      </c>
      <c r="D115" s="2" t="s">
        <v>25</v>
      </c>
      <c r="E115" s="2" t="s">
        <v>21</v>
      </c>
      <c r="F115" s="2" t="s">
        <v>3</v>
      </c>
      <c r="G115" s="4">
        <v>302500</v>
      </c>
      <c r="H115" s="5">
        <v>3.4700000000000002E-2</v>
      </c>
      <c r="I115" s="2">
        <v>180</v>
      </c>
      <c r="J115" s="2" t="s">
        <v>181</v>
      </c>
      <c r="K115" s="2" t="s">
        <v>17</v>
      </c>
      <c r="L115" s="3">
        <v>46081</v>
      </c>
    </row>
    <row r="116" spans="1:12">
      <c r="A116" s="2" t="s">
        <v>267</v>
      </c>
      <c r="B116" s="3">
        <v>46051</v>
      </c>
      <c r="C116" s="2" t="s">
        <v>268</v>
      </c>
      <c r="D116" s="2" t="s">
        <v>25</v>
      </c>
      <c r="E116" s="2" t="s">
        <v>15</v>
      </c>
      <c r="F116" s="2" t="s">
        <v>55</v>
      </c>
      <c r="G116" s="4">
        <v>5400</v>
      </c>
      <c r="H116" s="5">
        <v>6.7000000000000004E-2</v>
      </c>
      <c r="I116" s="2">
        <v>24</v>
      </c>
      <c r="J116" s="2" t="s">
        <v>66</v>
      </c>
      <c r="K116" s="2" t="s">
        <v>17</v>
      </c>
      <c r="L116" s="3">
        <v>46057</v>
      </c>
    </row>
    <row r="117" spans="1:12">
      <c r="A117" s="2" t="s">
        <v>269</v>
      </c>
      <c r="B117" s="3">
        <v>46051</v>
      </c>
      <c r="C117" s="2" t="s">
        <v>270</v>
      </c>
      <c r="D117" s="2" t="s">
        <v>25</v>
      </c>
      <c r="E117" s="2" t="s">
        <v>15</v>
      </c>
      <c r="F117" s="2" t="s">
        <v>3</v>
      </c>
      <c r="G117" s="4">
        <v>13200</v>
      </c>
      <c r="H117" s="5">
        <v>6.8900000000000003E-2</v>
      </c>
      <c r="I117" s="2">
        <v>12</v>
      </c>
      <c r="J117" s="2" t="s">
        <v>66</v>
      </c>
      <c r="K117" s="2" t="s">
        <v>17</v>
      </c>
      <c r="L117" s="3">
        <v>46055</v>
      </c>
    </row>
    <row r="118" spans="1:12">
      <c r="A118" s="2" t="s">
        <v>271</v>
      </c>
      <c r="B118" s="3">
        <v>46051</v>
      </c>
      <c r="C118" s="2" t="s">
        <v>272</v>
      </c>
      <c r="D118" s="2" t="s">
        <v>25</v>
      </c>
      <c r="E118" s="2" t="s">
        <v>30</v>
      </c>
      <c r="F118" s="2" t="s">
        <v>3</v>
      </c>
      <c r="G118" s="4">
        <v>18300</v>
      </c>
      <c r="H118" s="5">
        <v>0.04</v>
      </c>
      <c r="I118" s="2">
        <v>60</v>
      </c>
      <c r="J118" s="2" t="s">
        <v>66</v>
      </c>
      <c r="K118" s="2" t="s">
        <v>17</v>
      </c>
      <c r="L118" s="3">
        <v>46056</v>
      </c>
    </row>
    <row r="119" spans="1:12">
      <c r="A119" s="2" t="s">
        <v>273</v>
      </c>
      <c r="B119" s="3">
        <v>46052</v>
      </c>
      <c r="C119" s="2" t="s">
        <v>274</v>
      </c>
      <c r="D119" s="2" t="s">
        <v>20</v>
      </c>
      <c r="E119" s="2" t="s">
        <v>87</v>
      </c>
      <c r="F119" s="2" t="s">
        <v>3</v>
      </c>
      <c r="G119" s="4">
        <v>23800</v>
      </c>
      <c r="H119" s="5">
        <v>6.0199999999999997E-2</v>
      </c>
      <c r="I119" s="2">
        <v>60</v>
      </c>
      <c r="J119" s="2" t="s">
        <v>22</v>
      </c>
      <c r="K119" s="2" t="s">
        <v>17</v>
      </c>
      <c r="L119" s="3">
        <v>46056</v>
      </c>
    </row>
    <row r="120" spans="1:12">
      <c r="A120" s="2" t="s">
        <v>275</v>
      </c>
      <c r="B120" s="3">
        <v>46052</v>
      </c>
      <c r="C120" s="2" t="s">
        <v>276</v>
      </c>
      <c r="D120" s="2" t="s">
        <v>20</v>
      </c>
      <c r="E120" s="2" t="s">
        <v>21</v>
      </c>
      <c r="F120" s="2" t="s">
        <v>31</v>
      </c>
      <c r="G120" s="4">
        <v>44100</v>
      </c>
      <c r="H120" s="5">
        <v>3.56E-2</v>
      </c>
      <c r="I120" s="2">
        <v>120</v>
      </c>
      <c r="J120" s="2" t="s">
        <v>37</v>
      </c>
      <c r="K120" s="2" t="s">
        <v>17</v>
      </c>
      <c r="L120" s="3">
        <v>46076</v>
      </c>
    </row>
    <row r="121" spans="1:12">
      <c r="A121" s="2" t="s">
        <v>277</v>
      </c>
      <c r="B121" s="3">
        <v>46052</v>
      </c>
      <c r="C121" s="2" t="s">
        <v>278</v>
      </c>
      <c r="D121" s="2" t="s">
        <v>25</v>
      </c>
      <c r="E121" s="2" t="s">
        <v>15</v>
      </c>
      <c r="F121" s="2" t="s">
        <v>3</v>
      </c>
      <c r="G121" s="4">
        <v>22400</v>
      </c>
      <c r="H121" s="5">
        <v>5.6399999999999999E-2</v>
      </c>
      <c r="I121" s="2">
        <v>24</v>
      </c>
      <c r="J121" s="2" t="s">
        <v>26</v>
      </c>
      <c r="K121" s="2" t="s">
        <v>17</v>
      </c>
      <c r="L121" s="3">
        <v>46057</v>
      </c>
    </row>
    <row r="122" spans="1:12">
      <c r="A122" s="2" t="s">
        <v>279</v>
      </c>
      <c r="B122" s="3">
        <v>46052</v>
      </c>
      <c r="C122" s="2" t="s">
        <v>280</v>
      </c>
      <c r="D122" s="2" t="s">
        <v>29</v>
      </c>
      <c r="E122" s="2" t="s">
        <v>30</v>
      </c>
      <c r="F122" s="2" t="s">
        <v>3</v>
      </c>
      <c r="G122" s="4">
        <v>13300</v>
      </c>
      <c r="H122" s="5">
        <v>4.3499999999999997E-2</v>
      </c>
      <c r="I122" s="2">
        <v>60</v>
      </c>
      <c r="J122" s="2" t="s">
        <v>123</v>
      </c>
      <c r="K122" s="2" t="s">
        <v>17</v>
      </c>
      <c r="L122" s="3">
        <v>46055</v>
      </c>
    </row>
    <row r="123" spans="1:12">
      <c r="A123" s="2" t="s">
        <v>281</v>
      </c>
      <c r="B123" s="3">
        <v>46052</v>
      </c>
      <c r="C123" s="2" t="s">
        <v>282</v>
      </c>
      <c r="D123" s="2" t="s">
        <v>14</v>
      </c>
      <c r="E123" s="2" t="s">
        <v>30</v>
      </c>
      <c r="F123" s="2" t="s">
        <v>31</v>
      </c>
      <c r="G123" s="4">
        <v>6600</v>
      </c>
      <c r="H123" s="5">
        <v>4.2999999999999997E-2</v>
      </c>
      <c r="I123" s="2">
        <v>48</v>
      </c>
      <c r="J123" s="2" t="s">
        <v>40</v>
      </c>
      <c r="K123" s="2" t="s">
        <v>45</v>
      </c>
      <c r="L123" s="3">
        <v>46054</v>
      </c>
    </row>
    <row r="124" spans="1:12">
      <c r="A124" s="2" t="s">
        <v>283</v>
      </c>
      <c r="B124" s="3">
        <v>46052</v>
      </c>
      <c r="C124" s="2" t="s">
        <v>284</v>
      </c>
      <c r="D124" s="2" t="s">
        <v>25</v>
      </c>
      <c r="E124" s="2" t="s">
        <v>21</v>
      </c>
      <c r="F124" s="2" t="s">
        <v>3</v>
      </c>
      <c r="G124" s="4">
        <v>85600</v>
      </c>
      <c r="H124" s="5">
        <v>4.3400000000000001E-2</v>
      </c>
      <c r="I124" s="2">
        <v>180</v>
      </c>
      <c r="J124" s="2" t="s">
        <v>66</v>
      </c>
      <c r="K124" s="2" t="s">
        <v>17</v>
      </c>
      <c r="L124" s="3">
        <v>46081</v>
      </c>
    </row>
    <row r="125" spans="1:12">
      <c r="A125" s="2" t="s">
        <v>285</v>
      </c>
      <c r="B125" s="3">
        <v>46053</v>
      </c>
      <c r="C125" s="2" t="s">
        <v>286</v>
      </c>
      <c r="D125" s="2" t="s">
        <v>54</v>
      </c>
      <c r="E125" s="2" t="s">
        <v>15</v>
      </c>
      <c r="F125" s="2" t="s">
        <v>3</v>
      </c>
      <c r="G125" s="4">
        <v>5400</v>
      </c>
      <c r="H125" s="5">
        <v>6.3700000000000007E-2</v>
      </c>
      <c r="I125" s="2">
        <v>12</v>
      </c>
      <c r="J125" s="2" t="s">
        <v>56</v>
      </c>
      <c r="K125" s="2" t="s">
        <v>45</v>
      </c>
      <c r="L125" s="3">
        <v>46057</v>
      </c>
    </row>
    <row r="126" spans="1:12">
      <c r="A126" s="2" t="s">
        <v>287</v>
      </c>
      <c r="B126" s="3">
        <v>46053</v>
      </c>
      <c r="C126" s="2" t="s">
        <v>288</v>
      </c>
      <c r="D126" s="2" t="s">
        <v>20</v>
      </c>
      <c r="E126" s="2" t="s">
        <v>43</v>
      </c>
      <c r="F126" s="2" t="s">
        <v>3</v>
      </c>
      <c r="G126" s="4">
        <v>32900</v>
      </c>
      <c r="H126" s="5">
        <v>7.2700000000000001E-2</v>
      </c>
      <c r="I126" s="2">
        <v>24</v>
      </c>
      <c r="J126" s="2" t="s">
        <v>37</v>
      </c>
      <c r="K126" s="2" t="s">
        <v>45</v>
      </c>
      <c r="L126" s="3">
        <v>46068</v>
      </c>
    </row>
    <row r="127" spans="1:12">
      <c r="A127" s="2" t="s">
        <v>289</v>
      </c>
      <c r="B127" s="3">
        <v>46054</v>
      </c>
      <c r="C127" s="2" t="s">
        <v>290</v>
      </c>
      <c r="D127" s="2" t="s">
        <v>25</v>
      </c>
      <c r="E127" s="2" t="s">
        <v>30</v>
      </c>
      <c r="F127" s="2" t="s">
        <v>3</v>
      </c>
      <c r="G127" s="4">
        <v>16600</v>
      </c>
      <c r="H127" s="5">
        <v>4.1300000000000003E-2</v>
      </c>
      <c r="I127" s="2">
        <v>36</v>
      </c>
      <c r="J127" s="2" t="s">
        <v>181</v>
      </c>
      <c r="K127" s="2" t="s">
        <v>17</v>
      </c>
      <c r="L127" s="3">
        <v>46056</v>
      </c>
    </row>
    <row r="128" spans="1:12">
      <c r="A128" s="2" t="s">
        <v>291</v>
      </c>
      <c r="B128" s="3">
        <v>46054</v>
      </c>
      <c r="C128" s="2" t="s">
        <v>292</v>
      </c>
      <c r="D128" s="2" t="s">
        <v>20</v>
      </c>
      <c r="E128" s="2" t="s">
        <v>15</v>
      </c>
      <c r="F128" s="2" t="s">
        <v>3</v>
      </c>
      <c r="G128" s="4">
        <v>6500</v>
      </c>
      <c r="H128" s="5">
        <v>5.7799999999999997E-2</v>
      </c>
      <c r="I128" s="2">
        <v>60</v>
      </c>
      <c r="J128" s="2" t="s">
        <v>37</v>
      </c>
      <c r="K128" s="2" t="s">
        <v>17</v>
      </c>
      <c r="L128" s="3">
        <v>46058</v>
      </c>
    </row>
    <row r="129" spans="1:12">
      <c r="A129" s="2" t="s">
        <v>293</v>
      </c>
      <c r="B129" s="3">
        <v>46054</v>
      </c>
      <c r="C129" s="2" t="s">
        <v>232</v>
      </c>
      <c r="D129" s="2" t="s">
        <v>25</v>
      </c>
      <c r="E129" s="2" t="s">
        <v>15</v>
      </c>
      <c r="F129" s="2" t="s">
        <v>31</v>
      </c>
      <c r="G129" s="4">
        <v>17400</v>
      </c>
      <c r="H129" s="5">
        <v>5.5300000000000002E-2</v>
      </c>
      <c r="I129" s="2">
        <v>48</v>
      </c>
      <c r="J129" s="2" t="s">
        <v>26</v>
      </c>
      <c r="K129" s="2" t="s">
        <v>17</v>
      </c>
      <c r="L129" s="3">
        <v>46058</v>
      </c>
    </row>
    <row r="130" spans="1:12">
      <c r="A130" s="2" t="s">
        <v>294</v>
      </c>
      <c r="B130" s="3">
        <v>46055</v>
      </c>
      <c r="C130" s="2" t="s">
        <v>295</v>
      </c>
      <c r="D130" s="2" t="s">
        <v>25</v>
      </c>
      <c r="E130" s="2" t="s">
        <v>15</v>
      </c>
      <c r="F130" s="2" t="s">
        <v>31</v>
      </c>
      <c r="G130" s="4">
        <v>5200</v>
      </c>
      <c r="H130" s="5">
        <v>6.5600000000000006E-2</v>
      </c>
      <c r="I130" s="2">
        <v>48</v>
      </c>
      <c r="J130" s="2" t="s">
        <v>66</v>
      </c>
      <c r="K130" s="2" t="s">
        <v>17</v>
      </c>
      <c r="L130" s="3">
        <v>46059</v>
      </c>
    </row>
    <row r="131" spans="1:12">
      <c r="A131" s="2" t="s">
        <v>296</v>
      </c>
      <c r="B131" s="3">
        <v>46055</v>
      </c>
      <c r="C131" s="2" t="s">
        <v>297</v>
      </c>
      <c r="D131" s="2" t="s">
        <v>14</v>
      </c>
      <c r="E131" s="2" t="s">
        <v>15</v>
      </c>
      <c r="F131" s="2" t="s">
        <v>3</v>
      </c>
      <c r="G131" s="4">
        <v>17400</v>
      </c>
      <c r="H131" s="5">
        <v>6.6799999999999998E-2</v>
      </c>
      <c r="I131" s="2">
        <v>36</v>
      </c>
      <c r="J131" s="2" t="s">
        <v>16</v>
      </c>
      <c r="K131" s="2" t="s">
        <v>45</v>
      </c>
      <c r="L131" s="3">
        <v>46056</v>
      </c>
    </row>
    <row r="132" spans="1:12">
      <c r="A132" s="2" t="s">
        <v>298</v>
      </c>
      <c r="B132" s="3">
        <v>46056</v>
      </c>
      <c r="C132" s="2" t="s">
        <v>299</v>
      </c>
      <c r="D132" s="2" t="s">
        <v>14</v>
      </c>
      <c r="E132" s="2" t="s">
        <v>30</v>
      </c>
      <c r="F132" s="2" t="s">
        <v>3</v>
      </c>
      <c r="G132" s="4">
        <v>11400</v>
      </c>
      <c r="H132" s="5">
        <v>4.4600000000000001E-2</v>
      </c>
      <c r="I132" s="2">
        <v>36</v>
      </c>
      <c r="J132" s="2" t="s">
        <v>16</v>
      </c>
      <c r="K132" s="2" t="s">
        <v>17</v>
      </c>
      <c r="L132" s="3">
        <v>46057</v>
      </c>
    </row>
    <row r="133" spans="1:12">
      <c r="A133" s="2" t="s">
        <v>298</v>
      </c>
      <c r="B133" s="3">
        <v>46056</v>
      </c>
      <c r="C133" s="2" t="s">
        <v>299</v>
      </c>
      <c r="D133" s="2" t="s">
        <v>14</v>
      </c>
      <c r="E133" s="2" t="s">
        <v>30</v>
      </c>
      <c r="F133" s="2" t="s">
        <v>3</v>
      </c>
      <c r="G133" s="4">
        <v>11400</v>
      </c>
      <c r="H133" s="5">
        <v>4.4600000000000001E-2</v>
      </c>
      <c r="I133" s="2">
        <v>36</v>
      </c>
      <c r="J133" s="2" t="s">
        <v>16</v>
      </c>
      <c r="K133" s="2" t="s">
        <v>17</v>
      </c>
      <c r="L133" s="3">
        <v>46057</v>
      </c>
    </row>
    <row r="134" spans="1:12">
      <c r="A134" s="2" t="s">
        <v>300</v>
      </c>
      <c r="B134" s="3">
        <v>46056</v>
      </c>
      <c r="C134" s="2" t="s">
        <v>301</v>
      </c>
      <c r="D134" s="2" t="s">
        <v>20</v>
      </c>
      <c r="E134" s="2" t="s">
        <v>15</v>
      </c>
      <c r="F134" s="2" t="s">
        <v>3</v>
      </c>
      <c r="G134" s="4">
        <v>13500</v>
      </c>
      <c r="H134" s="5">
        <v>6.9699999999999998E-2</v>
      </c>
      <c r="I134" s="2">
        <v>24</v>
      </c>
      <c r="J134" s="2" t="s">
        <v>37</v>
      </c>
      <c r="K134" s="2" t="s">
        <v>45</v>
      </c>
      <c r="L134" s="3">
        <v>46058</v>
      </c>
    </row>
    <row r="135" spans="1:12">
      <c r="A135" s="2" t="s">
        <v>302</v>
      </c>
      <c r="B135" s="3">
        <v>46057</v>
      </c>
      <c r="C135" s="2" t="s">
        <v>303</v>
      </c>
      <c r="D135" s="2" t="s">
        <v>25</v>
      </c>
      <c r="E135" s="2" t="s">
        <v>15</v>
      </c>
      <c r="F135" s="2" t="s">
        <v>55</v>
      </c>
      <c r="G135" s="4">
        <v>4400</v>
      </c>
      <c r="H135" s="5">
        <v>6.4899999999999999E-2</v>
      </c>
      <c r="I135" s="2">
        <v>24</v>
      </c>
      <c r="J135" s="2" t="s">
        <v>26</v>
      </c>
      <c r="K135" s="2" t="s">
        <v>17</v>
      </c>
      <c r="L135" s="3">
        <v>46060</v>
      </c>
    </row>
    <row r="136" spans="1:12">
      <c r="A136" s="2" t="s">
        <v>304</v>
      </c>
      <c r="B136" s="3">
        <v>46057</v>
      </c>
      <c r="C136" s="2" t="s">
        <v>305</v>
      </c>
      <c r="D136" s="2" t="s">
        <v>25</v>
      </c>
      <c r="E136" s="2" t="s">
        <v>30</v>
      </c>
      <c r="F136" s="2" t="s">
        <v>31</v>
      </c>
      <c r="G136" s="4">
        <v>16400</v>
      </c>
      <c r="H136" s="5">
        <v>4.4299999999999999E-2</v>
      </c>
      <c r="I136" s="2">
        <v>60</v>
      </c>
      <c r="J136" s="2" t="s">
        <v>26</v>
      </c>
      <c r="K136" s="2" t="s">
        <v>17</v>
      </c>
      <c r="L136" s="3">
        <v>46057</v>
      </c>
    </row>
    <row r="137" spans="1:12">
      <c r="A137" s="2" t="s">
        <v>306</v>
      </c>
      <c r="B137" s="3">
        <v>46057</v>
      </c>
      <c r="C137" s="2" t="s">
        <v>307</v>
      </c>
      <c r="D137" s="2" t="s">
        <v>54</v>
      </c>
      <c r="E137" s="2" t="s">
        <v>15</v>
      </c>
      <c r="F137" s="2" t="s">
        <v>31</v>
      </c>
      <c r="G137" s="4">
        <v>13700</v>
      </c>
      <c r="H137" s="5">
        <v>6.2199999999999998E-2</v>
      </c>
      <c r="I137" s="2">
        <v>60</v>
      </c>
      <c r="J137" s="2" t="s">
        <v>56</v>
      </c>
      <c r="K137" s="2" t="s">
        <v>45</v>
      </c>
      <c r="L137" s="3">
        <v>46059</v>
      </c>
    </row>
    <row r="138" spans="1:12">
      <c r="A138" s="2" t="s">
        <v>308</v>
      </c>
      <c r="B138" s="3">
        <v>46057</v>
      </c>
      <c r="C138" s="2" t="s">
        <v>60</v>
      </c>
      <c r="D138" s="2" t="s">
        <v>25</v>
      </c>
      <c r="E138" s="2" t="s">
        <v>15</v>
      </c>
      <c r="F138" s="2" t="s">
        <v>31</v>
      </c>
      <c r="G138" s="4">
        <v>6300</v>
      </c>
      <c r="H138" s="5">
        <v>5.5599999999999997E-2</v>
      </c>
      <c r="I138" s="2">
        <v>60</v>
      </c>
      <c r="J138" s="2" t="s">
        <v>181</v>
      </c>
      <c r="K138" s="2" t="s">
        <v>45</v>
      </c>
      <c r="L138" s="3">
        <v>46058</v>
      </c>
    </row>
    <row r="139" spans="1:12">
      <c r="A139" s="2" t="s">
        <v>309</v>
      </c>
      <c r="B139" s="3">
        <v>46057</v>
      </c>
      <c r="C139" s="2" t="s">
        <v>310</v>
      </c>
      <c r="D139" s="2" t="s">
        <v>20</v>
      </c>
      <c r="E139" s="2" t="s">
        <v>30</v>
      </c>
      <c r="F139" s="2" t="s">
        <v>55</v>
      </c>
      <c r="G139" s="4">
        <v>7400</v>
      </c>
      <c r="H139" s="5">
        <v>4.82E-2</v>
      </c>
      <c r="I139" s="2">
        <v>48</v>
      </c>
      <c r="J139" s="2" t="s">
        <v>37</v>
      </c>
      <c r="K139" s="2" t="s">
        <v>17</v>
      </c>
      <c r="L139" s="3">
        <v>46058</v>
      </c>
    </row>
    <row r="140" spans="1:12">
      <c r="A140" s="2" t="s">
        <v>311</v>
      </c>
      <c r="B140" s="3">
        <v>46057</v>
      </c>
      <c r="C140" s="2" t="s">
        <v>312</v>
      </c>
      <c r="D140" s="2" t="s">
        <v>25</v>
      </c>
      <c r="E140" s="2" t="s">
        <v>15</v>
      </c>
      <c r="F140" s="2" t="s">
        <v>3</v>
      </c>
      <c r="G140" s="4">
        <v>24300</v>
      </c>
      <c r="H140" s="5">
        <v>6.3799999999999996E-2</v>
      </c>
      <c r="I140" s="2">
        <v>36</v>
      </c>
      <c r="J140" s="2" t="s">
        <v>26</v>
      </c>
      <c r="K140" s="2" t="s">
        <v>17</v>
      </c>
      <c r="L140" s="3">
        <v>46058</v>
      </c>
    </row>
    <row r="141" spans="1:12">
      <c r="A141" s="2" t="s">
        <v>313</v>
      </c>
      <c r="B141" s="3">
        <v>46057</v>
      </c>
      <c r="C141" s="2" t="s">
        <v>314</v>
      </c>
      <c r="D141" s="2" t="s">
        <v>14</v>
      </c>
      <c r="E141" s="2" t="s">
        <v>15</v>
      </c>
      <c r="F141" s="2" t="s">
        <v>3</v>
      </c>
      <c r="G141" s="4">
        <v>5400</v>
      </c>
      <c r="H141" s="5">
        <v>5.9299999999999999E-2</v>
      </c>
      <c r="I141" s="2">
        <v>24</v>
      </c>
      <c r="J141" s="2" t="s">
        <v>16</v>
      </c>
      <c r="K141" s="2" t="s">
        <v>17</v>
      </c>
      <c r="L141" s="3">
        <v>46063</v>
      </c>
    </row>
    <row r="142" spans="1:12">
      <c r="A142" s="2" t="s">
        <v>315</v>
      </c>
      <c r="B142" s="3">
        <v>46057</v>
      </c>
      <c r="C142" s="2" t="s">
        <v>316</v>
      </c>
      <c r="D142" s="2" t="s">
        <v>54</v>
      </c>
      <c r="E142" s="2" t="s">
        <v>15</v>
      </c>
      <c r="F142" s="2" t="s">
        <v>3</v>
      </c>
      <c r="G142" s="4">
        <v>25000</v>
      </c>
      <c r="H142" s="5">
        <v>6.9000000000000006E-2</v>
      </c>
      <c r="I142" s="2">
        <v>24</v>
      </c>
      <c r="J142" s="2" t="s">
        <v>148</v>
      </c>
      <c r="K142" s="2" t="s">
        <v>17</v>
      </c>
      <c r="L142" s="3">
        <v>46064</v>
      </c>
    </row>
    <row r="143" spans="1:12">
      <c r="A143" s="2" t="s">
        <v>317</v>
      </c>
      <c r="B143" s="3">
        <v>46058</v>
      </c>
      <c r="C143" s="2" t="s">
        <v>318</v>
      </c>
      <c r="D143" s="2" t="s">
        <v>20</v>
      </c>
      <c r="E143" s="2" t="s">
        <v>15</v>
      </c>
      <c r="F143" s="2" t="s">
        <v>3</v>
      </c>
      <c r="G143" s="4">
        <v>13600</v>
      </c>
      <c r="H143" s="5">
        <v>5.62E-2</v>
      </c>
      <c r="I143" s="2">
        <v>12</v>
      </c>
      <c r="J143" s="2" t="s">
        <v>22</v>
      </c>
      <c r="K143" s="2" t="s">
        <v>17</v>
      </c>
      <c r="L143" s="3">
        <v>46064</v>
      </c>
    </row>
    <row r="144" spans="1:12">
      <c r="A144" s="2" t="s">
        <v>319</v>
      </c>
      <c r="B144" s="3">
        <v>46058</v>
      </c>
      <c r="C144" s="2" t="s">
        <v>320</v>
      </c>
      <c r="D144" s="2" t="s">
        <v>29</v>
      </c>
      <c r="E144" s="2" t="s">
        <v>30</v>
      </c>
      <c r="F144" s="2" t="s">
        <v>3</v>
      </c>
      <c r="G144" s="4">
        <v>10900</v>
      </c>
      <c r="H144" s="5">
        <v>4.3999999999999997E-2</v>
      </c>
      <c r="I144" s="2">
        <v>48</v>
      </c>
      <c r="J144" s="2" t="s">
        <v>61</v>
      </c>
      <c r="K144" s="2" t="s">
        <v>17</v>
      </c>
      <c r="L144" s="3">
        <v>46061</v>
      </c>
    </row>
    <row r="145" spans="1:12">
      <c r="A145" s="2" t="s">
        <v>321</v>
      </c>
      <c r="B145" s="3">
        <v>46058</v>
      </c>
      <c r="C145" s="2" t="s">
        <v>322</v>
      </c>
      <c r="D145" s="2" t="s">
        <v>25</v>
      </c>
      <c r="E145" s="2" t="s">
        <v>51</v>
      </c>
      <c r="F145" s="2" t="s">
        <v>3</v>
      </c>
      <c r="G145" s="4">
        <v>15100</v>
      </c>
      <c r="H145" s="5">
        <v>4.9099999999999998E-2</v>
      </c>
      <c r="I145" s="2">
        <v>36</v>
      </c>
      <c r="J145" s="2" t="s">
        <v>26</v>
      </c>
      <c r="K145" s="2" t="s">
        <v>45</v>
      </c>
      <c r="L145" s="3">
        <v>46062</v>
      </c>
    </row>
    <row r="146" spans="1:12">
      <c r="A146" s="2" t="s">
        <v>323</v>
      </c>
      <c r="B146" s="3">
        <v>46058</v>
      </c>
      <c r="C146" s="2" t="s">
        <v>324</v>
      </c>
      <c r="D146" s="2" t="s">
        <v>29</v>
      </c>
      <c r="E146" s="2" t="s">
        <v>43</v>
      </c>
      <c r="F146" s="2" t="s">
        <v>3</v>
      </c>
      <c r="G146" s="4">
        <v>69200</v>
      </c>
      <c r="H146" s="5">
        <v>6.9699999999999998E-2</v>
      </c>
      <c r="I146" s="2">
        <v>60</v>
      </c>
      <c r="J146" s="2" t="s">
        <v>32</v>
      </c>
      <c r="K146" s="2" t="s">
        <v>45</v>
      </c>
      <c r="L146" s="3">
        <v>46065</v>
      </c>
    </row>
    <row r="147" spans="1:12">
      <c r="A147" s="2" t="s">
        <v>325</v>
      </c>
      <c r="B147" s="3">
        <v>46058</v>
      </c>
      <c r="C147" s="2" t="s">
        <v>326</v>
      </c>
      <c r="D147" s="2" t="s">
        <v>20</v>
      </c>
      <c r="E147" s="2" t="s">
        <v>15</v>
      </c>
      <c r="F147" s="2" t="s">
        <v>3</v>
      </c>
      <c r="G147" s="4">
        <v>7100</v>
      </c>
      <c r="H147" s="5">
        <v>6.13E-2</v>
      </c>
      <c r="I147" s="2">
        <v>60</v>
      </c>
      <c r="J147" s="2" t="s">
        <v>37</v>
      </c>
      <c r="K147" s="2" t="s">
        <v>45</v>
      </c>
      <c r="L147" s="3">
        <v>46061</v>
      </c>
    </row>
    <row r="148" spans="1:12">
      <c r="A148" s="2" t="s">
        <v>327</v>
      </c>
      <c r="B148" s="3">
        <v>46058</v>
      </c>
      <c r="C148" s="2" t="s">
        <v>328</v>
      </c>
      <c r="D148" s="2" t="s">
        <v>71</v>
      </c>
      <c r="E148" s="2" t="s">
        <v>15</v>
      </c>
      <c r="F148" s="2" t="s">
        <v>329</v>
      </c>
      <c r="G148" s="4">
        <v>3900</v>
      </c>
      <c r="H148" s="5">
        <v>6.8699999999999997E-2</v>
      </c>
      <c r="I148" s="2">
        <v>12</v>
      </c>
      <c r="J148" s="2" t="s">
        <v>94</v>
      </c>
      <c r="K148" s="2" t="s">
        <v>17</v>
      </c>
      <c r="L148" s="3">
        <v>46064</v>
      </c>
    </row>
    <row r="149" spans="1:12">
      <c r="A149" s="2" t="s">
        <v>330</v>
      </c>
      <c r="B149" s="3">
        <v>46059</v>
      </c>
      <c r="C149" s="2" t="s">
        <v>331</v>
      </c>
      <c r="D149" s="2" t="s">
        <v>14</v>
      </c>
      <c r="E149" s="2" t="s">
        <v>21</v>
      </c>
      <c r="F149" s="2" t="s">
        <v>332</v>
      </c>
      <c r="G149" s="4">
        <v>122200</v>
      </c>
      <c r="H149" s="5">
        <v>4.2900000000000001E-2</v>
      </c>
      <c r="I149" s="2">
        <v>300</v>
      </c>
      <c r="J149" s="2" t="s">
        <v>16</v>
      </c>
      <c r="K149" s="2" t="s">
        <v>17</v>
      </c>
      <c r="L149" s="3">
        <v>46073</v>
      </c>
    </row>
    <row r="150" spans="1:12">
      <c r="A150" s="2" t="s">
        <v>333</v>
      </c>
      <c r="B150" s="3">
        <v>46059</v>
      </c>
      <c r="C150" s="2" t="s">
        <v>159</v>
      </c>
      <c r="D150" s="2" t="s">
        <v>25</v>
      </c>
      <c r="E150" s="2" t="s">
        <v>15</v>
      </c>
      <c r="F150" s="2" t="s">
        <v>3</v>
      </c>
      <c r="G150" s="4">
        <v>24000</v>
      </c>
      <c r="H150" s="5">
        <v>5.9700000000000003E-2</v>
      </c>
      <c r="I150" s="2">
        <v>24</v>
      </c>
      <c r="J150" s="2" t="s">
        <v>181</v>
      </c>
      <c r="K150" s="2" t="s">
        <v>45</v>
      </c>
      <c r="L150" s="3">
        <v>46065</v>
      </c>
    </row>
    <row r="151" spans="1:12">
      <c r="A151" s="2" t="s">
        <v>334</v>
      </c>
      <c r="B151" s="3">
        <v>46059</v>
      </c>
      <c r="C151" s="2" t="s">
        <v>335</v>
      </c>
      <c r="D151" s="2" t="s">
        <v>20</v>
      </c>
      <c r="E151" s="2" t="s">
        <v>30</v>
      </c>
      <c r="F151" s="2" t="s">
        <v>3</v>
      </c>
      <c r="G151" s="4">
        <v>12400</v>
      </c>
      <c r="H151" s="5">
        <v>4.2200000000000001E-2</v>
      </c>
      <c r="I151" s="2">
        <v>36</v>
      </c>
      <c r="J151" s="2" t="s">
        <v>37</v>
      </c>
      <c r="K151" s="2" t="s">
        <v>17</v>
      </c>
      <c r="L151" s="3">
        <v>46062</v>
      </c>
    </row>
    <row r="152" spans="1:12">
      <c r="A152" s="2" t="s">
        <v>336</v>
      </c>
      <c r="B152" s="3">
        <v>46060</v>
      </c>
      <c r="C152" s="2" t="s">
        <v>337</v>
      </c>
      <c r="D152" s="2" t="s">
        <v>14</v>
      </c>
      <c r="E152" s="2" t="s">
        <v>15</v>
      </c>
      <c r="F152" s="2" t="s">
        <v>31</v>
      </c>
      <c r="G152" s="4">
        <v>14200</v>
      </c>
      <c r="H152" s="5">
        <v>6.1100000000000002E-2</v>
      </c>
      <c r="I152" s="2">
        <v>60</v>
      </c>
      <c r="J152" s="2" t="s">
        <v>48</v>
      </c>
      <c r="K152" s="2" t="s">
        <v>17</v>
      </c>
      <c r="L152" s="3">
        <v>46063</v>
      </c>
    </row>
    <row r="153" spans="1:12">
      <c r="A153" s="2" t="s">
        <v>338</v>
      </c>
      <c r="B153" s="3">
        <v>46060</v>
      </c>
      <c r="C153" s="2" t="s">
        <v>339</v>
      </c>
      <c r="D153" s="2" t="s">
        <v>14</v>
      </c>
      <c r="E153" s="2" t="s">
        <v>340</v>
      </c>
      <c r="F153" s="2" t="s">
        <v>55</v>
      </c>
      <c r="G153" s="4">
        <v>6600</v>
      </c>
      <c r="H153" s="5">
        <v>6.8099999999999994E-2</v>
      </c>
      <c r="I153" s="2">
        <v>60</v>
      </c>
      <c r="J153" s="2" t="s">
        <v>16</v>
      </c>
      <c r="K153" s="2" t="s">
        <v>45</v>
      </c>
      <c r="L153" s="3">
        <v>46063</v>
      </c>
    </row>
    <row r="154" spans="1:12">
      <c r="A154" s="2" t="s">
        <v>341</v>
      </c>
      <c r="B154" s="3">
        <v>46060</v>
      </c>
      <c r="C154" s="2" t="s">
        <v>342</v>
      </c>
      <c r="D154" s="2" t="s">
        <v>71</v>
      </c>
      <c r="E154" s="2" t="s">
        <v>43</v>
      </c>
      <c r="F154" s="2" t="s">
        <v>3</v>
      </c>
      <c r="G154" s="4">
        <v>155500</v>
      </c>
      <c r="H154" s="5">
        <v>5.79E-2</v>
      </c>
      <c r="I154" s="2">
        <v>36</v>
      </c>
      <c r="J154" s="2" t="s">
        <v>94</v>
      </c>
      <c r="K154" s="2" t="s">
        <v>17</v>
      </c>
      <c r="L154" s="3">
        <v>46068</v>
      </c>
    </row>
    <row r="155" spans="1:12">
      <c r="A155" s="2" t="s">
        <v>343</v>
      </c>
      <c r="B155" s="3">
        <v>46060</v>
      </c>
      <c r="C155" s="2" t="s">
        <v>344</v>
      </c>
      <c r="D155" s="2" t="s">
        <v>14</v>
      </c>
      <c r="E155" s="2" t="s">
        <v>15</v>
      </c>
      <c r="F155" s="2" t="s">
        <v>3</v>
      </c>
      <c r="G155" s="4">
        <v>15200</v>
      </c>
      <c r="H155" s="5">
        <v>6.8500000000000005E-2</v>
      </c>
      <c r="I155" s="2">
        <v>48</v>
      </c>
      <c r="J155" s="2" t="s">
        <v>16</v>
      </c>
      <c r="K155" s="2" t="s">
        <v>17</v>
      </c>
      <c r="L155" s="3">
        <v>46064</v>
      </c>
    </row>
    <row r="156" spans="1:12">
      <c r="A156" s="2" t="s">
        <v>345</v>
      </c>
      <c r="B156" s="3">
        <v>46061</v>
      </c>
      <c r="C156" s="2" t="s">
        <v>346</v>
      </c>
      <c r="D156" s="2" t="s">
        <v>29</v>
      </c>
      <c r="E156" s="2" t="s">
        <v>15</v>
      </c>
      <c r="F156" s="2" t="s">
        <v>3</v>
      </c>
      <c r="G156" s="4">
        <v>3500</v>
      </c>
      <c r="H156" s="5">
        <v>6.9599999999999995E-2</v>
      </c>
      <c r="I156" s="2">
        <v>12</v>
      </c>
      <c r="J156" s="2" t="s">
        <v>32</v>
      </c>
      <c r="K156" s="2" t="s">
        <v>17</v>
      </c>
      <c r="L156" s="3">
        <v>46068</v>
      </c>
    </row>
    <row r="157" spans="1:12">
      <c r="A157" s="2" t="s">
        <v>347</v>
      </c>
      <c r="B157" s="3">
        <v>46061</v>
      </c>
      <c r="C157" s="2" t="s">
        <v>348</v>
      </c>
      <c r="D157" s="2" t="s">
        <v>29</v>
      </c>
      <c r="E157" s="2" t="s">
        <v>15</v>
      </c>
      <c r="F157" s="2" t="s">
        <v>3</v>
      </c>
      <c r="G157" s="4">
        <v>13700</v>
      </c>
      <c r="H157" s="5">
        <v>5.3600000000000002E-2</v>
      </c>
      <c r="I157" s="2">
        <v>60</v>
      </c>
      <c r="J157" s="2" t="s">
        <v>61</v>
      </c>
      <c r="K157" s="2" t="s">
        <v>45</v>
      </c>
      <c r="L157" s="3">
        <v>46062</v>
      </c>
    </row>
    <row r="158" spans="1:12">
      <c r="A158" s="2" t="s">
        <v>349</v>
      </c>
      <c r="B158" s="3">
        <v>46061</v>
      </c>
      <c r="C158" s="2" t="s">
        <v>350</v>
      </c>
      <c r="D158" s="2" t="s">
        <v>29</v>
      </c>
      <c r="E158" s="2" t="s">
        <v>30</v>
      </c>
      <c r="F158" s="2" t="s">
        <v>55</v>
      </c>
      <c r="G158" s="4">
        <v>12200</v>
      </c>
      <c r="H158" s="5">
        <v>4.82E-2</v>
      </c>
      <c r="I158" s="2">
        <v>60</v>
      </c>
      <c r="J158" s="2" t="s">
        <v>123</v>
      </c>
      <c r="K158" s="2" t="s">
        <v>17</v>
      </c>
      <c r="L158" s="3">
        <v>46066</v>
      </c>
    </row>
    <row r="159" spans="1:12">
      <c r="A159" s="2" t="s">
        <v>351</v>
      </c>
      <c r="B159" s="3">
        <v>46061</v>
      </c>
      <c r="C159" s="2" t="s">
        <v>352</v>
      </c>
      <c r="D159" s="2" t="s">
        <v>20</v>
      </c>
      <c r="E159" s="2" t="s">
        <v>15</v>
      </c>
      <c r="F159" s="2" t="s">
        <v>3</v>
      </c>
      <c r="G159" s="4">
        <v>14100</v>
      </c>
      <c r="H159" s="5">
        <v>5.6000000000000001E-2</v>
      </c>
      <c r="I159" s="2">
        <v>48</v>
      </c>
      <c r="J159" s="2" t="s">
        <v>22</v>
      </c>
      <c r="K159" s="2" t="s">
        <v>17</v>
      </c>
      <c r="L159" s="3">
        <v>46066</v>
      </c>
    </row>
    <row r="160" spans="1:12">
      <c r="A160" s="2" t="s">
        <v>353</v>
      </c>
      <c r="B160" s="3">
        <v>46061</v>
      </c>
      <c r="C160" s="2" t="s">
        <v>354</v>
      </c>
      <c r="D160" s="2" t="s">
        <v>25</v>
      </c>
      <c r="E160" s="2" t="s">
        <v>30</v>
      </c>
      <c r="F160" s="2" t="s">
        <v>3</v>
      </c>
      <c r="G160" s="4">
        <v>13000</v>
      </c>
      <c r="H160" s="5">
        <v>4.8399999999999999E-2</v>
      </c>
      <c r="I160" s="2">
        <v>48</v>
      </c>
      <c r="J160" s="2" t="s">
        <v>66</v>
      </c>
      <c r="K160" s="2" t="s">
        <v>17</v>
      </c>
      <c r="L160" s="3">
        <v>46066</v>
      </c>
    </row>
    <row r="161" spans="1:12">
      <c r="A161" s="2" t="s">
        <v>355</v>
      </c>
      <c r="B161" s="3">
        <v>46061</v>
      </c>
      <c r="C161" s="2" t="s">
        <v>356</v>
      </c>
      <c r="D161" s="2" t="s">
        <v>25</v>
      </c>
      <c r="E161" s="2" t="s">
        <v>30</v>
      </c>
      <c r="F161" s="2" t="s">
        <v>147</v>
      </c>
      <c r="G161" s="4">
        <v>8800</v>
      </c>
      <c r="H161" s="5">
        <v>4.0300000000000002E-2</v>
      </c>
      <c r="I161" s="2">
        <v>36</v>
      </c>
      <c r="J161" s="2" t="s">
        <v>66</v>
      </c>
      <c r="K161" s="2" t="s">
        <v>17</v>
      </c>
      <c r="L161" s="3">
        <v>46065</v>
      </c>
    </row>
    <row r="162" spans="1:12">
      <c r="A162" s="2" t="s">
        <v>357</v>
      </c>
      <c r="B162" s="3">
        <v>46062</v>
      </c>
      <c r="C162" s="2" t="s">
        <v>153</v>
      </c>
      <c r="D162" s="2" t="s">
        <v>14</v>
      </c>
      <c r="E162" s="2" t="s">
        <v>30</v>
      </c>
      <c r="F162" s="2" t="s">
        <v>31</v>
      </c>
      <c r="G162" s="4">
        <v>4900</v>
      </c>
      <c r="H162" s="5">
        <v>4.07E-2</v>
      </c>
      <c r="I162" s="2">
        <v>48</v>
      </c>
      <c r="J162" s="2" t="s">
        <v>40</v>
      </c>
      <c r="K162" s="2" t="s">
        <v>17</v>
      </c>
      <c r="L162" s="3">
        <v>46065</v>
      </c>
    </row>
    <row r="163" spans="1:12">
      <c r="A163" s="2" t="s">
        <v>358</v>
      </c>
      <c r="B163" s="3">
        <v>46062</v>
      </c>
      <c r="C163" s="2" t="s">
        <v>359</v>
      </c>
      <c r="D163" s="2" t="s">
        <v>71</v>
      </c>
      <c r="E163" s="2" t="s">
        <v>15</v>
      </c>
      <c r="F163" s="2" t="s">
        <v>3</v>
      </c>
      <c r="G163" s="2" t="s">
        <v>360</v>
      </c>
      <c r="H163" s="5">
        <v>6.08E-2</v>
      </c>
      <c r="I163" s="2">
        <v>48</v>
      </c>
      <c r="J163" s="2" t="s">
        <v>101</v>
      </c>
      <c r="K163" s="2" t="s">
        <v>17</v>
      </c>
      <c r="L163" s="3">
        <v>46068</v>
      </c>
    </row>
    <row r="164" spans="1:12">
      <c r="A164" s="2" t="s">
        <v>361</v>
      </c>
      <c r="B164" s="3">
        <v>46062</v>
      </c>
      <c r="C164" s="2" t="s">
        <v>362</v>
      </c>
      <c r="D164" s="2" t="s">
        <v>54</v>
      </c>
      <c r="E164" s="2" t="s">
        <v>15</v>
      </c>
      <c r="F164" s="2" t="s">
        <v>3</v>
      </c>
      <c r="G164" s="4">
        <v>2100</v>
      </c>
      <c r="H164" s="5">
        <v>5.7099999999999998E-2</v>
      </c>
      <c r="I164" s="2">
        <v>12</v>
      </c>
      <c r="J164" s="2" t="s">
        <v>186</v>
      </c>
      <c r="K164" s="2" t="s">
        <v>17</v>
      </c>
      <c r="L164" s="3">
        <v>46067</v>
      </c>
    </row>
    <row r="165" spans="1:12">
      <c r="A165" s="2" t="s">
        <v>363</v>
      </c>
      <c r="B165" s="3">
        <v>46062</v>
      </c>
      <c r="C165" s="2" t="s">
        <v>364</v>
      </c>
      <c r="D165" s="2" t="s">
        <v>54</v>
      </c>
      <c r="E165" s="2" t="s">
        <v>15</v>
      </c>
      <c r="F165" s="2" t="s">
        <v>3</v>
      </c>
      <c r="G165" s="4">
        <v>14900</v>
      </c>
      <c r="H165" s="5">
        <v>5.7200000000000001E-2</v>
      </c>
      <c r="I165" s="2">
        <v>48</v>
      </c>
      <c r="J165" s="2" t="s">
        <v>148</v>
      </c>
      <c r="K165" s="2" t="s">
        <v>17</v>
      </c>
      <c r="L165" s="3">
        <v>46068</v>
      </c>
    </row>
    <row r="166" spans="1:12">
      <c r="A166" s="2" t="s">
        <v>365</v>
      </c>
      <c r="B166" s="3">
        <v>46062</v>
      </c>
      <c r="C166" s="2" t="s">
        <v>366</v>
      </c>
      <c r="D166" s="2" t="s">
        <v>14</v>
      </c>
      <c r="E166" s="2" t="s">
        <v>43</v>
      </c>
      <c r="F166" s="2" t="s">
        <v>3</v>
      </c>
      <c r="G166" s="4">
        <v>142700</v>
      </c>
      <c r="H166" s="5">
        <v>6.1400000000000003E-2</v>
      </c>
      <c r="I166" s="2">
        <v>24</v>
      </c>
      <c r="J166" s="2" t="s">
        <v>16</v>
      </c>
      <c r="K166" s="2" t="s">
        <v>17</v>
      </c>
      <c r="L166" s="3">
        <v>46078</v>
      </c>
    </row>
    <row r="167" spans="1:12">
      <c r="A167" s="2" t="s">
        <v>367</v>
      </c>
      <c r="B167" s="3">
        <v>46062</v>
      </c>
      <c r="C167" s="2" t="s">
        <v>368</v>
      </c>
      <c r="D167" s="2" t="s">
        <v>71</v>
      </c>
      <c r="E167" s="2" t="s">
        <v>30</v>
      </c>
      <c r="F167" s="2" t="s">
        <v>3</v>
      </c>
      <c r="G167" s="4">
        <v>12600</v>
      </c>
      <c r="H167" s="5">
        <v>4.9299999999999997E-2</v>
      </c>
      <c r="I167" s="2">
        <v>36</v>
      </c>
      <c r="J167" s="2" t="s">
        <v>94</v>
      </c>
      <c r="K167" s="2" t="s">
        <v>17</v>
      </c>
      <c r="L167" s="3">
        <v>46064</v>
      </c>
    </row>
    <row r="168" spans="1:12">
      <c r="A168" s="2" t="s">
        <v>369</v>
      </c>
      <c r="B168" s="3">
        <v>46062</v>
      </c>
      <c r="C168" s="2" t="s">
        <v>370</v>
      </c>
      <c r="D168" s="2" t="s">
        <v>54</v>
      </c>
      <c r="E168" s="2" t="s">
        <v>43</v>
      </c>
      <c r="F168" s="2" t="s">
        <v>3</v>
      </c>
      <c r="G168" s="4">
        <v>100100</v>
      </c>
      <c r="H168" s="5">
        <v>7.7899999999999997E-2</v>
      </c>
      <c r="I168" s="2">
        <v>84</v>
      </c>
      <c r="J168" s="2" t="s">
        <v>56</v>
      </c>
      <c r="K168" s="2" t="s">
        <v>45</v>
      </c>
      <c r="L168" s="3">
        <v>46071</v>
      </c>
    </row>
    <row r="169" spans="1:12">
      <c r="A169" s="2" t="s">
        <v>371</v>
      </c>
      <c r="B169" s="3">
        <v>46062</v>
      </c>
      <c r="C169" s="2" t="s">
        <v>372</v>
      </c>
      <c r="D169" s="2" t="s">
        <v>71</v>
      </c>
      <c r="E169" s="2" t="s">
        <v>15</v>
      </c>
      <c r="F169" s="2" t="s">
        <v>3</v>
      </c>
      <c r="G169" s="4">
        <v>23300</v>
      </c>
      <c r="H169" s="5">
        <v>6.7900000000000002E-2</v>
      </c>
      <c r="I169" s="2">
        <v>12</v>
      </c>
      <c r="J169" s="2" t="s">
        <v>72</v>
      </c>
      <c r="K169" s="2" t="s">
        <v>17</v>
      </c>
      <c r="L169" s="3">
        <v>46067</v>
      </c>
    </row>
    <row r="170" spans="1:12">
      <c r="A170" s="2" t="s">
        <v>373</v>
      </c>
      <c r="B170" s="3">
        <v>46063</v>
      </c>
      <c r="C170" s="2" t="s">
        <v>374</v>
      </c>
      <c r="D170" s="2" t="s">
        <v>20</v>
      </c>
      <c r="E170" s="2" t="s">
        <v>30</v>
      </c>
      <c r="F170" s="2" t="s">
        <v>329</v>
      </c>
      <c r="G170" s="4">
        <v>9200</v>
      </c>
      <c r="H170" s="5">
        <v>3.5499999999999997E-2</v>
      </c>
      <c r="I170" s="2">
        <v>60</v>
      </c>
      <c r="J170" s="2" t="s">
        <v>44</v>
      </c>
      <c r="K170" s="2" t="s">
        <v>45</v>
      </c>
      <c r="L170" s="3">
        <v>46064</v>
      </c>
    </row>
    <row r="171" spans="1:12">
      <c r="A171" s="2" t="s">
        <v>375</v>
      </c>
      <c r="B171" s="3">
        <v>46063</v>
      </c>
      <c r="C171" s="2" t="s">
        <v>376</v>
      </c>
      <c r="D171" s="2" t="s">
        <v>25</v>
      </c>
      <c r="E171" s="2" t="s">
        <v>30</v>
      </c>
      <c r="F171" s="2" t="s">
        <v>3</v>
      </c>
      <c r="G171" s="4">
        <v>6500</v>
      </c>
      <c r="H171" s="5">
        <v>4.65E-2</v>
      </c>
      <c r="I171" s="2">
        <v>48</v>
      </c>
      <c r="J171" s="2" t="s">
        <v>181</v>
      </c>
      <c r="K171" s="2" t="s">
        <v>17</v>
      </c>
      <c r="L171" s="3">
        <v>46066</v>
      </c>
    </row>
    <row r="172" spans="1:12">
      <c r="A172" s="2" t="s">
        <v>377</v>
      </c>
      <c r="B172" s="3">
        <v>46063</v>
      </c>
      <c r="C172" s="2" t="s">
        <v>378</v>
      </c>
      <c r="D172" s="2" t="s">
        <v>71</v>
      </c>
      <c r="E172" s="2" t="s">
        <v>15</v>
      </c>
      <c r="F172" s="2" t="s">
        <v>3</v>
      </c>
      <c r="G172" s="4">
        <v>16700</v>
      </c>
      <c r="H172" s="5">
        <v>5.4199999999999998E-2</v>
      </c>
      <c r="I172" s="2">
        <v>60</v>
      </c>
      <c r="J172" s="2" t="s">
        <v>72</v>
      </c>
      <c r="K172" s="2" t="s">
        <v>17</v>
      </c>
      <c r="L172" s="3">
        <v>46068</v>
      </c>
    </row>
    <row r="173" spans="1:12">
      <c r="A173" s="2" t="s">
        <v>379</v>
      </c>
      <c r="B173" s="3">
        <v>46064</v>
      </c>
      <c r="C173" s="2" t="s">
        <v>380</v>
      </c>
      <c r="D173" s="2" t="s">
        <v>29</v>
      </c>
      <c r="E173" s="2" t="s">
        <v>30</v>
      </c>
      <c r="F173" s="2" t="s">
        <v>31</v>
      </c>
      <c r="G173" s="4">
        <v>8100</v>
      </c>
      <c r="H173" s="5">
        <v>4.0099999999999997E-2</v>
      </c>
      <c r="I173" s="2">
        <v>48</v>
      </c>
      <c r="J173" s="2" t="s">
        <v>123</v>
      </c>
      <c r="K173" s="2" t="s">
        <v>17</v>
      </c>
      <c r="L173" s="3">
        <v>46067</v>
      </c>
    </row>
    <row r="174" spans="1:12">
      <c r="A174" s="2" t="s">
        <v>381</v>
      </c>
      <c r="B174" s="3">
        <v>46064</v>
      </c>
      <c r="C174" s="2" t="s">
        <v>382</v>
      </c>
      <c r="D174" s="2" t="s">
        <v>71</v>
      </c>
      <c r="E174" s="2" t="s">
        <v>43</v>
      </c>
      <c r="F174" s="2" t="s">
        <v>3</v>
      </c>
      <c r="G174" s="4">
        <v>184200</v>
      </c>
      <c r="H174" s="5">
        <v>5.5599999999999997E-2</v>
      </c>
      <c r="I174" s="2">
        <v>24</v>
      </c>
      <c r="J174" s="2" t="s">
        <v>101</v>
      </c>
      <c r="K174" s="2" t="s">
        <v>45</v>
      </c>
      <c r="L174" s="3">
        <v>46084</v>
      </c>
    </row>
    <row r="175" spans="1:12">
      <c r="A175" s="2" t="s">
        <v>383</v>
      </c>
      <c r="B175" s="3">
        <v>46064</v>
      </c>
      <c r="C175" s="2" t="s">
        <v>384</v>
      </c>
      <c r="D175" s="2" t="s">
        <v>25</v>
      </c>
      <c r="E175" s="2" t="s">
        <v>43</v>
      </c>
      <c r="F175" s="2" t="s">
        <v>31</v>
      </c>
      <c r="G175" s="4">
        <v>60500</v>
      </c>
      <c r="H175" s="5">
        <v>7.0499999999999993E-2</v>
      </c>
      <c r="I175" s="2">
        <v>36</v>
      </c>
      <c r="J175" s="2" t="s">
        <v>26</v>
      </c>
      <c r="K175" s="2" t="s">
        <v>45</v>
      </c>
      <c r="L175" s="3">
        <v>46083</v>
      </c>
    </row>
    <row r="176" spans="1:12">
      <c r="A176" s="2" t="s">
        <v>385</v>
      </c>
      <c r="B176" s="3">
        <v>46064</v>
      </c>
      <c r="C176" s="2" t="s">
        <v>386</v>
      </c>
      <c r="D176" s="2" t="s">
        <v>54</v>
      </c>
      <c r="E176" s="2" t="s">
        <v>15</v>
      </c>
      <c r="F176" s="2" t="s">
        <v>31</v>
      </c>
      <c r="G176" s="4">
        <v>12800</v>
      </c>
      <c r="H176" s="5">
        <v>5.3199999999999997E-2</v>
      </c>
      <c r="I176" s="2">
        <v>24</v>
      </c>
      <c r="J176" s="2" t="s">
        <v>148</v>
      </c>
      <c r="K176" s="2" t="s">
        <v>17</v>
      </c>
      <c r="L176" s="3">
        <v>46067</v>
      </c>
    </row>
    <row r="177" spans="1:12">
      <c r="A177" s="2" t="s">
        <v>387</v>
      </c>
      <c r="B177" s="3">
        <v>46064</v>
      </c>
      <c r="C177" s="2" t="s">
        <v>388</v>
      </c>
      <c r="D177" s="2" t="s">
        <v>54</v>
      </c>
      <c r="E177" s="2" t="s">
        <v>15</v>
      </c>
      <c r="F177" s="2" t="s">
        <v>3</v>
      </c>
      <c r="G177" s="4">
        <v>19700</v>
      </c>
      <c r="H177" s="5">
        <v>6.6000000000000003E-2</v>
      </c>
      <c r="I177" s="2">
        <v>12</v>
      </c>
      <c r="J177" s="2" t="s">
        <v>56</v>
      </c>
      <c r="K177" s="2" t="s">
        <v>17</v>
      </c>
      <c r="L177" s="3">
        <v>46069</v>
      </c>
    </row>
    <row r="178" spans="1:12">
      <c r="A178" s="2" t="s">
        <v>389</v>
      </c>
      <c r="B178" s="3">
        <v>46064</v>
      </c>
      <c r="C178" s="2" t="s">
        <v>390</v>
      </c>
      <c r="D178" s="2" t="s">
        <v>54</v>
      </c>
      <c r="E178" s="2" t="s">
        <v>21</v>
      </c>
      <c r="F178" s="2" t="s">
        <v>3</v>
      </c>
      <c r="G178" s="4">
        <v>162200</v>
      </c>
      <c r="H178" s="5">
        <v>3.1E-2</v>
      </c>
      <c r="I178" s="2">
        <v>300</v>
      </c>
      <c r="J178" s="2" t="s">
        <v>148</v>
      </c>
      <c r="K178" s="2" t="s">
        <v>45</v>
      </c>
      <c r="L178" s="3">
        <v>46085</v>
      </c>
    </row>
    <row r="179" spans="1:12">
      <c r="A179" s="2" t="s">
        <v>391</v>
      </c>
      <c r="B179" s="3">
        <v>46064</v>
      </c>
      <c r="C179" s="2" t="s">
        <v>392</v>
      </c>
      <c r="D179" s="2" t="s">
        <v>71</v>
      </c>
      <c r="E179" s="2" t="s">
        <v>15</v>
      </c>
      <c r="F179" s="2" t="s">
        <v>31</v>
      </c>
      <c r="G179" s="4">
        <v>2200</v>
      </c>
      <c r="H179" s="5">
        <v>5.1299999999999998E-2</v>
      </c>
      <c r="I179" s="2">
        <v>60</v>
      </c>
      <c r="J179" s="2" t="s">
        <v>101</v>
      </c>
      <c r="K179" s="2" t="s">
        <v>17</v>
      </c>
      <c r="L179" s="3">
        <v>46070</v>
      </c>
    </row>
    <row r="180" spans="1:12">
      <c r="A180" s="2" t="s">
        <v>393</v>
      </c>
      <c r="B180" s="3">
        <v>46065</v>
      </c>
      <c r="C180" s="2" t="s">
        <v>394</v>
      </c>
      <c r="D180" s="2" t="s">
        <v>29</v>
      </c>
      <c r="E180" s="2" t="s">
        <v>15</v>
      </c>
      <c r="F180" s="2" t="s">
        <v>3</v>
      </c>
      <c r="G180" s="4">
        <v>17200</v>
      </c>
      <c r="H180" s="5">
        <v>6.6100000000000006E-2</v>
      </c>
      <c r="I180" s="2">
        <v>12</v>
      </c>
      <c r="J180" s="2" t="s">
        <v>123</v>
      </c>
      <c r="K180" s="2" t="s">
        <v>17</v>
      </c>
      <c r="L180" s="3">
        <v>46071</v>
      </c>
    </row>
    <row r="181" spans="1:12">
      <c r="A181" s="2" t="s">
        <v>395</v>
      </c>
      <c r="B181" s="3">
        <v>46065</v>
      </c>
      <c r="C181" s="2" t="s">
        <v>396</v>
      </c>
      <c r="D181" s="2" t="s">
        <v>29</v>
      </c>
      <c r="E181" s="2" t="s">
        <v>21</v>
      </c>
      <c r="F181" s="2" t="s">
        <v>3</v>
      </c>
      <c r="G181" s="2" t="s">
        <v>397</v>
      </c>
      <c r="H181" s="5">
        <v>3.8899999999999997E-2</v>
      </c>
      <c r="I181" s="2">
        <v>120</v>
      </c>
      <c r="J181" s="2" t="s">
        <v>123</v>
      </c>
      <c r="K181" s="2" t="s">
        <v>17</v>
      </c>
      <c r="L181" s="3">
        <v>46075</v>
      </c>
    </row>
    <row r="182" spans="1:12">
      <c r="A182" s="2" t="s">
        <v>398</v>
      </c>
      <c r="B182" s="3">
        <v>46065</v>
      </c>
      <c r="C182" s="2" t="s">
        <v>399</v>
      </c>
      <c r="D182" s="2" t="s">
        <v>29</v>
      </c>
      <c r="E182" s="2" t="s">
        <v>30</v>
      </c>
      <c r="F182" s="2" t="s">
        <v>3</v>
      </c>
      <c r="G182" s="4">
        <v>8500</v>
      </c>
      <c r="H182" s="5">
        <v>4.41E-2</v>
      </c>
      <c r="I182" s="2">
        <v>36</v>
      </c>
      <c r="J182" s="2" t="s">
        <v>61</v>
      </c>
      <c r="K182" s="2" t="s">
        <v>45</v>
      </c>
      <c r="L182" s="3">
        <v>46067</v>
      </c>
    </row>
    <row r="183" spans="1:12">
      <c r="A183" s="2" t="s">
        <v>400</v>
      </c>
      <c r="B183" s="3">
        <v>46065</v>
      </c>
      <c r="C183" s="2" t="s">
        <v>401</v>
      </c>
      <c r="D183" s="2" t="s">
        <v>20</v>
      </c>
      <c r="E183" s="2" t="s">
        <v>30</v>
      </c>
      <c r="F183" s="2" t="s">
        <v>55</v>
      </c>
      <c r="G183" s="4">
        <v>10200</v>
      </c>
      <c r="H183" s="5">
        <v>4.36E-2</v>
      </c>
      <c r="I183" s="2">
        <v>60</v>
      </c>
      <c r="J183" s="2" t="s">
        <v>37</v>
      </c>
      <c r="K183" s="2" t="s">
        <v>45</v>
      </c>
      <c r="L183" s="3">
        <v>46070</v>
      </c>
    </row>
    <row r="184" spans="1:12">
      <c r="A184" s="2" t="s">
        <v>402</v>
      </c>
      <c r="B184" s="3">
        <v>46066</v>
      </c>
      <c r="C184" s="2" t="s">
        <v>80</v>
      </c>
      <c r="D184" s="2" t="s">
        <v>20</v>
      </c>
      <c r="E184" s="2" t="s">
        <v>30</v>
      </c>
      <c r="F184" s="2" t="s">
        <v>3</v>
      </c>
      <c r="G184" s="4">
        <v>10100</v>
      </c>
      <c r="H184" s="5">
        <v>4.1099999999999998E-2</v>
      </c>
      <c r="I184" s="2">
        <v>60</v>
      </c>
      <c r="J184" s="2" t="s">
        <v>44</v>
      </c>
      <c r="K184" s="2" t="s">
        <v>17</v>
      </c>
      <c r="L184" s="3">
        <v>46067</v>
      </c>
    </row>
    <row r="185" spans="1:12">
      <c r="A185" s="2" t="s">
        <v>403</v>
      </c>
      <c r="B185" s="3">
        <v>46066</v>
      </c>
      <c r="C185" s="2" t="s">
        <v>404</v>
      </c>
      <c r="D185" s="2" t="s">
        <v>20</v>
      </c>
      <c r="E185" s="2" t="s">
        <v>43</v>
      </c>
      <c r="F185" s="2" t="s">
        <v>55</v>
      </c>
      <c r="G185" s="4">
        <v>140000</v>
      </c>
      <c r="H185" s="5">
        <v>7.1999999999999995E-2</v>
      </c>
      <c r="I185" s="2">
        <v>84</v>
      </c>
      <c r="J185" s="2" t="s">
        <v>37</v>
      </c>
      <c r="K185" s="2" t="s">
        <v>17</v>
      </c>
      <c r="L185" s="3">
        <v>46084</v>
      </c>
    </row>
    <row r="186" spans="1:12">
      <c r="A186" s="2" t="s">
        <v>405</v>
      </c>
      <c r="B186" s="3">
        <v>46066</v>
      </c>
      <c r="C186" s="2" t="s">
        <v>406</v>
      </c>
      <c r="D186" s="2" t="s">
        <v>25</v>
      </c>
      <c r="E186" s="2" t="s">
        <v>407</v>
      </c>
      <c r="F186" s="2" t="s">
        <v>3</v>
      </c>
      <c r="G186" s="4">
        <v>14800</v>
      </c>
      <c r="H186" s="5">
        <v>4.9099999999999998E-2</v>
      </c>
      <c r="I186" s="2">
        <v>48</v>
      </c>
      <c r="J186" s="2" t="s">
        <v>181</v>
      </c>
      <c r="K186" s="2" t="s">
        <v>17</v>
      </c>
      <c r="L186" s="3">
        <v>46069</v>
      </c>
    </row>
    <row r="187" spans="1:12">
      <c r="A187" s="2" t="s">
        <v>408</v>
      </c>
      <c r="B187" s="3">
        <v>46066</v>
      </c>
      <c r="C187" s="2" t="s">
        <v>409</v>
      </c>
      <c r="D187" s="2" t="s">
        <v>71</v>
      </c>
      <c r="E187" s="2" t="s">
        <v>15</v>
      </c>
      <c r="F187" s="2" t="s">
        <v>3</v>
      </c>
      <c r="G187" s="4">
        <v>5100</v>
      </c>
      <c r="H187" s="5">
        <v>5.5599999999999997E-2</v>
      </c>
      <c r="I187" s="2">
        <v>24</v>
      </c>
      <c r="J187" s="2" t="s">
        <v>94</v>
      </c>
      <c r="K187" s="2" t="s">
        <v>17</v>
      </c>
      <c r="L187" s="3">
        <v>46072</v>
      </c>
    </row>
    <row r="188" spans="1:12">
      <c r="A188" s="2" t="s">
        <v>410</v>
      </c>
      <c r="B188" s="3">
        <v>46066</v>
      </c>
      <c r="C188" s="2" t="s">
        <v>411</v>
      </c>
      <c r="D188" s="2" t="s">
        <v>25</v>
      </c>
      <c r="E188" s="2" t="s">
        <v>15</v>
      </c>
      <c r="F188" s="2" t="s">
        <v>31</v>
      </c>
      <c r="G188" s="4">
        <v>24700</v>
      </c>
      <c r="H188" s="5">
        <v>6.54E-2</v>
      </c>
      <c r="I188" s="2">
        <v>12</v>
      </c>
      <c r="J188" s="2" t="s">
        <v>181</v>
      </c>
      <c r="K188" s="2" t="s">
        <v>17</v>
      </c>
      <c r="L188" s="3">
        <v>46071</v>
      </c>
    </row>
    <row r="189" spans="1:12">
      <c r="A189" s="2" t="s">
        <v>412</v>
      </c>
      <c r="B189" s="3">
        <v>46066</v>
      </c>
      <c r="C189" s="2" t="s">
        <v>413</v>
      </c>
      <c r="D189" s="2" t="s">
        <v>20</v>
      </c>
      <c r="E189" s="2" t="s">
        <v>407</v>
      </c>
      <c r="F189" s="2" t="s">
        <v>31</v>
      </c>
      <c r="G189" s="4">
        <v>14000</v>
      </c>
      <c r="H189" s="5">
        <v>3.7100000000000001E-2</v>
      </c>
      <c r="I189" s="2">
        <v>48</v>
      </c>
      <c r="J189" s="2" t="s">
        <v>37</v>
      </c>
      <c r="K189" s="2" t="s">
        <v>17</v>
      </c>
      <c r="L189" s="3">
        <v>46067</v>
      </c>
    </row>
    <row r="190" spans="1:12">
      <c r="A190" s="2" t="s">
        <v>414</v>
      </c>
      <c r="B190" s="3">
        <v>46066</v>
      </c>
      <c r="C190" s="2" t="s">
        <v>415</v>
      </c>
      <c r="D190" s="2" t="s">
        <v>14</v>
      </c>
      <c r="E190" s="2" t="s">
        <v>43</v>
      </c>
      <c r="F190" s="2" t="s">
        <v>3</v>
      </c>
      <c r="G190" s="4">
        <v>28900</v>
      </c>
      <c r="H190" s="5">
        <v>7.9899999999999999E-2</v>
      </c>
      <c r="I190" s="2">
        <v>60</v>
      </c>
      <c r="J190" s="2" t="s">
        <v>16</v>
      </c>
      <c r="K190" s="2" t="s">
        <v>45</v>
      </c>
      <c r="L190" s="3">
        <v>46083</v>
      </c>
    </row>
    <row r="191" spans="1:12">
      <c r="A191" s="2" t="s">
        <v>416</v>
      </c>
      <c r="B191" s="3">
        <v>46067</v>
      </c>
      <c r="C191" s="2" t="s">
        <v>417</v>
      </c>
      <c r="D191" s="2" t="s">
        <v>20</v>
      </c>
      <c r="E191" s="2" t="s">
        <v>21</v>
      </c>
      <c r="F191" s="2" t="s">
        <v>332</v>
      </c>
      <c r="G191" s="4">
        <v>131800</v>
      </c>
      <c r="H191" s="5">
        <v>4.1099999999999998E-2</v>
      </c>
      <c r="I191" s="2">
        <v>120</v>
      </c>
      <c r="J191" s="2" t="s">
        <v>44</v>
      </c>
      <c r="K191" s="2" t="s">
        <v>45</v>
      </c>
      <c r="L191" s="3">
        <v>46092</v>
      </c>
    </row>
    <row r="192" spans="1:12">
      <c r="A192" s="2" t="s">
        <v>418</v>
      </c>
      <c r="B192" s="3">
        <v>46068</v>
      </c>
      <c r="C192" s="2" t="s">
        <v>419</v>
      </c>
      <c r="D192" s="2" t="s">
        <v>14</v>
      </c>
      <c r="E192" s="2" t="s">
        <v>43</v>
      </c>
      <c r="F192" s="2" t="s">
        <v>55</v>
      </c>
      <c r="G192" s="4">
        <v>134300</v>
      </c>
      <c r="H192" s="5">
        <v>7.6300000000000007E-2</v>
      </c>
      <c r="I192" s="2">
        <v>36</v>
      </c>
      <c r="J192" s="2" t="s">
        <v>16</v>
      </c>
      <c r="K192" s="2" t="s">
        <v>45</v>
      </c>
      <c r="L192" s="3">
        <v>46082</v>
      </c>
    </row>
    <row r="193" spans="1:12">
      <c r="A193" s="2" t="s">
        <v>420</v>
      </c>
      <c r="B193" s="3">
        <v>46068</v>
      </c>
      <c r="C193" s="2" t="s">
        <v>421</v>
      </c>
      <c r="D193" s="2" t="s">
        <v>54</v>
      </c>
      <c r="E193" s="2" t="s">
        <v>15</v>
      </c>
      <c r="F193" s="2" t="s">
        <v>332</v>
      </c>
      <c r="G193" s="4">
        <v>18900</v>
      </c>
      <c r="H193" s="5">
        <v>6.4000000000000001E-2</v>
      </c>
      <c r="I193" s="2">
        <v>24</v>
      </c>
      <c r="J193" s="2" t="s">
        <v>148</v>
      </c>
      <c r="K193" s="2" t="s">
        <v>17</v>
      </c>
      <c r="L193" s="3">
        <v>46069</v>
      </c>
    </row>
    <row r="194" spans="1:12">
      <c r="A194" s="2" t="s">
        <v>422</v>
      </c>
      <c r="B194" s="3">
        <v>46068</v>
      </c>
      <c r="C194" s="2" t="s">
        <v>423</v>
      </c>
      <c r="D194" s="2" t="s">
        <v>25</v>
      </c>
      <c r="E194" s="2" t="s">
        <v>15</v>
      </c>
      <c r="F194" s="2" t="s">
        <v>3</v>
      </c>
      <c r="G194" s="4">
        <v>9800</v>
      </c>
      <c r="H194" s="5">
        <v>6.2399999999999997E-2</v>
      </c>
      <c r="I194" s="2">
        <v>60</v>
      </c>
      <c r="J194" s="2" t="s">
        <v>26</v>
      </c>
      <c r="K194" s="2" t="s">
        <v>17</v>
      </c>
      <c r="L194" s="3">
        <v>46074</v>
      </c>
    </row>
    <row r="195" spans="1:12">
      <c r="A195" s="2" t="s">
        <v>424</v>
      </c>
      <c r="B195" s="3">
        <v>46068</v>
      </c>
      <c r="C195" s="2" t="s">
        <v>425</v>
      </c>
      <c r="D195" s="2" t="s">
        <v>54</v>
      </c>
      <c r="E195" s="2" t="s">
        <v>43</v>
      </c>
      <c r="F195" s="2" t="s">
        <v>31</v>
      </c>
      <c r="G195" s="4">
        <v>92500</v>
      </c>
      <c r="H195" s="5">
        <v>7.6700000000000004E-2</v>
      </c>
      <c r="I195" s="2">
        <v>36</v>
      </c>
      <c r="J195" s="2" t="s">
        <v>186</v>
      </c>
      <c r="K195" s="2" t="s">
        <v>17</v>
      </c>
      <c r="L195" s="3">
        <v>46081</v>
      </c>
    </row>
    <row r="196" spans="1:12">
      <c r="A196" s="2" t="s">
        <v>426</v>
      </c>
      <c r="B196" s="3">
        <v>46069</v>
      </c>
      <c r="C196" s="2" t="s">
        <v>427</v>
      </c>
      <c r="D196" s="2" t="s">
        <v>25</v>
      </c>
      <c r="E196" s="2" t="s">
        <v>160</v>
      </c>
      <c r="F196" s="2" t="s">
        <v>3</v>
      </c>
      <c r="G196" s="4">
        <v>8400</v>
      </c>
      <c r="H196" s="5">
        <v>3.85E-2</v>
      </c>
      <c r="I196" s="2">
        <v>48</v>
      </c>
      <c r="J196" s="2" t="s">
        <v>66</v>
      </c>
      <c r="K196" s="2" t="s">
        <v>17</v>
      </c>
      <c r="L196" s="3">
        <v>46070</v>
      </c>
    </row>
    <row r="197" spans="1:12">
      <c r="A197" s="2" t="s">
        <v>428</v>
      </c>
      <c r="B197" s="3">
        <v>46069</v>
      </c>
      <c r="C197" s="2" t="s">
        <v>429</v>
      </c>
      <c r="D197" s="2" t="s">
        <v>14</v>
      </c>
      <c r="E197" s="2" t="s">
        <v>30</v>
      </c>
      <c r="F197" s="2" t="s">
        <v>31</v>
      </c>
      <c r="G197" s="4">
        <v>4400</v>
      </c>
      <c r="H197" s="5">
        <v>3.56E-2</v>
      </c>
      <c r="I197" s="2">
        <v>60</v>
      </c>
      <c r="J197" s="2" t="s">
        <v>16</v>
      </c>
      <c r="K197" s="2" t="s">
        <v>17</v>
      </c>
      <c r="L197" s="3">
        <v>46073</v>
      </c>
    </row>
    <row r="198" spans="1:12">
      <c r="A198" s="2" t="s">
        <v>430</v>
      </c>
      <c r="B198" s="3">
        <v>46069</v>
      </c>
      <c r="C198" s="2" t="s">
        <v>431</v>
      </c>
      <c r="D198" s="2" t="s">
        <v>29</v>
      </c>
      <c r="E198" s="2" t="s">
        <v>15</v>
      </c>
      <c r="F198" s="2" t="s">
        <v>3</v>
      </c>
      <c r="G198" s="4">
        <v>21200</v>
      </c>
      <c r="H198" s="5">
        <v>5.6000000000000001E-2</v>
      </c>
      <c r="I198" s="2">
        <v>12</v>
      </c>
      <c r="J198" s="2" t="s">
        <v>61</v>
      </c>
      <c r="K198" s="2" t="s">
        <v>17</v>
      </c>
      <c r="L198" s="3">
        <v>46070</v>
      </c>
    </row>
    <row r="199" spans="1:12">
      <c r="A199" s="2" t="s">
        <v>432</v>
      </c>
      <c r="B199" s="3">
        <v>46069</v>
      </c>
      <c r="C199" s="2" t="s">
        <v>433</v>
      </c>
      <c r="D199" s="2" t="s">
        <v>25</v>
      </c>
      <c r="E199" s="2" t="s">
        <v>30</v>
      </c>
      <c r="F199" s="2" t="s">
        <v>3</v>
      </c>
      <c r="G199" s="4">
        <v>11100</v>
      </c>
      <c r="H199" s="5">
        <v>3.85E-2</v>
      </c>
      <c r="I199" s="2">
        <v>48</v>
      </c>
      <c r="J199" s="2" t="s">
        <v>66</v>
      </c>
      <c r="K199" s="2" t="s">
        <v>17</v>
      </c>
      <c r="L199" s="3">
        <v>46071</v>
      </c>
    </row>
    <row r="200" spans="1:12">
      <c r="A200" s="2" t="s">
        <v>434</v>
      </c>
      <c r="B200" s="3">
        <v>46069</v>
      </c>
      <c r="C200" s="2" t="s">
        <v>435</v>
      </c>
      <c r="D200" s="2" t="s">
        <v>29</v>
      </c>
      <c r="E200" s="2" t="s">
        <v>30</v>
      </c>
      <c r="F200" s="2" t="s">
        <v>3</v>
      </c>
      <c r="G200" s="4">
        <v>5500</v>
      </c>
      <c r="H200" s="5">
        <v>4.65E-2</v>
      </c>
      <c r="I200" s="2">
        <v>36</v>
      </c>
      <c r="J200" s="2" t="s">
        <v>61</v>
      </c>
      <c r="K200" s="2" t="s">
        <v>17</v>
      </c>
      <c r="L200" s="3">
        <v>46070</v>
      </c>
    </row>
    <row r="201" spans="1:12">
      <c r="A201" s="2" t="s">
        <v>436</v>
      </c>
      <c r="B201" s="3">
        <v>46069</v>
      </c>
      <c r="C201" s="2" t="s">
        <v>236</v>
      </c>
      <c r="D201" s="2" t="s">
        <v>14</v>
      </c>
      <c r="E201" s="2" t="s">
        <v>30</v>
      </c>
      <c r="F201" s="2" t="s">
        <v>3</v>
      </c>
      <c r="G201" s="4">
        <v>7500</v>
      </c>
      <c r="H201" s="5">
        <v>4.3999999999999997E-2</v>
      </c>
      <c r="I201" s="2">
        <v>60</v>
      </c>
      <c r="J201" s="2" t="s">
        <v>16</v>
      </c>
      <c r="K201" s="2" t="s">
        <v>45</v>
      </c>
      <c r="L201" s="3">
        <v>46073</v>
      </c>
    </row>
    <row r="202" spans="1:12">
      <c r="A202" s="2" t="s">
        <v>437</v>
      </c>
      <c r="B202" s="3">
        <v>46069</v>
      </c>
      <c r="C202" s="2" t="s">
        <v>156</v>
      </c>
      <c r="D202" s="2" t="s">
        <v>20</v>
      </c>
      <c r="E202" s="2" t="s">
        <v>43</v>
      </c>
      <c r="F202" s="2" t="s">
        <v>3</v>
      </c>
      <c r="G202" s="4">
        <v>40600</v>
      </c>
      <c r="H202" s="5">
        <v>7.9600000000000004E-2</v>
      </c>
      <c r="I202" s="2">
        <v>36</v>
      </c>
      <c r="J202" s="2" t="s">
        <v>44</v>
      </c>
      <c r="K202" s="2" t="s">
        <v>45</v>
      </c>
      <c r="L202" s="3">
        <v>46080</v>
      </c>
    </row>
    <row r="203" spans="1:12">
      <c r="A203" s="2" t="s">
        <v>438</v>
      </c>
      <c r="B203" s="3">
        <v>46069</v>
      </c>
      <c r="C203" s="2" t="s">
        <v>439</v>
      </c>
      <c r="D203" s="2" t="s">
        <v>29</v>
      </c>
      <c r="E203" s="2" t="s">
        <v>30</v>
      </c>
      <c r="F203" s="2" t="s">
        <v>3</v>
      </c>
      <c r="G203" s="4">
        <v>17200</v>
      </c>
      <c r="H203" s="5">
        <v>3.5200000000000002E-2</v>
      </c>
      <c r="I203" s="2">
        <v>36</v>
      </c>
      <c r="J203" s="2" t="s">
        <v>32</v>
      </c>
      <c r="K203" s="2" t="s">
        <v>17</v>
      </c>
      <c r="L203" s="3">
        <v>46071</v>
      </c>
    </row>
    <row r="204" spans="1:12">
      <c r="A204" s="2" t="s">
        <v>440</v>
      </c>
      <c r="B204" s="3">
        <v>46069</v>
      </c>
      <c r="C204" s="2" t="s">
        <v>441</v>
      </c>
      <c r="D204" s="2" t="s">
        <v>14</v>
      </c>
      <c r="E204" s="2" t="s">
        <v>43</v>
      </c>
      <c r="F204" s="2" t="s">
        <v>3</v>
      </c>
      <c r="G204" s="4">
        <v>131900</v>
      </c>
      <c r="H204" s="5">
        <v>6.9500000000000006E-2</v>
      </c>
      <c r="I204" s="2">
        <v>60</v>
      </c>
      <c r="J204" s="2" t="s">
        <v>16</v>
      </c>
      <c r="K204" s="2" t="s">
        <v>17</v>
      </c>
      <c r="L204" s="3">
        <v>46082</v>
      </c>
    </row>
    <row r="205" spans="1:12">
      <c r="A205" s="2" t="s">
        <v>442</v>
      </c>
      <c r="B205" s="3">
        <v>46070</v>
      </c>
      <c r="C205" s="2" t="s">
        <v>443</v>
      </c>
      <c r="D205" s="2" t="s">
        <v>71</v>
      </c>
      <c r="E205" s="2" t="s">
        <v>21</v>
      </c>
      <c r="F205" s="2" t="s">
        <v>3</v>
      </c>
      <c r="G205" s="4">
        <v>177000</v>
      </c>
      <c r="H205" s="5">
        <v>3.44E-2</v>
      </c>
      <c r="I205" s="2">
        <v>180</v>
      </c>
      <c r="J205" s="2" t="s">
        <v>101</v>
      </c>
      <c r="K205" s="2" t="s">
        <v>17</v>
      </c>
      <c r="L205" s="3">
        <v>46094</v>
      </c>
    </row>
    <row r="206" spans="1:12">
      <c r="A206" s="2" t="s">
        <v>444</v>
      </c>
      <c r="B206" s="3">
        <v>46070</v>
      </c>
      <c r="C206" s="2" t="s">
        <v>445</v>
      </c>
      <c r="D206" s="2" t="s">
        <v>20</v>
      </c>
      <c r="E206" s="2" t="s">
        <v>15</v>
      </c>
      <c r="F206" s="2" t="s">
        <v>3</v>
      </c>
      <c r="G206" s="4">
        <v>13100</v>
      </c>
      <c r="H206" s="5">
        <v>6.8199999999999997E-2</v>
      </c>
      <c r="I206" s="2">
        <v>60</v>
      </c>
      <c r="J206" s="2" t="s">
        <v>22</v>
      </c>
      <c r="K206" s="2" t="s">
        <v>17</v>
      </c>
      <c r="L206" s="3">
        <v>46076</v>
      </c>
    </row>
    <row r="207" spans="1:12">
      <c r="A207" s="2" t="s">
        <v>446</v>
      </c>
      <c r="B207" s="3">
        <v>46070</v>
      </c>
      <c r="C207" s="2" t="s">
        <v>447</v>
      </c>
      <c r="D207" s="2" t="s">
        <v>25</v>
      </c>
      <c r="E207" s="2" t="s">
        <v>15</v>
      </c>
      <c r="F207" s="2" t="s">
        <v>55</v>
      </c>
      <c r="G207" s="4">
        <v>15200</v>
      </c>
      <c r="H207" s="5">
        <v>0.05</v>
      </c>
      <c r="I207" s="2">
        <v>12</v>
      </c>
      <c r="J207" s="2" t="s">
        <v>66</v>
      </c>
      <c r="K207" s="2" t="s">
        <v>17</v>
      </c>
      <c r="L207" s="3">
        <v>46072</v>
      </c>
    </row>
    <row r="208" spans="1:12">
      <c r="A208" s="2" t="s">
        <v>448</v>
      </c>
      <c r="B208" s="3">
        <v>46071</v>
      </c>
      <c r="C208" s="2" t="s">
        <v>449</v>
      </c>
      <c r="D208" s="2" t="s">
        <v>54</v>
      </c>
      <c r="E208" s="2" t="s">
        <v>43</v>
      </c>
      <c r="F208" s="2" t="s">
        <v>55</v>
      </c>
      <c r="G208" s="4">
        <v>33500</v>
      </c>
      <c r="H208" s="5">
        <v>6.4299999999999996E-2</v>
      </c>
      <c r="I208" s="2">
        <v>60</v>
      </c>
      <c r="J208" s="2" t="s">
        <v>186</v>
      </c>
      <c r="K208" s="2" t="s">
        <v>45</v>
      </c>
      <c r="L208" s="3">
        <v>46086</v>
      </c>
    </row>
    <row r="209" spans="1:12">
      <c r="A209" s="2" t="s">
        <v>450</v>
      </c>
      <c r="B209" s="3">
        <v>46071</v>
      </c>
      <c r="C209" s="2" t="s">
        <v>451</v>
      </c>
      <c r="D209" s="2" t="s">
        <v>25</v>
      </c>
      <c r="E209" s="2" t="s">
        <v>21</v>
      </c>
      <c r="F209" s="2" t="s">
        <v>3</v>
      </c>
      <c r="G209" s="4">
        <v>111000</v>
      </c>
      <c r="H209" s="5">
        <v>3.7999999999999999E-2</v>
      </c>
      <c r="I209" s="2">
        <v>180</v>
      </c>
      <c r="J209" s="2" t="s">
        <v>26</v>
      </c>
      <c r="K209" s="2" t="s">
        <v>17</v>
      </c>
      <c r="L209" s="3">
        <v>46084</v>
      </c>
    </row>
    <row r="210" spans="1:12">
      <c r="A210" s="2" t="s">
        <v>452</v>
      </c>
      <c r="B210" s="3">
        <v>46071</v>
      </c>
      <c r="C210" s="2" t="s">
        <v>453</v>
      </c>
      <c r="D210" s="2" t="s">
        <v>54</v>
      </c>
      <c r="E210" s="2" t="s">
        <v>30</v>
      </c>
      <c r="F210" s="2" t="s">
        <v>3</v>
      </c>
      <c r="G210" s="4">
        <v>7600</v>
      </c>
      <c r="H210" s="5">
        <v>3.8300000000000001E-2</v>
      </c>
      <c r="I210" s="2">
        <v>36</v>
      </c>
      <c r="J210" s="2" t="s">
        <v>186</v>
      </c>
      <c r="K210" s="2" t="s">
        <v>17</v>
      </c>
      <c r="L210" s="3">
        <v>46073</v>
      </c>
    </row>
    <row r="211" spans="1:12">
      <c r="A211" s="2" t="s">
        <v>454</v>
      </c>
      <c r="B211" s="3">
        <v>46071</v>
      </c>
      <c r="C211" s="2" t="s">
        <v>272</v>
      </c>
      <c r="D211" s="2" t="s">
        <v>25</v>
      </c>
      <c r="E211" s="2" t="s">
        <v>30</v>
      </c>
      <c r="F211" s="2" t="s">
        <v>55</v>
      </c>
      <c r="G211" s="4">
        <v>22300</v>
      </c>
      <c r="H211" s="5">
        <v>4.2599999999999999E-2</v>
      </c>
      <c r="I211" s="2">
        <v>36</v>
      </c>
      <c r="J211" s="2" t="s">
        <v>26</v>
      </c>
      <c r="K211" s="2" t="s">
        <v>17</v>
      </c>
      <c r="L211" s="3">
        <v>46074</v>
      </c>
    </row>
    <row r="212" spans="1:12">
      <c r="A212" s="2" t="s">
        <v>455</v>
      </c>
      <c r="B212" s="3">
        <v>46071</v>
      </c>
      <c r="C212" s="2" t="s">
        <v>456</v>
      </c>
      <c r="D212" s="2" t="s">
        <v>14</v>
      </c>
      <c r="E212" s="2" t="s">
        <v>15</v>
      </c>
      <c r="F212" s="2" t="s">
        <v>31</v>
      </c>
      <c r="G212" s="4">
        <v>25000</v>
      </c>
      <c r="H212" s="5">
        <v>6.6500000000000004E-2</v>
      </c>
      <c r="I212" s="2">
        <v>24</v>
      </c>
      <c r="J212" s="2" t="s">
        <v>48</v>
      </c>
      <c r="K212" s="2" t="s">
        <v>45</v>
      </c>
      <c r="L212" s="3">
        <v>46074</v>
      </c>
    </row>
    <row r="213" spans="1:12">
      <c r="A213" s="2" t="s">
        <v>455</v>
      </c>
      <c r="B213" s="3">
        <v>46071</v>
      </c>
      <c r="C213" s="2" t="s">
        <v>456</v>
      </c>
      <c r="D213" s="2" t="s">
        <v>14</v>
      </c>
      <c r="E213" s="2" t="s">
        <v>15</v>
      </c>
      <c r="F213" s="2" t="s">
        <v>31</v>
      </c>
      <c r="G213" s="4">
        <v>25000</v>
      </c>
      <c r="H213" s="5">
        <v>6.6500000000000004E-2</v>
      </c>
      <c r="I213" s="2">
        <v>24</v>
      </c>
      <c r="J213" s="2" t="s">
        <v>48</v>
      </c>
      <c r="K213" s="2" t="s">
        <v>45</v>
      </c>
      <c r="L213" s="3">
        <v>46074</v>
      </c>
    </row>
    <row r="214" spans="1:12">
      <c r="A214" s="2" t="s">
        <v>457</v>
      </c>
      <c r="B214" s="3">
        <v>46071</v>
      </c>
      <c r="C214" s="2" t="s">
        <v>458</v>
      </c>
      <c r="D214" s="2" t="s">
        <v>20</v>
      </c>
      <c r="E214" s="2" t="s">
        <v>30</v>
      </c>
      <c r="F214" s="2" t="s">
        <v>3</v>
      </c>
      <c r="G214" s="4">
        <v>14500</v>
      </c>
      <c r="H214" s="5">
        <v>3.9199999999999999E-2</v>
      </c>
      <c r="I214" s="2">
        <v>36</v>
      </c>
      <c r="J214" s="2" t="s">
        <v>37</v>
      </c>
      <c r="K214" s="2" t="s">
        <v>17</v>
      </c>
      <c r="L214" s="3">
        <v>46075</v>
      </c>
    </row>
    <row r="215" spans="1:12">
      <c r="A215" s="2" t="s">
        <v>459</v>
      </c>
      <c r="B215" s="3">
        <v>46071</v>
      </c>
      <c r="C215" s="2" t="s">
        <v>460</v>
      </c>
      <c r="D215" s="2" t="s">
        <v>25</v>
      </c>
      <c r="E215" s="2" t="s">
        <v>30</v>
      </c>
      <c r="F215" s="2" t="s">
        <v>3</v>
      </c>
      <c r="G215" s="4">
        <v>9100</v>
      </c>
      <c r="H215" s="5">
        <v>4.5699999999999998E-2</v>
      </c>
      <c r="I215" s="2">
        <v>48</v>
      </c>
      <c r="J215" s="2" t="s">
        <v>26</v>
      </c>
      <c r="K215" s="2" t="s">
        <v>17</v>
      </c>
      <c r="L215" s="3">
        <v>46076</v>
      </c>
    </row>
    <row r="216" spans="1:12">
      <c r="A216" s="2" t="s">
        <v>461</v>
      </c>
      <c r="B216" s="3">
        <v>46072</v>
      </c>
      <c r="C216" s="2" t="s">
        <v>462</v>
      </c>
      <c r="D216" s="2" t="s">
        <v>14</v>
      </c>
      <c r="E216" s="2" t="s">
        <v>30</v>
      </c>
      <c r="F216" s="2" t="s">
        <v>3</v>
      </c>
      <c r="G216" s="4">
        <v>11600</v>
      </c>
      <c r="H216" s="5">
        <v>3.6600000000000001E-2</v>
      </c>
      <c r="I216" s="2">
        <v>60</v>
      </c>
      <c r="J216" s="2" t="s">
        <v>16</v>
      </c>
      <c r="K216" s="2" t="s">
        <v>17</v>
      </c>
      <c r="L216" s="3">
        <v>46076</v>
      </c>
    </row>
    <row r="217" spans="1:12">
      <c r="A217" s="2" t="s">
        <v>463</v>
      </c>
      <c r="B217" s="3">
        <v>46072</v>
      </c>
      <c r="C217" s="2" t="s">
        <v>464</v>
      </c>
      <c r="D217" s="2" t="s">
        <v>14</v>
      </c>
      <c r="E217" s="2" t="s">
        <v>43</v>
      </c>
      <c r="F217" s="2" t="s">
        <v>31</v>
      </c>
      <c r="G217" s="4">
        <v>58900</v>
      </c>
      <c r="H217" s="5">
        <v>6.9699999999999998E-2</v>
      </c>
      <c r="I217" s="2">
        <v>60</v>
      </c>
      <c r="J217" s="2" t="s">
        <v>48</v>
      </c>
      <c r="K217" s="2" t="s">
        <v>45</v>
      </c>
      <c r="L217" s="3">
        <v>46083</v>
      </c>
    </row>
    <row r="218" spans="1:12">
      <c r="A218" s="2" t="s">
        <v>465</v>
      </c>
      <c r="B218" s="3">
        <v>46072</v>
      </c>
      <c r="C218" s="2" t="s">
        <v>204</v>
      </c>
      <c r="D218" s="2" t="s">
        <v>25</v>
      </c>
      <c r="E218" s="2" t="s">
        <v>30</v>
      </c>
      <c r="F218" s="2" t="s">
        <v>3</v>
      </c>
      <c r="G218" s="4">
        <v>8300</v>
      </c>
      <c r="H218" s="5">
        <v>3.6700000000000003E-2</v>
      </c>
      <c r="I218" s="2">
        <v>48</v>
      </c>
      <c r="J218" s="2" t="s">
        <v>26</v>
      </c>
      <c r="K218" s="2" t="s">
        <v>17</v>
      </c>
      <c r="L218" s="3">
        <v>46076</v>
      </c>
    </row>
    <row r="219" spans="1:12">
      <c r="A219" s="2" t="s">
        <v>466</v>
      </c>
      <c r="B219" s="3">
        <v>46073</v>
      </c>
      <c r="C219" s="2" t="s">
        <v>342</v>
      </c>
      <c r="D219" s="2" t="s">
        <v>29</v>
      </c>
      <c r="E219" s="2" t="s">
        <v>43</v>
      </c>
      <c r="F219" s="2" t="s">
        <v>3</v>
      </c>
      <c r="G219" s="4">
        <v>135300</v>
      </c>
      <c r="H219" s="5">
        <v>6.8900000000000003E-2</v>
      </c>
      <c r="I219" s="2">
        <v>24</v>
      </c>
      <c r="J219" s="2" t="s">
        <v>123</v>
      </c>
      <c r="K219" s="2" t="s">
        <v>45</v>
      </c>
      <c r="L219" s="3">
        <v>46093</v>
      </c>
    </row>
    <row r="220" spans="1:12">
      <c r="A220" s="2" t="s">
        <v>467</v>
      </c>
      <c r="B220" s="3">
        <v>46073</v>
      </c>
      <c r="C220" s="2" t="s">
        <v>468</v>
      </c>
      <c r="D220" s="2" t="s">
        <v>25</v>
      </c>
      <c r="E220" s="2" t="s">
        <v>15</v>
      </c>
      <c r="F220" s="2" t="s">
        <v>3</v>
      </c>
      <c r="G220" s="4">
        <v>25000</v>
      </c>
      <c r="H220" s="5">
        <v>6.2199999999999998E-2</v>
      </c>
      <c r="I220" s="2">
        <v>48</v>
      </c>
      <c r="J220" s="2" t="s">
        <v>181</v>
      </c>
      <c r="K220" s="2" t="s">
        <v>17</v>
      </c>
      <c r="L220" s="3">
        <v>46075</v>
      </c>
    </row>
    <row r="221" spans="1:12">
      <c r="A221" s="2" t="s">
        <v>469</v>
      </c>
      <c r="B221" s="3">
        <v>46073</v>
      </c>
      <c r="C221" s="2" t="s">
        <v>53</v>
      </c>
      <c r="D221" s="2" t="s">
        <v>14</v>
      </c>
      <c r="E221" s="2" t="s">
        <v>15</v>
      </c>
      <c r="F221" s="2" t="s">
        <v>3</v>
      </c>
      <c r="G221" s="4">
        <v>25000</v>
      </c>
      <c r="H221" s="5">
        <v>5.6800000000000003E-2</v>
      </c>
      <c r="I221" s="2">
        <v>48</v>
      </c>
      <c r="J221" s="2" t="s">
        <v>40</v>
      </c>
      <c r="K221" s="2" t="s">
        <v>17</v>
      </c>
      <c r="L221" s="3">
        <v>46075</v>
      </c>
    </row>
    <row r="222" spans="1:12">
      <c r="A222" s="2" t="s">
        <v>470</v>
      </c>
      <c r="B222" s="3">
        <v>46073</v>
      </c>
      <c r="C222" s="2" t="s">
        <v>471</v>
      </c>
      <c r="D222" s="2" t="s">
        <v>29</v>
      </c>
      <c r="E222" s="2" t="s">
        <v>30</v>
      </c>
      <c r="F222" s="2" t="s">
        <v>3</v>
      </c>
      <c r="G222" s="4">
        <v>6000</v>
      </c>
      <c r="H222" s="5">
        <v>3.8300000000000001E-2</v>
      </c>
      <c r="I222" s="2">
        <v>60</v>
      </c>
      <c r="J222" s="2" t="s">
        <v>61</v>
      </c>
      <c r="K222" s="2" t="s">
        <v>17</v>
      </c>
      <c r="L222" s="3">
        <v>46074</v>
      </c>
    </row>
    <row r="223" spans="1:12">
      <c r="A223" s="2" t="s">
        <v>472</v>
      </c>
      <c r="B223" s="3">
        <v>46073</v>
      </c>
      <c r="C223" s="2" t="s">
        <v>473</v>
      </c>
      <c r="D223" s="2" t="s">
        <v>20</v>
      </c>
      <c r="E223" s="2" t="s">
        <v>15</v>
      </c>
      <c r="F223" s="2" t="s">
        <v>3</v>
      </c>
      <c r="G223" s="4">
        <v>7300</v>
      </c>
      <c r="H223" s="5">
        <v>5.1799999999999999E-2</v>
      </c>
      <c r="I223" s="2">
        <v>12</v>
      </c>
      <c r="J223" s="2" t="s">
        <v>37</v>
      </c>
      <c r="K223" s="2" t="s">
        <v>17</v>
      </c>
      <c r="L223" s="3">
        <v>46080</v>
      </c>
    </row>
    <row r="224" spans="1:12">
      <c r="A224" s="2" t="s">
        <v>474</v>
      </c>
      <c r="B224" s="3">
        <v>46073</v>
      </c>
      <c r="C224" s="2" t="s">
        <v>475</v>
      </c>
      <c r="D224" s="2" t="s">
        <v>20</v>
      </c>
      <c r="E224" s="2" t="s">
        <v>43</v>
      </c>
      <c r="F224" s="2" t="s">
        <v>3</v>
      </c>
      <c r="G224" s="4">
        <v>33600</v>
      </c>
      <c r="H224" s="5">
        <v>6.4000000000000001E-2</v>
      </c>
      <c r="I224" s="2">
        <v>24</v>
      </c>
      <c r="J224" s="2" t="s">
        <v>44</v>
      </c>
      <c r="K224" s="2" t="s">
        <v>17</v>
      </c>
      <c r="L224" s="3">
        <v>46088</v>
      </c>
    </row>
    <row r="225" spans="1:12">
      <c r="A225" s="2" t="s">
        <v>476</v>
      </c>
      <c r="B225" s="3">
        <v>46074</v>
      </c>
      <c r="C225" s="2" t="s">
        <v>477</v>
      </c>
      <c r="D225" s="2" t="s">
        <v>71</v>
      </c>
      <c r="E225" s="2" t="s">
        <v>21</v>
      </c>
      <c r="F225" s="2" t="s">
        <v>3</v>
      </c>
      <c r="G225" s="4">
        <v>61200</v>
      </c>
      <c r="H225" s="5">
        <v>3.3000000000000002E-2</v>
      </c>
      <c r="I225" s="2">
        <v>240</v>
      </c>
      <c r="J225" s="2" t="s">
        <v>101</v>
      </c>
      <c r="K225" s="2" t="s">
        <v>45</v>
      </c>
      <c r="L225" s="3">
        <v>46103</v>
      </c>
    </row>
    <row r="226" spans="1:12">
      <c r="A226" s="2" t="s">
        <v>478</v>
      </c>
      <c r="B226" s="3">
        <v>46074</v>
      </c>
      <c r="C226" s="2" t="s">
        <v>479</v>
      </c>
      <c r="D226" s="2" t="s">
        <v>54</v>
      </c>
      <c r="E226" s="2" t="s">
        <v>51</v>
      </c>
      <c r="F226" s="2" t="s">
        <v>3</v>
      </c>
      <c r="G226" s="4">
        <v>5100</v>
      </c>
      <c r="H226" s="5">
        <v>4.5499999999999999E-2</v>
      </c>
      <c r="I226" s="2">
        <v>60</v>
      </c>
      <c r="J226" s="2" t="s">
        <v>148</v>
      </c>
      <c r="K226" s="2" t="s">
        <v>45</v>
      </c>
      <c r="L226" s="3">
        <v>46076</v>
      </c>
    </row>
    <row r="227" spans="1:12">
      <c r="A227" s="2" t="s">
        <v>480</v>
      </c>
      <c r="B227" s="3">
        <v>46074</v>
      </c>
      <c r="C227" s="2" t="s">
        <v>481</v>
      </c>
      <c r="D227" s="2" t="s">
        <v>14</v>
      </c>
      <c r="E227" s="2" t="s">
        <v>15</v>
      </c>
      <c r="F227" s="2" t="s">
        <v>3</v>
      </c>
      <c r="G227" s="2" t="s">
        <v>482</v>
      </c>
      <c r="H227" s="5">
        <v>6.2E-2</v>
      </c>
      <c r="I227" s="2">
        <v>12</v>
      </c>
      <c r="J227" s="2" t="s">
        <v>48</v>
      </c>
      <c r="K227" s="2" t="s">
        <v>17</v>
      </c>
      <c r="L227" s="3">
        <v>46075</v>
      </c>
    </row>
    <row r="228" spans="1:12">
      <c r="A228" s="2" t="s">
        <v>483</v>
      </c>
      <c r="B228" s="3">
        <v>46076</v>
      </c>
      <c r="C228" s="2" t="s">
        <v>484</v>
      </c>
      <c r="D228" s="2" t="s">
        <v>71</v>
      </c>
      <c r="E228" s="2" t="s">
        <v>485</v>
      </c>
      <c r="F228" s="2" t="s">
        <v>3</v>
      </c>
      <c r="G228" s="4">
        <v>110900</v>
      </c>
      <c r="H228" s="5">
        <v>4.07E-2</v>
      </c>
      <c r="I228" s="2">
        <v>120</v>
      </c>
      <c r="J228" s="2" t="s">
        <v>94</v>
      </c>
      <c r="K228" s="2" t="s">
        <v>45</v>
      </c>
      <c r="L228" s="3">
        <v>46097</v>
      </c>
    </row>
    <row r="229" spans="1:12">
      <c r="A229" s="2" t="s">
        <v>486</v>
      </c>
      <c r="B229" s="3">
        <v>46076</v>
      </c>
      <c r="C229" s="2" t="s">
        <v>487</v>
      </c>
      <c r="D229" s="2" t="s">
        <v>54</v>
      </c>
      <c r="E229" s="2" t="s">
        <v>30</v>
      </c>
      <c r="F229" s="2" t="s">
        <v>3</v>
      </c>
      <c r="G229" s="4">
        <v>13300</v>
      </c>
      <c r="H229" s="5">
        <v>3.9800000000000002E-2</v>
      </c>
      <c r="I229" s="2">
        <v>36</v>
      </c>
      <c r="J229" s="2" t="s">
        <v>56</v>
      </c>
      <c r="K229" s="2" t="s">
        <v>17</v>
      </c>
      <c r="L229" s="3">
        <v>46079</v>
      </c>
    </row>
    <row r="230" spans="1:12">
      <c r="A230" s="2" t="s">
        <v>488</v>
      </c>
      <c r="B230" s="3">
        <v>46076</v>
      </c>
      <c r="C230" s="2" t="s">
        <v>344</v>
      </c>
      <c r="D230" s="2" t="s">
        <v>20</v>
      </c>
      <c r="E230" s="2" t="s">
        <v>21</v>
      </c>
      <c r="F230" s="2" t="s">
        <v>55</v>
      </c>
      <c r="G230" s="4">
        <v>131700</v>
      </c>
      <c r="H230" s="5">
        <v>3.9800000000000002E-2</v>
      </c>
      <c r="I230" s="2">
        <v>180</v>
      </c>
      <c r="J230" s="2" t="s">
        <v>44</v>
      </c>
      <c r="K230" s="2" t="s">
        <v>45</v>
      </c>
      <c r="L230" s="3">
        <v>46092</v>
      </c>
    </row>
    <row r="231" spans="1:12">
      <c r="A231" s="2" t="s">
        <v>489</v>
      </c>
      <c r="B231" s="3">
        <v>46076</v>
      </c>
      <c r="C231" s="2" t="s">
        <v>105</v>
      </c>
      <c r="D231" s="2" t="s">
        <v>25</v>
      </c>
      <c r="E231" s="2" t="s">
        <v>15</v>
      </c>
      <c r="F231" s="2" t="s">
        <v>31</v>
      </c>
      <c r="G231" s="4">
        <v>25000</v>
      </c>
      <c r="H231" s="5">
        <v>5.9400000000000001E-2</v>
      </c>
      <c r="I231" s="2">
        <v>12</v>
      </c>
      <c r="J231" s="2" t="s">
        <v>26</v>
      </c>
      <c r="K231" s="2" t="s">
        <v>17</v>
      </c>
      <c r="L231" s="3">
        <v>46079</v>
      </c>
    </row>
    <row r="232" spans="1:12">
      <c r="A232" s="2" t="s">
        <v>490</v>
      </c>
      <c r="B232" s="3">
        <v>46076</v>
      </c>
      <c r="C232" s="2" t="s">
        <v>491</v>
      </c>
      <c r="D232" s="2" t="s">
        <v>29</v>
      </c>
      <c r="E232" s="2" t="s">
        <v>15</v>
      </c>
      <c r="F232" s="2" t="s">
        <v>3</v>
      </c>
      <c r="G232" s="4">
        <v>11500</v>
      </c>
      <c r="H232" s="5">
        <v>6.4899999999999999E-2</v>
      </c>
      <c r="I232" s="2">
        <v>36</v>
      </c>
      <c r="J232" s="2" t="s">
        <v>61</v>
      </c>
      <c r="K232" s="2" t="s">
        <v>17</v>
      </c>
      <c r="L232" s="3">
        <v>46078</v>
      </c>
    </row>
    <row r="233" spans="1:12">
      <c r="A233" s="2" t="s">
        <v>492</v>
      </c>
      <c r="B233" s="3">
        <v>46077</v>
      </c>
      <c r="C233" s="2" t="s">
        <v>493</v>
      </c>
      <c r="D233" s="2" t="s">
        <v>29</v>
      </c>
      <c r="E233" s="2" t="s">
        <v>43</v>
      </c>
      <c r="F233" s="2" t="s">
        <v>3</v>
      </c>
      <c r="G233" s="4">
        <v>26400</v>
      </c>
      <c r="H233" s="5">
        <v>6.9199999999999998E-2</v>
      </c>
      <c r="I233" s="2">
        <v>84</v>
      </c>
      <c r="J233" s="2" t="s">
        <v>61</v>
      </c>
      <c r="K233" s="2" t="s">
        <v>45</v>
      </c>
      <c r="L233" s="3">
        <v>46085</v>
      </c>
    </row>
    <row r="234" spans="1:12">
      <c r="A234" s="2" t="s">
        <v>494</v>
      </c>
      <c r="B234" s="3">
        <v>46077</v>
      </c>
      <c r="C234" s="2" t="s">
        <v>495</v>
      </c>
      <c r="D234" s="2" t="s">
        <v>25</v>
      </c>
      <c r="E234" s="2" t="s">
        <v>30</v>
      </c>
      <c r="F234" s="2" t="s">
        <v>3</v>
      </c>
      <c r="G234" s="4">
        <v>6700</v>
      </c>
      <c r="H234" s="5">
        <v>4.1799999999999997E-2</v>
      </c>
      <c r="I234" s="2">
        <v>36</v>
      </c>
      <c r="J234" s="2" t="s">
        <v>26</v>
      </c>
      <c r="K234" s="2" t="s">
        <v>17</v>
      </c>
      <c r="L234" s="3">
        <v>46081</v>
      </c>
    </row>
    <row r="235" spans="1:12">
      <c r="A235" s="2" t="s">
        <v>496</v>
      </c>
      <c r="B235" s="3">
        <v>46077</v>
      </c>
      <c r="C235" s="2" t="s">
        <v>114</v>
      </c>
      <c r="D235" s="2" t="s">
        <v>71</v>
      </c>
      <c r="E235" s="2" t="s">
        <v>43</v>
      </c>
      <c r="F235" s="2" t="s">
        <v>3</v>
      </c>
      <c r="G235" s="4">
        <v>50700</v>
      </c>
      <c r="H235" s="5">
        <v>5.9499999999999997E-2</v>
      </c>
      <c r="I235" s="2">
        <v>60</v>
      </c>
      <c r="J235" s="2" t="s">
        <v>94</v>
      </c>
      <c r="K235" s="2" t="s">
        <v>45</v>
      </c>
      <c r="L235" s="3">
        <v>46096</v>
      </c>
    </row>
    <row r="236" spans="1:12">
      <c r="A236" s="2" t="s">
        <v>497</v>
      </c>
      <c r="B236" s="3">
        <v>46078</v>
      </c>
      <c r="C236" s="2" t="s">
        <v>498</v>
      </c>
      <c r="D236" s="2" t="s">
        <v>25</v>
      </c>
      <c r="E236" s="2" t="s">
        <v>43</v>
      </c>
      <c r="F236" s="2" t="s">
        <v>31</v>
      </c>
      <c r="G236" s="4">
        <v>101400</v>
      </c>
      <c r="H236" s="5">
        <v>7.6399999999999996E-2</v>
      </c>
      <c r="I236" s="2">
        <v>24</v>
      </c>
      <c r="J236" s="2" t="s">
        <v>26</v>
      </c>
      <c r="K236" s="2" t="s">
        <v>45</v>
      </c>
      <c r="L236" s="3">
        <v>46091</v>
      </c>
    </row>
    <row r="237" spans="1:12">
      <c r="A237" s="2" t="s">
        <v>499</v>
      </c>
      <c r="B237" s="3">
        <v>46078</v>
      </c>
      <c r="C237" s="2" t="s">
        <v>500</v>
      </c>
      <c r="D237" s="2" t="s">
        <v>54</v>
      </c>
      <c r="E237" s="2" t="s">
        <v>43</v>
      </c>
      <c r="F237" s="2" t="s">
        <v>3</v>
      </c>
      <c r="G237" s="4">
        <v>215800</v>
      </c>
      <c r="H237" s="5">
        <v>6.0199999999999997E-2</v>
      </c>
      <c r="I237" s="2">
        <v>24</v>
      </c>
      <c r="J237" s="2" t="s">
        <v>186</v>
      </c>
      <c r="K237" s="2" t="s">
        <v>17</v>
      </c>
      <c r="L237" s="3">
        <v>46091</v>
      </c>
    </row>
    <row r="238" spans="1:12">
      <c r="A238" s="2" t="s">
        <v>501</v>
      </c>
      <c r="B238" s="3">
        <v>46078</v>
      </c>
      <c r="C238" s="2" t="s">
        <v>370</v>
      </c>
      <c r="D238" s="2" t="s">
        <v>25</v>
      </c>
      <c r="E238" s="2" t="s">
        <v>30</v>
      </c>
      <c r="F238" s="2" t="s">
        <v>3</v>
      </c>
      <c r="G238" s="4">
        <v>6500</v>
      </c>
      <c r="H238" s="5">
        <v>4.6699999999999998E-2</v>
      </c>
      <c r="I238" s="2">
        <v>48</v>
      </c>
      <c r="J238" s="2" t="s">
        <v>181</v>
      </c>
      <c r="K238" s="2" t="s">
        <v>17</v>
      </c>
      <c r="L238" s="3">
        <v>46079</v>
      </c>
    </row>
    <row r="239" spans="1:12">
      <c r="A239" s="2" t="s">
        <v>502</v>
      </c>
      <c r="B239" s="3">
        <v>46078</v>
      </c>
      <c r="C239" s="2" t="s">
        <v>503</v>
      </c>
      <c r="D239" s="2" t="s">
        <v>25</v>
      </c>
      <c r="E239" s="2" t="s">
        <v>43</v>
      </c>
      <c r="F239" s="2" t="s">
        <v>3</v>
      </c>
      <c r="G239" s="4">
        <v>30200</v>
      </c>
      <c r="H239" s="5">
        <v>7.6899999999999996E-2</v>
      </c>
      <c r="I239" s="2">
        <v>36</v>
      </c>
      <c r="J239" s="2" t="s">
        <v>181</v>
      </c>
      <c r="K239" s="2" t="s">
        <v>17</v>
      </c>
      <c r="L239" s="3">
        <v>46098</v>
      </c>
    </row>
    <row r="240" spans="1:12">
      <c r="A240" s="2" t="s">
        <v>504</v>
      </c>
      <c r="B240" s="3">
        <v>46078</v>
      </c>
      <c r="C240" s="2" t="s">
        <v>280</v>
      </c>
      <c r="D240" s="2" t="s">
        <v>71</v>
      </c>
      <c r="E240" s="2" t="s">
        <v>30</v>
      </c>
      <c r="F240" s="2" t="s">
        <v>55</v>
      </c>
      <c r="G240" s="4">
        <v>14000</v>
      </c>
      <c r="H240" s="5">
        <v>4.9399999999999999E-2</v>
      </c>
      <c r="I240" s="2">
        <v>48</v>
      </c>
      <c r="J240" s="2" t="s">
        <v>101</v>
      </c>
      <c r="K240" s="2" t="s">
        <v>45</v>
      </c>
      <c r="L240" s="3">
        <v>46081</v>
      </c>
    </row>
    <row r="241" spans="1:12">
      <c r="A241" s="2" t="s">
        <v>505</v>
      </c>
      <c r="B241" s="3">
        <v>46078</v>
      </c>
      <c r="C241" s="2" t="s">
        <v>322</v>
      </c>
      <c r="D241" s="2" t="s">
        <v>71</v>
      </c>
      <c r="E241" s="2" t="s">
        <v>30</v>
      </c>
      <c r="F241" s="2" t="s">
        <v>3</v>
      </c>
      <c r="G241" s="4">
        <v>16400</v>
      </c>
      <c r="H241" s="5">
        <v>4.24E-2</v>
      </c>
      <c r="I241" s="2">
        <v>60</v>
      </c>
      <c r="J241" s="2" t="s">
        <v>94</v>
      </c>
      <c r="K241" s="2" t="s">
        <v>17</v>
      </c>
      <c r="L241" s="3">
        <v>46080</v>
      </c>
    </row>
    <row r="242" spans="1:12">
      <c r="A242" s="2" t="s">
        <v>506</v>
      </c>
      <c r="B242" s="3">
        <v>46078</v>
      </c>
      <c r="C242" s="2" t="s">
        <v>507</v>
      </c>
      <c r="D242" s="2" t="s">
        <v>71</v>
      </c>
      <c r="E242" s="2" t="s">
        <v>30</v>
      </c>
      <c r="F242" s="2" t="s">
        <v>55</v>
      </c>
      <c r="G242" s="4">
        <v>11900</v>
      </c>
      <c r="H242" s="5">
        <v>4.3999999999999997E-2</v>
      </c>
      <c r="I242" s="2">
        <v>48</v>
      </c>
      <c r="J242" s="2" t="s">
        <v>101</v>
      </c>
      <c r="K242" s="2" t="s">
        <v>17</v>
      </c>
      <c r="L242" s="3">
        <v>46080</v>
      </c>
    </row>
    <row r="243" spans="1:12">
      <c r="A243" s="2" t="s">
        <v>508</v>
      </c>
      <c r="B243" s="3">
        <v>46079</v>
      </c>
      <c r="C243" s="2" t="s">
        <v>509</v>
      </c>
      <c r="D243" s="2" t="s">
        <v>20</v>
      </c>
      <c r="E243" s="2" t="s">
        <v>30</v>
      </c>
      <c r="F243" s="2" t="s">
        <v>3</v>
      </c>
      <c r="G243" s="4">
        <v>12200</v>
      </c>
      <c r="H243" s="5">
        <v>4.82E-2</v>
      </c>
      <c r="I243" s="2">
        <v>48</v>
      </c>
      <c r="J243" s="2" t="s">
        <v>22</v>
      </c>
      <c r="K243" s="2" t="s">
        <v>17</v>
      </c>
      <c r="L243" s="3">
        <v>46084</v>
      </c>
    </row>
    <row r="244" spans="1:12">
      <c r="A244" s="2" t="s">
        <v>510</v>
      </c>
      <c r="B244" s="3">
        <v>46079</v>
      </c>
      <c r="C244" s="2" t="s">
        <v>511</v>
      </c>
      <c r="D244" s="2" t="s">
        <v>29</v>
      </c>
      <c r="E244" s="2" t="s">
        <v>21</v>
      </c>
      <c r="F244" s="2" t="s">
        <v>31</v>
      </c>
      <c r="G244" s="4">
        <v>153900</v>
      </c>
      <c r="H244" s="5">
        <v>4.1000000000000002E-2</v>
      </c>
      <c r="I244" s="2">
        <v>180</v>
      </c>
      <c r="J244" s="2" t="s">
        <v>61</v>
      </c>
      <c r="K244" s="2" t="s">
        <v>17</v>
      </c>
      <c r="L244" s="3">
        <v>46095</v>
      </c>
    </row>
    <row r="245" spans="1:12">
      <c r="A245" s="2" t="s">
        <v>512</v>
      </c>
      <c r="B245" s="3">
        <v>46080</v>
      </c>
      <c r="C245" s="2" t="s">
        <v>513</v>
      </c>
      <c r="D245" s="2" t="s">
        <v>20</v>
      </c>
      <c r="E245" s="2" t="s">
        <v>30</v>
      </c>
      <c r="F245" s="2" t="s">
        <v>3</v>
      </c>
      <c r="G245" s="4">
        <v>10600</v>
      </c>
      <c r="H245" s="5">
        <v>4.6699999999999998E-2</v>
      </c>
      <c r="I245" s="2">
        <v>60</v>
      </c>
      <c r="J245" s="2" t="s">
        <v>37</v>
      </c>
      <c r="K245" s="2" t="s">
        <v>17</v>
      </c>
      <c r="L245" s="3">
        <v>46083</v>
      </c>
    </row>
    <row r="246" spans="1:12">
      <c r="A246" s="2" t="s">
        <v>514</v>
      </c>
      <c r="B246" s="3">
        <v>46080</v>
      </c>
      <c r="C246" s="2" t="s">
        <v>515</v>
      </c>
      <c r="D246" s="2" t="s">
        <v>25</v>
      </c>
      <c r="E246" s="2" t="s">
        <v>43</v>
      </c>
      <c r="F246" s="2" t="s">
        <v>3</v>
      </c>
      <c r="G246" s="4">
        <v>90100</v>
      </c>
      <c r="H246" s="5">
        <v>6.7199999999999996E-2</v>
      </c>
      <c r="I246" s="2">
        <v>36</v>
      </c>
      <c r="J246" s="2" t="s">
        <v>181</v>
      </c>
      <c r="K246" s="2" t="s">
        <v>45</v>
      </c>
      <c r="L246" s="3">
        <v>46098</v>
      </c>
    </row>
    <row r="247" spans="1:12">
      <c r="A247" s="2" t="s">
        <v>516</v>
      </c>
      <c r="B247" s="3">
        <v>46080</v>
      </c>
      <c r="C247" s="2" t="s">
        <v>517</v>
      </c>
      <c r="D247" s="2" t="s">
        <v>14</v>
      </c>
      <c r="E247" s="2" t="s">
        <v>43</v>
      </c>
      <c r="F247" s="2" t="s">
        <v>3</v>
      </c>
      <c r="G247" s="4">
        <v>43400</v>
      </c>
      <c r="H247" s="5">
        <v>6.6600000000000006E-2</v>
      </c>
      <c r="I247" s="2">
        <v>84</v>
      </c>
      <c r="J247" s="2" t="s">
        <v>16</v>
      </c>
      <c r="K247" s="2" t="s">
        <v>45</v>
      </c>
      <c r="L247" s="3">
        <v>46101</v>
      </c>
    </row>
    <row r="248" spans="1:12">
      <c r="A248" s="2" t="s">
        <v>518</v>
      </c>
      <c r="B248" s="3">
        <v>46081</v>
      </c>
      <c r="C248" s="2" t="s">
        <v>519</v>
      </c>
      <c r="D248" s="2" t="s">
        <v>25</v>
      </c>
      <c r="E248" s="2" t="s">
        <v>15</v>
      </c>
      <c r="F248" s="2" t="s">
        <v>3</v>
      </c>
      <c r="G248" s="4">
        <v>8300</v>
      </c>
      <c r="H248" s="5">
        <v>6.7699999999999996E-2</v>
      </c>
      <c r="I248" s="2">
        <v>12</v>
      </c>
      <c r="J248" s="2" t="s">
        <v>66</v>
      </c>
      <c r="K248" s="2" t="s">
        <v>45</v>
      </c>
      <c r="L248" s="3">
        <v>46084</v>
      </c>
    </row>
    <row r="249" spans="1:12">
      <c r="A249" s="2" t="s">
        <v>520</v>
      </c>
      <c r="B249" s="3">
        <v>46081</v>
      </c>
      <c r="C249" s="2" t="s">
        <v>521</v>
      </c>
      <c r="D249" s="2" t="s">
        <v>25</v>
      </c>
      <c r="E249" s="2" t="s">
        <v>151</v>
      </c>
      <c r="F249" s="2" t="s">
        <v>3</v>
      </c>
      <c r="G249" s="4">
        <v>44900</v>
      </c>
      <c r="H249" s="5">
        <v>7.8E-2</v>
      </c>
      <c r="I249" s="2">
        <v>84</v>
      </c>
      <c r="J249" s="2" t="s">
        <v>181</v>
      </c>
      <c r="K249" s="2" t="s">
        <v>17</v>
      </c>
      <c r="L249" s="3">
        <v>46090</v>
      </c>
    </row>
    <row r="250" spans="1:12">
      <c r="A250" s="2" t="s">
        <v>522</v>
      </c>
      <c r="B250" s="3">
        <v>46081</v>
      </c>
      <c r="C250" s="2" t="s">
        <v>523</v>
      </c>
      <c r="D250" s="2" t="s">
        <v>14</v>
      </c>
      <c r="E250" s="2" t="s">
        <v>15</v>
      </c>
      <c r="F250" s="2" t="s">
        <v>31</v>
      </c>
      <c r="G250" s="2"/>
      <c r="H250" s="5">
        <v>6.0900000000000003E-2</v>
      </c>
      <c r="I250" s="2">
        <v>60</v>
      </c>
      <c r="J250" s="2" t="s">
        <v>48</v>
      </c>
      <c r="K250" s="2" t="s">
        <v>17</v>
      </c>
      <c r="L250" s="3">
        <v>46084</v>
      </c>
    </row>
    <row r="251" spans="1:12">
      <c r="A251" s="2" t="s">
        <v>524</v>
      </c>
      <c r="B251" s="3">
        <v>46081</v>
      </c>
      <c r="C251" s="2" t="s">
        <v>479</v>
      </c>
      <c r="D251" s="2" t="s">
        <v>25</v>
      </c>
      <c r="E251" s="2" t="s">
        <v>15</v>
      </c>
      <c r="F251" s="2" t="s">
        <v>3</v>
      </c>
      <c r="G251" s="4">
        <v>15000</v>
      </c>
      <c r="H251" s="5">
        <v>5.1499999999999997E-2</v>
      </c>
      <c r="I251" s="2">
        <v>60</v>
      </c>
      <c r="J251" s="2" t="s">
        <v>26</v>
      </c>
      <c r="K251" s="2" t="s">
        <v>17</v>
      </c>
      <c r="L251" s="3">
        <v>46084</v>
      </c>
    </row>
    <row r="252" spans="1:12">
      <c r="A252" s="2" t="s">
        <v>525</v>
      </c>
      <c r="B252" s="3">
        <v>46081</v>
      </c>
      <c r="C252" s="2" t="s">
        <v>526</v>
      </c>
      <c r="D252" s="2" t="s">
        <v>54</v>
      </c>
      <c r="E252" s="2" t="s">
        <v>43</v>
      </c>
      <c r="F252" s="2" t="s">
        <v>3</v>
      </c>
      <c r="G252" s="4">
        <v>52500</v>
      </c>
      <c r="H252" s="5">
        <v>6.5100000000000005E-2</v>
      </c>
      <c r="I252" s="2">
        <v>36</v>
      </c>
      <c r="J252" s="2" t="s">
        <v>186</v>
      </c>
      <c r="K252" s="2" t="s">
        <v>17</v>
      </c>
      <c r="L252" s="3">
        <v>46094</v>
      </c>
    </row>
    <row r="253" spans="1:12">
      <c r="A253" s="2" t="s">
        <v>527</v>
      </c>
      <c r="B253" s="3">
        <v>46081</v>
      </c>
      <c r="C253" s="2" t="s">
        <v>528</v>
      </c>
      <c r="D253" s="2" t="s">
        <v>20</v>
      </c>
      <c r="E253" s="2" t="s">
        <v>30</v>
      </c>
      <c r="F253" s="2" t="s">
        <v>3</v>
      </c>
      <c r="G253" s="4">
        <v>14900</v>
      </c>
      <c r="H253" s="5">
        <v>4.4600000000000001E-2</v>
      </c>
      <c r="I253" s="2">
        <v>48</v>
      </c>
      <c r="J253" s="2" t="s">
        <v>22</v>
      </c>
      <c r="K253" s="2" t="s">
        <v>17</v>
      </c>
      <c r="L253" s="3">
        <v>46086</v>
      </c>
    </row>
    <row r="254" spans="1:12">
      <c r="A254" s="2" t="s">
        <v>529</v>
      </c>
      <c r="B254" s="3">
        <v>46082</v>
      </c>
      <c r="C254" s="2" t="s">
        <v>530</v>
      </c>
      <c r="D254" s="2" t="s">
        <v>14</v>
      </c>
      <c r="E254" s="2" t="s">
        <v>15</v>
      </c>
      <c r="F254" s="2" t="s">
        <v>31</v>
      </c>
      <c r="G254" s="4">
        <v>4600</v>
      </c>
      <c r="H254" s="5">
        <v>6.7599999999999993E-2</v>
      </c>
      <c r="I254" s="2">
        <v>36</v>
      </c>
      <c r="J254" s="2" t="s">
        <v>48</v>
      </c>
      <c r="K254" s="2" t="s">
        <v>17</v>
      </c>
      <c r="L254" s="3">
        <v>46083</v>
      </c>
    </row>
    <row r="255" spans="1:12">
      <c r="A255" s="2" t="s">
        <v>531</v>
      </c>
      <c r="B255" s="3">
        <v>46082</v>
      </c>
      <c r="C255" s="2" t="s">
        <v>276</v>
      </c>
      <c r="D255" s="2" t="s">
        <v>71</v>
      </c>
      <c r="E255" s="2" t="s">
        <v>15</v>
      </c>
      <c r="F255" s="2" t="s">
        <v>3</v>
      </c>
      <c r="G255" s="4">
        <v>5400</v>
      </c>
      <c r="H255" s="5">
        <v>6.0999999999999999E-2</v>
      </c>
      <c r="I255" s="2">
        <v>24</v>
      </c>
      <c r="J255" s="2" t="s">
        <v>72</v>
      </c>
      <c r="K255" s="2" t="s">
        <v>17</v>
      </c>
      <c r="L255" s="3">
        <v>46087</v>
      </c>
    </row>
    <row r="256" spans="1:12">
      <c r="A256" s="2" t="s">
        <v>532</v>
      </c>
      <c r="B256" s="3">
        <v>46082</v>
      </c>
      <c r="C256" s="2" t="s">
        <v>533</v>
      </c>
      <c r="D256" s="2" t="s">
        <v>14</v>
      </c>
      <c r="E256" s="2" t="s">
        <v>15</v>
      </c>
      <c r="F256" s="2" t="s">
        <v>332</v>
      </c>
      <c r="G256" s="4">
        <v>11200</v>
      </c>
      <c r="H256" s="5">
        <v>6.9000000000000006E-2</v>
      </c>
      <c r="I256" s="2">
        <v>60</v>
      </c>
      <c r="J256" s="2" t="s">
        <v>16</v>
      </c>
      <c r="K256" s="2" t="s">
        <v>17</v>
      </c>
      <c r="L256" s="3">
        <v>46088</v>
      </c>
    </row>
    <row r="257" spans="1:12">
      <c r="A257" s="2" t="s">
        <v>534</v>
      </c>
      <c r="B257" s="3">
        <v>46083</v>
      </c>
      <c r="C257" s="2" t="s">
        <v>74</v>
      </c>
      <c r="D257" s="2" t="s">
        <v>29</v>
      </c>
      <c r="E257" s="2" t="s">
        <v>160</v>
      </c>
      <c r="F257" s="2" t="s">
        <v>3</v>
      </c>
      <c r="G257" s="4">
        <v>12400</v>
      </c>
      <c r="H257" s="5">
        <v>3.7999999999999999E-2</v>
      </c>
      <c r="I257" s="2">
        <v>60</v>
      </c>
      <c r="J257" s="2" t="s">
        <v>123</v>
      </c>
      <c r="K257" s="2" t="s">
        <v>17</v>
      </c>
      <c r="L257" s="3">
        <v>46085</v>
      </c>
    </row>
    <row r="258" spans="1:12">
      <c r="A258" s="2" t="s">
        <v>535</v>
      </c>
      <c r="B258" s="3">
        <v>46083</v>
      </c>
      <c r="C258" s="2" t="s">
        <v>232</v>
      </c>
      <c r="D258" s="2" t="s">
        <v>29</v>
      </c>
      <c r="E258" s="2" t="s">
        <v>15</v>
      </c>
      <c r="F258" s="2" t="s">
        <v>3</v>
      </c>
      <c r="G258" s="4">
        <v>24500</v>
      </c>
      <c r="H258" s="5">
        <v>6.7900000000000002E-2</v>
      </c>
      <c r="I258" s="2">
        <v>24</v>
      </c>
      <c r="J258" s="2" t="s">
        <v>123</v>
      </c>
      <c r="K258" s="2" t="s">
        <v>17</v>
      </c>
      <c r="L258" s="3">
        <v>46088</v>
      </c>
    </row>
    <row r="259" spans="1:12">
      <c r="A259" s="2" t="s">
        <v>536</v>
      </c>
      <c r="B259" s="3">
        <v>46083</v>
      </c>
      <c r="C259" s="2" t="s">
        <v>537</v>
      </c>
      <c r="D259" s="2" t="s">
        <v>29</v>
      </c>
      <c r="E259" s="2" t="s">
        <v>21</v>
      </c>
      <c r="F259" s="2" t="s">
        <v>31</v>
      </c>
      <c r="G259" s="4">
        <v>123300</v>
      </c>
      <c r="H259" s="5">
        <v>4.2900000000000001E-2</v>
      </c>
      <c r="I259" s="2">
        <v>120</v>
      </c>
      <c r="J259" s="2" t="s">
        <v>61</v>
      </c>
      <c r="K259" s="2" t="s">
        <v>17</v>
      </c>
      <c r="L259" s="3">
        <v>46096</v>
      </c>
    </row>
    <row r="260" spans="1:12">
      <c r="A260" s="2" t="s">
        <v>538</v>
      </c>
      <c r="B260" s="3">
        <v>46083</v>
      </c>
      <c r="C260" s="2" t="s">
        <v>230</v>
      </c>
      <c r="D260" s="2" t="s">
        <v>25</v>
      </c>
      <c r="E260" s="2" t="s">
        <v>15</v>
      </c>
      <c r="F260" s="2" t="s">
        <v>31</v>
      </c>
      <c r="G260" s="4">
        <v>11300</v>
      </c>
      <c r="H260" s="5">
        <v>6.2100000000000002E-2</v>
      </c>
      <c r="I260" s="2">
        <v>36</v>
      </c>
      <c r="J260" s="2" t="s">
        <v>66</v>
      </c>
      <c r="K260" s="2" t="s">
        <v>45</v>
      </c>
      <c r="L260" s="3">
        <v>46086</v>
      </c>
    </row>
    <row r="261" spans="1:12">
      <c r="A261" s="2" t="s">
        <v>539</v>
      </c>
      <c r="B261" s="3">
        <v>46083</v>
      </c>
      <c r="C261" s="2" t="s">
        <v>390</v>
      </c>
      <c r="D261" s="2" t="s">
        <v>20</v>
      </c>
      <c r="E261" s="2" t="s">
        <v>43</v>
      </c>
      <c r="F261" s="2" t="s">
        <v>55</v>
      </c>
      <c r="G261" s="4">
        <v>139000</v>
      </c>
      <c r="H261" s="5">
        <v>7.8700000000000006E-2</v>
      </c>
      <c r="I261" s="2">
        <v>24</v>
      </c>
      <c r="J261" s="2" t="s">
        <v>22</v>
      </c>
      <c r="K261" s="2" t="s">
        <v>45</v>
      </c>
      <c r="L261" s="3">
        <v>46091</v>
      </c>
    </row>
    <row r="262" spans="1:12">
      <c r="A262" s="2" t="s">
        <v>540</v>
      </c>
      <c r="B262" s="3">
        <v>46084</v>
      </c>
      <c r="C262" s="2" t="s">
        <v>541</v>
      </c>
      <c r="D262" s="2" t="s">
        <v>14</v>
      </c>
      <c r="E262" s="2" t="s">
        <v>30</v>
      </c>
      <c r="F262" s="2" t="s">
        <v>3</v>
      </c>
      <c r="G262" s="4">
        <v>6900</v>
      </c>
      <c r="H262" s="5">
        <v>4.5499999999999999E-2</v>
      </c>
      <c r="I262" s="2">
        <v>36</v>
      </c>
      <c r="J262" s="2" t="s">
        <v>48</v>
      </c>
      <c r="K262" s="2" t="s">
        <v>17</v>
      </c>
      <c r="L262" s="3">
        <v>46087</v>
      </c>
    </row>
    <row r="263" spans="1:12">
      <c r="A263" s="2" t="s">
        <v>542</v>
      </c>
      <c r="B263" s="3">
        <v>46084</v>
      </c>
      <c r="C263" s="2" t="s">
        <v>543</v>
      </c>
      <c r="D263" s="2" t="s">
        <v>14</v>
      </c>
      <c r="E263" s="2" t="s">
        <v>30</v>
      </c>
      <c r="F263" s="2" t="s">
        <v>3</v>
      </c>
      <c r="G263" s="4">
        <v>7300</v>
      </c>
      <c r="H263" s="5">
        <v>4.7699999999999999E-2</v>
      </c>
      <c r="I263" s="2">
        <v>48</v>
      </c>
      <c r="J263" s="2" t="s">
        <v>48</v>
      </c>
      <c r="K263" s="2" t="s">
        <v>17</v>
      </c>
      <c r="L263" s="3">
        <v>46087</v>
      </c>
    </row>
    <row r="264" spans="1:12">
      <c r="A264" s="2" t="s">
        <v>544</v>
      </c>
      <c r="B264" s="3">
        <v>46084</v>
      </c>
      <c r="C264" s="2" t="s">
        <v>545</v>
      </c>
      <c r="D264" s="2" t="s">
        <v>25</v>
      </c>
      <c r="E264" s="2" t="s">
        <v>30</v>
      </c>
      <c r="F264" s="2" t="s">
        <v>3</v>
      </c>
      <c r="G264" s="2" t="s">
        <v>546</v>
      </c>
      <c r="H264" s="5">
        <v>3.8600000000000002E-2</v>
      </c>
      <c r="I264" s="2">
        <v>60</v>
      </c>
      <c r="J264" s="2" t="s">
        <v>26</v>
      </c>
      <c r="K264" s="2" t="s">
        <v>17</v>
      </c>
      <c r="L264" s="3">
        <v>46087</v>
      </c>
    </row>
    <row r="265" spans="1:12">
      <c r="A265" s="2" t="s">
        <v>547</v>
      </c>
      <c r="B265" s="3">
        <v>46085</v>
      </c>
      <c r="C265" s="2" t="s">
        <v>443</v>
      </c>
      <c r="D265" s="2" t="s">
        <v>14</v>
      </c>
      <c r="E265" s="2" t="s">
        <v>15</v>
      </c>
      <c r="F265" s="2" t="s">
        <v>31</v>
      </c>
      <c r="G265" s="4">
        <v>20100</v>
      </c>
      <c r="H265" s="5">
        <v>5.4600000000000003E-2</v>
      </c>
      <c r="I265" s="2">
        <v>48</v>
      </c>
      <c r="J265" s="2" t="s">
        <v>48</v>
      </c>
      <c r="K265" s="2" t="s">
        <v>17</v>
      </c>
      <c r="L265" s="3">
        <v>46086</v>
      </c>
    </row>
    <row r="266" spans="1:12">
      <c r="A266" s="2" t="s">
        <v>548</v>
      </c>
      <c r="B266" s="3">
        <v>46085</v>
      </c>
      <c r="C266" s="2" t="s">
        <v>549</v>
      </c>
      <c r="D266" s="2" t="s">
        <v>29</v>
      </c>
      <c r="E266" s="2" t="s">
        <v>30</v>
      </c>
      <c r="F266" s="2" t="s">
        <v>3</v>
      </c>
      <c r="G266" s="4">
        <v>12000</v>
      </c>
      <c r="H266" s="5">
        <v>3.7400000000000003E-2</v>
      </c>
      <c r="I266" s="2">
        <v>36</v>
      </c>
      <c r="J266" s="2" t="s">
        <v>32</v>
      </c>
      <c r="K266" s="2" t="s">
        <v>17</v>
      </c>
      <c r="L266" s="3">
        <v>46086</v>
      </c>
    </row>
    <row r="267" spans="1:12">
      <c r="A267" s="2" t="s">
        <v>550</v>
      </c>
      <c r="B267" s="3">
        <v>46085</v>
      </c>
      <c r="C267" s="2" t="s">
        <v>216</v>
      </c>
      <c r="D267" s="2" t="s">
        <v>29</v>
      </c>
      <c r="E267" s="2" t="s">
        <v>30</v>
      </c>
      <c r="F267" s="2" t="s">
        <v>55</v>
      </c>
      <c r="G267" s="4">
        <v>13600</v>
      </c>
      <c r="H267" s="5">
        <v>4.82E-2</v>
      </c>
      <c r="I267" s="2">
        <v>60</v>
      </c>
      <c r="J267" s="2" t="s">
        <v>32</v>
      </c>
      <c r="K267" s="2" t="s">
        <v>17</v>
      </c>
      <c r="L267" s="3">
        <v>46089</v>
      </c>
    </row>
    <row r="268" spans="1:12">
      <c r="A268" s="2" t="s">
        <v>551</v>
      </c>
      <c r="B268" s="3">
        <v>46085</v>
      </c>
      <c r="C268" s="2" t="s">
        <v>552</v>
      </c>
      <c r="D268" s="2" t="s">
        <v>29</v>
      </c>
      <c r="E268" s="2" t="s">
        <v>43</v>
      </c>
      <c r="F268" s="2" t="s">
        <v>3</v>
      </c>
      <c r="G268" s="4">
        <v>147800</v>
      </c>
      <c r="H268" s="5">
        <v>5.7500000000000002E-2</v>
      </c>
      <c r="I268" s="2">
        <v>24</v>
      </c>
      <c r="J268" s="2" t="s">
        <v>32</v>
      </c>
      <c r="K268" s="2" t="s">
        <v>45</v>
      </c>
      <c r="L268" s="3">
        <v>46095</v>
      </c>
    </row>
    <row r="269" spans="1:12">
      <c r="A269" s="2" t="s">
        <v>553</v>
      </c>
      <c r="B269" s="3">
        <v>46086</v>
      </c>
      <c r="C269" s="2" t="s">
        <v>554</v>
      </c>
      <c r="D269" s="2" t="s">
        <v>25</v>
      </c>
      <c r="E269" s="2" t="s">
        <v>30</v>
      </c>
      <c r="F269" s="2" t="s">
        <v>3</v>
      </c>
      <c r="G269" s="4">
        <v>13300</v>
      </c>
      <c r="H269" s="5">
        <v>3.7699999999999997E-2</v>
      </c>
      <c r="I269" s="2">
        <v>48</v>
      </c>
      <c r="J269" s="2" t="s">
        <v>26</v>
      </c>
      <c r="K269" s="2" t="s">
        <v>17</v>
      </c>
      <c r="L269" s="3">
        <v>46088</v>
      </c>
    </row>
    <row r="270" spans="1:12">
      <c r="A270" s="2" t="s">
        <v>555</v>
      </c>
      <c r="B270" s="3">
        <v>46086</v>
      </c>
      <c r="C270" s="2" t="s">
        <v>65</v>
      </c>
      <c r="D270" s="2" t="s">
        <v>29</v>
      </c>
      <c r="E270" s="2" t="s">
        <v>21</v>
      </c>
      <c r="F270" s="2" t="s">
        <v>31</v>
      </c>
      <c r="G270" s="4">
        <v>73700</v>
      </c>
      <c r="H270" s="5">
        <v>3.6400000000000002E-2</v>
      </c>
      <c r="I270" s="2">
        <v>300</v>
      </c>
      <c r="J270" s="2" t="s">
        <v>123</v>
      </c>
      <c r="K270" s="2" t="s">
        <v>17</v>
      </c>
      <c r="L270" s="3">
        <v>46113</v>
      </c>
    </row>
    <row r="271" spans="1:12">
      <c r="A271" s="2" t="s">
        <v>556</v>
      </c>
      <c r="B271" s="3">
        <v>46087</v>
      </c>
      <c r="C271" s="2" t="s">
        <v>557</v>
      </c>
      <c r="D271" s="2" t="s">
        <v>29</v>
      </c>
      <c r="E271" s="2" t="s">
        <v>15</v>
      </c>
      <c r="F271" s="2" t="s">
        <v>3</v>
      </c>
      <c r="G271" s="4">
        <v>22900</v>
      </c>
      <c r="H271" s="5">
        <v>5.4699999999999999E-2</v>
      </c>
      <c r="I271" s="2">
        <v>48</v>
      </c>
      <c r="J271" s="2" t="s">
        <v>61</v>
      </c>
      <c r="K271" s="2" t="s">
        <v>17</v>
      </c>
      <c r="L271" s="3">
        <v>46089</v>
      </c>
    </row>
    <row r="272" spans="1:12">
      <c r="A272" s="2" t="s">
        <v>558</v>
      </c>
      <c r="B272" s="3">
        <v>46087</v>
      </c>
      <c r="C272" s="2" t="s">
        <v>328</v>
      </c>
      <c r="D272" s="2" t="s">
        <v>29</v>
      </c>
      <c r="E272" s="2" t="s">
        <v>15</v>
      </c>
      <c r="F272" s="2" t="s">
        <v>31</v>
      </c>
      <c r="G272" s="4">
        <v>4000</v>
      </c>
      <c r="H272" s="5">
        <v>5.8299999999999998E-2</v>
      </c>
      <c r="I272" s="2">
        <v>60</v>
      </c>
      <c r="J272" s="2" t="s">
        <v>123</v>
      </c>
      <c r="K272" s="2" t="s">
        <v>17</v>
      </c>
      <c r="L272" s="3">
        <v>46091</v>
      </c>
    </row>
    <row r="273" spans="1:12">
      <c r="A273" s="2" t="s">
        <v>559</v>
      </c>
      <c r="B273" s="3">
        <v>46087</v>
      </c>
      <c r="C273" s="2" t="s">
        <v>560</v>
      </c>
      <c r="D273" s="2" t="s">
        <v>20</v>
      </c>
      <c r="E273" s="2" t="s">
        <v>30</v>
      </c>
      <c r="F273" s="2" t="s">
        <v>31</v>
      </c>
      <c r="G273" s="4">
        <v>10400</v>
      </c>
      <c r="H273" s="5">
        <v>3.6400000000000002E-2</v>
      </c>
      <c r="I273" s="2">
        <v>36</v>
      </c>
      <c r="J273" s="2" t="s">
        <v>37</v>
      </c>
      <c r="K273" s="2" t="s">
        <v>17</v>
      </c>
      <c r="L273" s="3">
        <v>46090</v>
      </c>
    </row>
    <row r="274" spans="1:12">
      <c r="A274" s="2" t="s">
        <v>561</v>
      </c>
      <c r="B274" s="3">
        <v>46088</v>
      </c>
      <c r="C274" s="2" t="s">
        <v>562</v>
      </c>
      <c r="D274" s="2" t="s">
        <v>20</v>
      </c>
      <c r="E274" s="2" t="s">
        <v>15</v>
      </c>
      <c r="F274" s="2" t="s">
        <v>31</v>
      </c>
      <c r="G274" s="4">
        <v>7300</v>
      </c>
      <c r="H274" s="5">
        <v>6.2700000000000006E-2</v>
      </c>
      <c r="I274" s="2">
        <v>60</v>
      </c>
      <c r="J274" s="2" t="s">
        <v>44</v>
      </c>
      <c r="K274" s="2" t="s">
        <v>17</v>
      </c>
      <c r="L274" s="3">
        <v>46088</v>
      </c>
    </row>
    <row r="275" spans="1:12">
      <c r="A275" s="2" t="s">
        <v>563</v>
      </c>
      <c r="B275" s="3">
        <v>46088</v>
      </c>
      <c r="C275" s="2" t="s">
        <v>290</v>
      </c>
      <c r="D275" s="2" t="s">
        <v>54</v>
      </c>
      <c r="E275" s="2" t="s">
        <v>15</v>
      </c>
      <c r="F275" s="2" t="s">
        <v>147</v>
      </c>
      <c r="G275" s="4">
        <v>13300</v>
      </c>
      <c r="H275" s="5">
        <v>6.6600000000000006E-2</v>
      </c>
      <c r="I275" s="2">
        <v>48</v>
      </c>
      <c r="J275" s="2" t="s">
        <v>186</v>
      </c>
      <c r="K275" s="2" t="s">
        <v>17</v>
      </c>
      <c r="L275" s="3">
        <v>46089</v>
      </c>
    </row>
    <row r="276" spans="1:12">
      <c r="A276" s="2" t="s">
        <v>564</v>
      </c>
      <c r="B276" s="3">
        <v>46088</v>
      </c>
      <c r="C276" s="2" t="s">
        <v>324</v>
      </c>
      <c r="D276" s="2" t="s">
        <v>54</v>
      </c>
      <c r="E276" s="2" t="s">
        <v>15</v>
      </c>
      <c r="F276" s="2" t="s">
        <v>55</v>
      </c>
      <c r="G276" s="4">
        <v>25000</v>
      </c>
      <c r="H276" s="5">
        <v>5.6500000000000002E-2</v>
      </c>
      <c r="I276" s="2">
        <v>48</v>
      </c>
      <c r="J276" s="2" t="s">
        <v>148</v>
      </c>
      <c r="K276" s="2" t="s">
        <v>17</v>
      </c>
      <c r="L276" s="3">
        <v>46093</v>
      </c>
    </row>
    <row r="277" spans="1:12">
      <c r="A277" s="2" t="s">
        <v>565</v>
      </c>
      <c r="B277" s="3">
        <v>46088</v>
      </c>
      <c r="C277" s="2" t="s">
        <v>566</v>
      </c>
      <c r="D277" s="2" t="s">
        <v>14</v>
      </c>
      <c r="E277" s="2" t="s">
        <v>21</v>
      </c>
      <c r="F277" s="2" t="s">
        <v>3</v>
      </c>
      <c r="G277" s="4">
        <v>216800</v>
      </c>
      <c r="H277" s="5">
        <v>4.41E-2</v>
      </c>
      <c r="I277" s="2">
        <v>300</v>
      </c>
      <c r="J277" s="2" t="s">
        <v>48</v>
      </c>
      <c r="K277" s="2" t="s">
        <v>17</v>
      </c>
      <c r="L277" s="3">
        <v>46110</v>
      </c>
    </row>
    <row r="278" spans="1:12">
      <c r="A278" s="2" t="s">
        <v>567</v>
      </c>
      <c r="B278" s="3">
        <v>46088</v>
      </c>
      <c r="C278" s="2" t="s">
        <v>290</v>
      </c>
      <c r="D278" s="2" t="s">
        <v>20</v>
      </c>
      <c r="E278" s="2" t="s">
        <v>15</v>
      </c>
      <c r="F278" s="2" t="s">
        <v>55</v>
      </c>
      <c r="G278" s="4">
        <v>15500</v>
      </c>
      <c r="H278" s="5">
        <v>6.7900000000000002E-2</v>
      </c>
      <c r="I278" s="2">
        <v>60</v>
      </c>
      <c r="J278" s="2" t="s">
        <v>22</v>
      </c>
      <c r="K278" s="2" t="s">
        <v>17</v>
      </c>
      <c r="L278" s="3">
        <v>46091</v>
      </c>
    </row>
    <row r="279" spans="1:12">
      <c r="A279" s="2" t="s">
        <v>568</v>
      </c>
      <c r="B279" s="3">
        <v>46088</v>
      </c>
      <c r="C279" s="2" t="s">
        <v>569</v>
      </c>
      <c r="D279" s="2" t="s">
        <v>14</v>
      </c>
      <c r="E279" s="2" t="s">
        <v>21</v>
      </c>
      <c r="F279" s="2" t="s">
        <v>329</v>
      </c>
      <c r="G279" s="4">
        <v>62300</v>
      </c>
      <c r="H279" s="5">
        <v>4.2700000000000002E-2</v>
      </c>
      <c r="I279" s="2">
        <v>120</v>
      </c>
      <c r="J279" s="2" t="s">
        <v>16</v>
      </c>
      <c r="K279" s="2" t="s">
        <v>17</v>
      </c>
      <c r="L279" s="3">
        <v>46111</v>
      </c>
    </row>
    <row r="280" spans="1:12">
      <c r="A280" s="2" t="s">
        <v>570</v>
      </c>
      <c r="B280" s="3">
        <v>46089</v>
      </c>
      <c r="C280" s="2" t="s">
        <v>571</v>
      </c>
      <c r="D280" s="2" t="s">
        <v>20</v>
      </c>
      <c r="E280" s="2" t="s">
        <v>15</v>
      </c>
      <c r="F280" s="2" t="s">
        <v>3</v>
      </c>
      <c r="G280" s="4">
        <v>24400</v>
      </c>
      <c r="H280" s="5">
        <v>5.8400000000000001E-2</v>
      </c>
      <c r="I280" s="2">
        <v>24</v>
      </c>
      <c r="J280" s="2" t="s">
        <v>44</v>
      </c>
      <c r="K280" s="2" t="s">
        <v>17</v>
      </c>
      <c r="L280" s="3">
        <v>46093</v>
      </c>
    </row>
    <row r="281" spans="1:12">
      <c r="A281" s="2" t="s">
        <v>572</v>
      </c>
      <c r="B281" s="3">
        <v>46089</v>
      </c>
      <c r="C281" s="2" t="s">
        <v>200</v>
      </c>
      <c r="D281" s="2" t="s">
        <v>29</v>
      </c>
      <c r="E281" s="2" t="s">
        <v>43</v>
      </c>
      <c r="F281" s="2" t="s">
        <v>3</v>
      </c>
      <c r="G281" s="4">
        <v>106100</v>
      </c>
      <c r="H281" s="5">
        <v>6.7299999999999999E-2</v>
      </c>
      <c r="I281" s="2">
        <v>60</v>
      </c>
      <c r="J281" s="2" t="s">
        <v>123</v>
      </c>
      <c r="K281" s="2" t="s">
        <v>17</v>
      </c>
      <c r="L281" s="3">
        <v>46101</v>
      </c>
    </row>
    <row r="282" spans="1:12">
      <c r="A282" s="2" t="s">
        <v>573</v>
      </c>
      <c r="B282" s="3">
        <v>46089</v>
      </c>
      <c r="C282" s="2" t="s">
        <v>500</v>
      </c>
      <c r="D282" s="2" t="s">
        <v>71</v>
      </c>
      <c r="E282" s="2" t="s">
        <v>15</v>
      </c>
      <c r="F282" s="2" t="s">
        <v>3</v>
      </c>
      <c r="G282" s="4">
        <v>25000</v>
      </c>
      <c r="H282" s="5">
        <v>5.5300000000000002E-2</v>
      </c>
      <c r="I282" s="2">
        <v>48</v>
      </c>
      <c r="J282" s="2" t="s">
        <v>94</v>
      </c>
      <c r="K282" s="2" t="s">
        <v>17</v>
      </c>
      <c r="L282" s="3">
        <v>46090</v>
      </c>
    </row>
    <row r="283" spans="1:12">
      <c r="A283" s="2" t="s">
        <v>574</v>
      </c>
      <c r="B283" s="3">
        <v>46089</v>
      </c>
      <c r="C283" s="2" t="s">
        <v>575</v>
      </c>
      <c r="D283" s="2" t="s">
        <v>14</v>
      </c>
      <c r="E283" s="2" t="s">
        <v>15</v>
      </c>
      <c r="F283" s="2" t="s">
        <v>55</v>
      </c>
      <c r="G283" s="4">
        <v>2500</v>
      </c>
      <c r="H283" s="5">
        <v>5.4600000000000003E-2</v>
      </c>
      <c r="I283" s="2">
        <v>48</v>
      </c>
      <c r="J283" s="2" t="s">
        <v>48</v>
      </c>
      <c r="K283" s="2" t="s">
        <v>17</v>
      </c>
      <c r="L283" s="3">
        <v>46096</v>
      </c>
    </row>
    <row r="284" spans="1:12">
      <c r="A284" s="2" t="s">
        <v>576</v>
      </c>
      <c r="B284" s="3">
        <v>46089</v>
      </c>
      <c r="C284" s="2" t="s">
        <v>577</v>
      </c>
      <c r="D284" s="2" t="s">
        <v>25</v>
      </c>
      <c r="E284" s="2" t="s">
        <v>30</v>
      </c>
      <c r="F284" s="2" t="s">
        <v>3</v>
      </c>
      <c r="G284" s="4">
        <v>6100</v>
      </c>
      <c r="H284" s="5">
        <v>3.7600000000000001E-2</v>
      </c>
      <c r="I284" s="2">
        <v>48</v>
      </c>
      <c r="J284" s="2" t="s">
        <v>26</v>
      </c>
      <c r="K284" s="2" t="s">
        <v>45</v>
      </c>
      <c r="L284" s="3">
        <v>46090</v>
      </c>
    </row>
    <row r="285" spans="1:12">
      <c r="A285" s="2" t="s">
        <v>578</v>
      </c>
      <c r="B285" s="3">
        <v>46089</v>
      </c>
      <c r="C285" s="2" t="s">
        <v>579</v>
      </c>
      <c r="D285" s="2" t="s">
        <v>14</v>
      </c>
      <c r="E285" s="2" t="s">
        <v>30</v>
      </c>
      <c r="F285" s="2" t="s">
        <v>3</v>
      </c>
      <c r="G285" s="4">
        <v>6700</v>
      </c>
      <c r="H285" s="5">
        <v>4.3700000000000003E-2</v>
      </c>
      <c r="I285" s="2">
        <v>60</v>
      </c>
      <c r="J285" s="2" t="s">
        <v>16</v>
      </c>
      <c r="K285" s="2" t="s">
        <v>17</v>
      </c>
      <c r="L285" s="3">
        <v>46090</v>
      </c>
    </row>
    <row r="286" spans="1:12">
      <c r="A286" s="2" t="s">
        <v>578</v>
      </c>
      <c r="B286" s="3">
        <v>46089</v>
      </c>
      <c r="C286" s="2" t="s">
        <v>579</v>
      </c>
      <c r="D286" s="2" t="s">
        <v>14</v>
      </c>
      <c r="E286" s="2" t="s">
        <v>30</v>
      </c>
      <c r="F286" s="2" t="s">
        <v>3</v>
      </c>
      <c r="G286" s="4">
        <v>6700</v>
      </c>
      <c r="H286" s="5">
        <v>4.3700000000000003E-2</v>
      </c>
      <c r="I286" s="2">
        <v>60</v>
      </c>
      <c r="J286" s="2" t="s">
        <v>16</v>
      </c>
      <c r="K286" s="2" t="s">
        <v>17</v>
      </c>
      <c r="L286" s="3">
        <v>46090</v>
      </c>
    </row>
    <row r="287" spans="1:12">
      <c r="A287" s="2" t="s">
        <v>580</v>
      </c>
      <c r="B287" s="3">
        <v>46089</v>
      </c>
      <c r="C287" s="2" t="s">
        <v>581</v>
      </c>
      <c r="D287" s="2" t="s">
        <v>54</v>
      </c>
      <c r="E287" s="2" t="s">
        <v>30</v>
      </c>
      <c r="F287" s="2" t="s">
        <v>3</v>
      </c>
      <c r="G287" s="4">
        <v>14200</v>
      </c>
      <c r="H287" s="5">
        <v>3.6799999999999999E-2</v>
      </c>
      <c r="I287" s="2">
        <v>36</v>
      </c>
      <c r="J287" s="2" t="s">
        <v>186</v>
      </c>
      <c r="K287" s="2" t="s">
        <v>45</v>
      </c>
      <c r="L287" s="3">
        <v>46090</v>
      </c>
    </row>
    <row r="288" spans="1:12">
      <c r="A288" s="2" t="s">
        <v>582</v>
      </c>
      <c r="B288" s="3">
        <v>46089</v>
      </c>
      <c r="C288" s="2" t="s">
        <v>583</v>
      </c>
      <c r="D288" s="2" t="s">
        <v>25</v>
      </c>
      <c r="E288" s="2" t="s">
        <v>15</v>
      </c>
      <c r="F288" s="2" t="s">
        <v>3</v>
      </c>
      <c r="G288" s="4">
        <v>25000</v>
      </c>
      <c r="H288" s="5">
        <v>6.7699999999999996E-2</v>
      </c>
      <c r="I288" s="2">
        <v>12</v>
      </c>
      <c r="J288" s="2" t="s">
        <v>26</v>
      </c>
      <c r="K288" s="2" t="s">
        <v>17</v>
      </c>
      <c r="L288" s="3">
        <v>46090</v>
      </c>
    </row>
    <row r="289" spans="1:12">
      <c r="A289" s="2" t="s">
        <v>584</v>
      </c>
      <c r="B289" s="3">
        <v>46090</v>
      </c>
      <c r="C289" s="2" t="s">
        <v>364</v>
      </c>
      <c r="D289" s="2" t="s">
        <v>14</v>
      </c>
      <c r="E289" s="2" t="s">
        <v>30</v>
      </c>
      <c r="F289" s="2" t="s">
        <v>31</v>
      </c>
      <c r="G289" s="4">
        <v>10100</v>
      </c>
      <c r="H289" s="5">
        <v>3.9899999999999998E-2</v>
      </c>
      <c r="I289" s="2">
        <v>60</v>
      </c>
      <c r="J289" s="2" t="s">
        <v>48</v>
      </c>
      <c r="K289" s="2" t="s">
        <v>17</v>
      </c>
      <c r="L289" s="3">
        <v>46093</v>
      </c>
    </row>
    <row r="290" spans="1:12">
      <c r="A290" s="2" t="s">
        <v>585</v>
      </c>
      <c r="B290" s="3">
        <v>46090</v>
      </c>
      <c r="C290" s="2" t="s">
        <v>60</v>
      </c>
      <c r="D290" s="2" t="s">
        <v>14</v>
      </c>
      <c r="E290" s="2" t="s">
        <v>43</v>
      </c>
      <c r="F290" s="2" t="s">
        <v>3</v>
      </c>
      <c r="G290" s="4">
        <v>137600</v>
      </c>
      <c r="H290" s="5">
        <v>6.6100000000000006E-2</v>
      </c>
      <c r="I290" s="2">
        <v>24</v>
      </c>
      <c r="J290" s="2" t="s">
        <v>16</v>
      </c>
      <c r="K290" s="2" t="s">
        <v>17</v>
      </c>
      <c r="L290" s="3">
        <v>46106</v>
      </c>
    </row>
    <row r="291" spans="1:12">
      <c r="A291" s="2" t="s">
        <v>586</v>
      </c>
      <c r="B291" s="3">
        <v>46090</v>
      </c>
      <c r="C291" s="2" t="s">
        <v>236</v>
      </c>
      <c r="D291" s="2" t="s">
        <v>14</v>
      </c>
      <c r="E291" s="2" t="s">
        <v>15</v>
      </c>
      <c r="F291" s="2" t="s">
        <v>31</v>
      </c>
      <c r="G291" s="4">
        <v>20400</v>
      </c>
      <c r="H291" s="5">
        <v>6.7400000000000002E-2</v>
      </c>
      <c r="I291" s="2">
        <v>36</v>
      </c>
      <c r="J291" s="2" t="s">
        <v>48</v>
      </c>
      <c r="K291" s="2" t="s">
        <v>17</v>
      </c>
      <c r="L291" s="3">
        <v>46094</v>
      </c>
    </row>
    <row r="292" spans="1:12">
      <c r="A292" s="2" t="s">
        <v>587</v>
      </c>
      <c r="B292" s="3">
        <v>46090</v>
      </c>
      <c r="C292" s="2" t="s">
        <v>588</v>
      </c>
      <c r="D292" s="2" t="s">
        <v>54</v>
      </c>
      <c r="E292" s="2" t="s">
        <v>43</v>
      </c>
      <c r="F292" s="2" t="s">
        <v>3</v>
      </c>
      <c r="G292" s="4">
        <v>224700</v>
      </c>
      <c r="H292" s="5">
        <v>7.8100000000000003E-2</v>
      </c>
      <c r="I292" s="2">
        <v>60</v>
      </c>
      <c r="J292" s="2" t="s">
        <v>56</v>
      </c>
      <c r="K292" s="2" t="s">
        <v>17</v>
      </c>
      <c r="L292" s="3">
        <v>46101</v>
      </c>
    </row>
    <row r="293" spans="1:12">
      <c r="A293" s="2" t="s">
        <v>589</v>
      </c>
      <c r="B293" s="3">
        <v>46090</v>
      </c>
      <c r="C293" s="2" t="s">
        <v>590</v>
      </c>
      <c r="D293" s="2" t="s">
        <v>20</v>
      </c>
      <c r="E293" s="2" t="s">
        <v>15</v>
      </c>
      <c r="F293" s="2" t="s">
        <v>3</v>
      </c>
      <c r="G293" s="4">
        <v>15300</v>
      </c>
      <c r="H293" s="5">
        <v>5.7500000000000002E-2</v>
      </c>
      <c r="I293" s="2">
        <v>24</v>
      </c>
      <c r="J293" s="2" t="s">
        <v>44</v>
      </c>
      <c r="K293" s="2" t="s">
        <v>45</v>
      </c>
      <c r="L293" s="3">
        <v>46094</v>
      </c>
    </row>
    <row r="294" spans="1:12">
      <c r="A294" s="2" t="s">
        <v>591</v>
      </c>
      <c r="B294" s="3">
        <v>46090</v>
      </c>
      <c r="C294" s="2" t="s">
        <v>592</v>
      </c>
      <c r="D294" s="2" t="s">
        <v>71</v>
      </c>
      <c r="E294" s="2" t="s">
        <v>15</v>
      </c>
      <c r="F294" s="2" t="s">
        <v>3</v>
      </c>
      <c r="G294" s="4">
        <v>20100</v>
      </c>
      <c r="H294" s="5">
        <v>6.1899999999999997E-2</v>
      </c>
      <c r="I294" s="2">
        <v>48</v>
      </c>
      <c r="J294" s="2" t="s">
        <v>72</v>
      </c>
      <c r="K294" s="2" t="s">
        <v>17</v>
      </c>
      <c r="L294" s="3">
        <v>46097</v>
      </c>
    </row>
    <row r="295" spans="1:12">
      <c r="A295" s="2" t="s">
        <v>593</v>
      </c>
      <c r="B295" s="3">
        <v>46091</v>
      </c>
      <c r="C295" s="2" t="s">
        <v>240</v>
      </c>
      <c r="D295" s="2" t="s">
        <v>54</v>
      </c>
      <c r="E295" s="2" t="s">
        <v>43</v>
      </c>
      <c r="F295" s="2" t="s">
        <v>3</v>
      </c>
      <c r="G295" s="4">
        <v>66300</v>
      </c>
      <c r="H295" s="5">
        <v>7.8100000000000003E-2</v>
      </c>
      <c r="I295" s="2">
        <v>24</v>
      </c>
      <c r="J295" s="2" t="s">
        <v>148</v>
      </c>
      <c r="K295" s="2" t="s">
        <v>17</v>
      </c>
      <c r="L295" s="3">
        <v>46100</v>
      </c>
    </row>
    <row r="296" spans="1:12">
      <c r="A296" s="2" t="s">
        <v>594</v>
      </c>
      <c r="B296" s="3">
        <v>46091</v>
      </c>
      <c r="C296" s="2" t="s">
        <v>579</v>
      </c>
      <c r="D296" s="2" t="s">
        <v>71</v>
      </c>
      <c r="E296" s="2" t="s">
        <v>15</v>
      </c>
      <c r="F296" s="2" t="s">
        <v>55</v>
      </c>
      <c r="G296" s="4">
        <v>5400</v>
      </c>
      <c r="H296" s="5">
        <v>6.6699999999999995E-2</v>
      </c>
      <c r="I296" s="2">
        <v>60</v>
      </c>
      <c r="J296" s="2" t="s">
        <v>94</v>
      </c>
      <c r="K296" s="2" t="s">
        <v>17</v>
      </c>
      <c r="L296" s="3">
        <v>46098</v>
      </c>
    </row>
    <row r="297" spans="1:12">
      <c r="A297" s="2" t="s">
        <v>595</v>
      </c>
      <c r="B297" s="3">
        <v>46091</v>
      </c>
      <c r="C297" s="2" t="s">
        <v>596</v>
      </c>
      <c r="D297" s="2" t="s">
        <v>71</v>
      </c>
      <c r="E297" s="2" t="s">
        <v>151</v>
      </c>
      <c r="F297" s="2" t="s">
        <v>3</v>
      </c>
      <c r="G297" s="4">
        <v>33300</v>
      </c>
      <c r="H297" s="5">
        <v>7.22E-2</v>
      </c>
      <c r="I297" s="2">
        <v>36</v>
      </c>
      <c r="J297" s="2" t="s">
        <v>72</v>
      </c>
      <c r="K297" s="2" t="s">
        <v>45</v>
      </c>
      <c r="L297" s="3">
        <v>46100</v>
      </c>
    </row>
    <row r="298" spans="1:12">
      <c r="A298" s="2" t="s">
        <v>597</v>
      </c>
      <c r="B298" s="3">
        <v>46091</v>
      </c>
      <c r="C298" s="2" t="s">
        <v>588</v>
      </c>
      <c r="D298" s="2" t="s">
        <v>25</v>
      </c>
      <c r="E298" s="2" t="s">
        <v>30</v>
      </c>
      <c r="F298" s="2" t="s">
        <v>3</v>
      </c>
      <c r="G298" s="4">
        <v>20000</v>
      </c>
      <c r="H298" s="5">
        <v>3.9800000000000002E-2</v>
      </c>
      <c r="I298" s="2">
        <v>36</v>
      </c>
      <c r="J298" s="2" t="s">
        <v>66</v>
      </c>
      <c r="K298" s="2" t="s">
        <v>17</v>
      </c>
      <c r="L298" s="3">
        <v>46094</v>
      </c>
    </row>
    <row r="299" spans="1:12">
      <c r="A299" s="2" t="s">
        <v>598</v>
      </c>
      <c r="B299" s="3">
        <v>46092</v>
      </c>
      <c r="C299" s="2" t="s">
        <v>599</v>
      </c>
      <c r="D299" s="2" t="s">
        <v>14</v>
      </c>
      <c r="E299" s="2" t="s">
        <v>43</v>
      </c>
      <c r="F299" s="2" t="s">
        <v>3</v>
      </c>
      <c r="G299" s="4">
        <v>185900</v>
      </c>
      <c r="H299" s="5">
        <v>7.6999999999999999E-2</v>
      </c>
      <c r="I299" s="2">
        <v>84</v>
      </c>
      <c r="J299" s="2" t="s">
        <v>16</v>
      </c>
      <c r="K299" s="2" t="s">
        <v>17</v>
      </c>
      <c r="L299" s="3">
        <v>46111</v>
      </c>
    </row>
    <row r="300" spans="1:12">
      <c r="A300" s="2" t="s">
        <v>600</v>
      </c>
      <c r="B300" s="3">
        <v>46092</v>
      </c>
      <c r="C300" s="2" t="s">
        <v>601</v>
      </c>
      <c r="D300" s="2" t="s">
        <v>14</v>
      </c>
      <c r="E300" s="2" t="s">
        <v>21</v>
      </c>
      <c r="F300" s="2" t="s">
        <v>3</v>
      </c>
      <c r="G300" s="4">
        <v>226400</v>
      </c>
      <c r="H300" s="5">
        <v>4.3299999999999998E-2</v>
      </c>
      <c r="I300" s="2">
        <v>180</v>
      </c>
      <c r="J300" s="2" t="s">
        <v>16</v>
      </c>
      <c r="K300" s="2" t="s">
        <v>17</v>
      </c>
      <c r="L300" s="3">
        <v>46118</v>
      </c>
    </row>
    <row r="301" spans="1:12">
      <c r="A301" s="2" t="s">
        <v>602</v>
      </c>
      <c r="B301" s="3">
        <v>46092</v>
      </c>
      <c r="C301" s="2" t="s">
        <v>603</v>
      </c>
      <c r="D301" s="2" t="s">
        <v>14</v>
      </c>
      <c r="E301" s="2" t="s">
        <v>43</v>
      </c>
      <c r="F301" s="2" t="s">
        <v>147</v>
      </c>
      <c r="G301" s="4">
        <v>38100</v>
      </c>
      <c r="H301" s="5">
        <v>7.3700000000000002E-2</v>
      </c>
      <c r="I301" s="2">
        <v>24</v>
      </c>
      <c r="J301" s="2" t="s">
        <v>48</v>
      </c>
      <c r="K301" s="2" t="s">
        <v>17</v>
      </c>
      <c r="L301" s="3">
        <v>46112</v>
      </c>
    </row>
    <row r="302" spans="1:12">
      <c r="A302" s="2" t="s">
        <v>604</v>
      </c>
      <c r="B302" s="3">
        <v>46092</v>
      </c>
      <c r="C302" s="2" t="s">
        <v>605</v>
      </c>
      <c r="D302" s="2" t="s">
        <v>14</v>
      </c>
      <c r="E302" s="2" t="s">
        <v>15</v>
      </c>
      <c r="F302" s="2" t="s">
        <v>3</v>
      </c>
      <c r="G302" s="4">
        <v>10600</v>
      </c>
      <c r="H302" s="5">
        <v>6.2799999999999995E-2</v>
      </c>
      <c r="I302" s="2">
        <v>60</v>
      </c>
      <c r="J302" s="2" t="s">
        <v>16</v>
      </c>
      <c r="K302" s="2" t="s">
        <v>17</v>
      </c>
      <c r="L302" s="3">
        <v>46098</v>
      </c>
    </row>
    <row r="303" spans="1:12">
      <c r="A303" s="2" t="s">
        <v>606</v>
      </c>
      <c r="B303" s="3">
        <v>46092</v>
      </c>
      <c r="C303" s="2" t="s">
        <v>607</v>
      </c>
      <c r="D303" s="2" t="s">
        <v>54</v>
      </c>
      <c r="E303" s="2" t="s">
        <v>15</v>
      </c>
      <c r="F303" s="2" t="s">
        <v>3</v>
      </c>
      <c r="G303" s="4">
        <v>23100</v>
      </c>
      <c r="H303" s="5">
        <v>6.4500000000000002E-2</v>
      </c>
      <c r="I303" s="2">
        <v>36</v>
      </c>
      <c r="J303" s="2" t="s">
        <v>56</v>
      </c>
      <c r="K303" s="2" t="s">
        <v>17</v>
      </c>
      <c r="L303" s="3">
        <v>46094</v>
      </c>
    </row>
    <row r="304" spans="1:12">
      <c r="A304" s="2" t="s">
        <v>608</v>
      </c>
      <c r="B304" s="3">
        <v>46092</v>
      </c>
      <c r="C304" s="2" t="s">
        <v>297</v>
      </c>
      <c r="D304" s="2" t="s">
        <v>29</v>
      </c>
      <c r="E304" s="2" t="s">
        <v>43</v>
      </c>
      <c r="F304" s="2" t="s">
        <v>3</v>
      </c>
      <c r="G304" s="4">
        <v>23700</v>
      </c>
      <c r="H304" s="5">
        <v>5.8400000000000001E-2</v>
      </c>
      <c r="I304" s="2">
        <v>60</v>
      </c>
      <c r="J304" s="2" t="s">
        <v>32</v>
      </c>
      <c r="K304" s="2" t="s">
        <v>17</v>
      </c>
      <c r="L304" s="3">
        <v>46107</v>
      </c>
    </row>
    <row r="305" spans="1:12">
      <c r="A305" s="2" t="s">
        <v>609</v>
      </c>
      <c r="B305" s="3">
        <v>46092</v>
      </c>
      <c r="C305" s="2" t="s">
        <v>554</v>
      </c>
      <c r="D305" s="2" t="s">
        <v>71</v>
      </c>
      <c r="E305" s="2" t="s">
        <v>15</v>
      </c>
      <c r="F305" s="2" t="s">
        <v>31</v>
      </c>
      <c r="G305" s="4">
        <v>12000</v>
      </c>
      <c r="H305" s="5">
        <v>6.6400000000000001E-2</v>
      </c>
      <c r="I305" s="2">
        <v>48</v>
      </c>
      <c r="J305" s="2" t="s">
        <v>72</v>
      </c>
      <c r="K305" s="2" t="s">
        <v>17</v>
      </c>
      <c r="L305" s="3">
        <v>46098</v>
      </c>
    </row>
    <row r="306" spans="1:12">
      <c r="A306" s="2" t="s">
        <v>610</v>
      </c>
      <c r="B306" s="3">
        <v>46092</v>
      </c>
      <c r="C306" s="2" t="s">
        <v>611</v>
      </c>
      <c r="D306" s="2" t="s">
        <v>54</v>
      </c>
      <c r="E306" s="2" t="s">
        <v>15</v>
      </c>
      <c r="F306" s="2" t="s">
        <v>3</v>
      </c>
      <c r="G306" s="4">
        <v>17900</v>
      </c>
      <c r="H306" s="5">
        <v>6.4600000000000005E-2</v>
      </c>
      <c r="I306" s="2">
        <v>48</v>
      </c>
      <c r="J306" s="2" t="s">
        <v>56</v>
      </c>
      <c r="K306" s="2" t="s">
        <v>17</v>
      </c>
      <c r="L306" s="3">
        <v>46093</v>
      </c>
    </row>
    <row r="307" spans="1:12">
      <c r="A307" s="2" t="s">
        <v>612</v>
      </c>
      <c r="B307" s="3">
        <v>46093</v>
      </c>
      <c r="C307" s="2" t="s">
        <v>613</v>
      </c>
      <c r="D307" s="2" t="s">
        <v>14</v>
      </c>
      <c r="E307" s="2" t="s">
        <v>43</v>
      </c>
      <c r="F307" s="2" t="s">
        <v>55</v>
      </c>
      <c r="G307" s="2" t="s">
        <v>614</v>
      </c>
      <c r="H307" s="5">
        <v>7.7100000000000002E-2</v>
      </c>
      <c r="I307" s="2">
        <v>84</v>
      </c>
      <c r="J307" s="2" t="s">
        <v>16</v>
      </c>
      <c r="K307" s="2" t="s">
        <v>17</v>
      </c>
      <c r="L307" s="3">
        <v>46105</v>
      </c>
    </row>
    <row r="308" spans="1:12">
      <c r="A308" s="2" t="s">
        <v>615</v>
      </c>
      <c r="B308" s="3">
        <v>46093</v>
      </c>
      <c r="C308" s="2" t="s">
        <v>616</v>
      </c>
      <c r="D308" s="2" t="s">
        <v>20</v>
      </c>
      <c r="E308" s="2" t="s">
        <v>30</v>
      </c>
      <c r="F308" s="2" t="s">
        <v>55</v>
      </c>
      <c r="G308" s="4">
        <v>13500</v>
      </c>
      <c r="H308" s="5">
        <v>3.56E-2</v>
      </c>
      <c r="I308" s="2">
        <v>36</v>
      </c>
      <c r="J308" s="2" t="s">
        <v>44</v>
      </c>
      <c r="K308" s="2" t="s">
        <v>17</v>
      </c>
      <c r="L308" s="3">
        <v>46098</v>
      </c>
    </row>
    <row r="309" spans="1:12">
      <c r="A309" s="2" t="s">
        <v>617</v>
      </c>
      <c r="B309" s="3">
        <v>46093</v>
      </c>
      <c r="C309" s="2" t="s">
        <v>618</v>
      </c>
      <c r="D309" s="2" t="s">
        <v>71</v>
      </c>
      <c r="E309" s="2" t="s">
        <v>43</v>
      </c>
      <c r="F309" s="2" t="s">
        <v>31</v>
      </c>
      <c r="G309" s="4">
        <v>70300</v>
      </c>
      <c r="H309" s="5">
        <v>7.0000000000000007E-2</v>
      </c>
      <c r="I309" s="2">
        <v>24</v>
      </c>
      <c r="J309" s="2" t="s">
        <v>101</v>
      </c>
      <c r="K309" s="2" t="s">
        <v>17</v>
      </c>
      <c r="L309" s="3">
        <v>46103</v>
      </c>
    </row>
    <row r="310" spans="1:12">
      <c r="A310" s="2" t="s">
        <v>619</v>
      </c>
      <c r="B310" s="3">
        <v>46093</v>
      </c>
      <c r="C310" s="2" t="s">
        <v>28</v>
      </c>
      <c r="D310" s="2" t="s">
        <v>71</v>
      </c>
      <c r="E310" s="2" t="s">
        <v>15</v>
      </c>
      <c r="F310" s="2" t="s">
        <v>55</v>
      </c>
      <c r="G310" s="4">
        <v>12000</v>
      </c>
      <c r="H310" s="5">
        <v>5.4399999999999997E-2</v>
      </c>
      <c r="I310" s="2">
        <v>60</v>
      </c>
      <c r="J310" s="2" t="s">
        <v>101</v>
      </c>
      <c r="K310" s="2" t="s">
        <v>45</v>
      </c>
      <c r="L310" s="3">
        <v>46097</v>
      </c>
    </row>
    <row r="311" spans="1:12">
      <c r="A311" s="2" t="s">
        <v>620</v>
      </c>
      <c r="B311" s="3">
        <v>46093</v>
      </c>
      <c r="C311" s="2" t="s">
        <v>621</v>
      </c>
      <c r="D311" s="2" t="s">
        <v>14</v>
      </c>
      <c r="E311" s="2" t="s">
        <v>15</v>
      </c>
      <c r="F311" s="2" t="s">
        <v>3</v>
      </c>
      <c r="G311" s="4">
        <v>16200</v>
      </c>
      <c r="H311" s="5">
        <v>5.3900000000000003E-2</v>
      </c>
      <c r="I311" s="2">
        <v>24</v>
      </c>
      <c r="J311" s="2" t="s">
        <v>48</v>
      </c>
      <c r="K311" s="2" t="s">
        <v>17</v>
      </c>
      <c r="L311" s="3">
        <v>46095</v>
      </c>
    </row>
    <row r="312" spans="1:12">
      <c r="A312" s="2" t="s">
        <v>622</v>
      </c>
      <c r="B312" s="3">
        <v>46093</v>
      </c>
      <c r="C312" s="2" t="s">
        <v>623</v>
      </c>
      <c r="D312" s="2" t="s">
        <v>29</v>
      </c>
      <c r="E312" s="2" t="s">
        <v>15</v>
      </c>
      <c r="F312" s="2" t="s">
        <v>3</v>
      </c>
      <c r="G312" s="4">
        <v>4400</v>
      </c>
      <c r="H312" s="5">
        <v>5.7299999999999997E-2</v>
      </c>
      <c r="I312" s="2">
        <v>48</v>
      </c>
      <c r="J312" s="2" t="s">
        <v>123</v>
      </c>
      <c r="K312" s="2" t="s">
        <v>17</v>
      </c>
      <c r="L312" s="3">
        <v>46095</v>
      </c>
    </row>
    <row r="313" spans="1:12">
      <c r="A313" s="2" t="s">
        <v>624</v>
      </c>
      <c r="B313" s="3">
        <v>46094</v>
      </c>
      <c r="C313" s="2" t="s">
        <v>625</v>
      </c>
      <c r="D313" s="2" t="s">
        <v>14</v>
      </c>
      <c r="E313" s="2" t="s">
        <v>15</v>
      </c>
      <c r="F313" s="2" t="s">
        <v>3</v>
      </c>
      <c r="G313" s="4">
        <v>15200</v>
      </c>
      <c r="H313" s="5">
        <v>5.9400000000000001E-2</v>
      </c>
      <c r="I313" s="2">
        <v>60</v>
      </c>
      <c r="J313" s="2" t="s">
        <v>48</v>
      </c>
      <c r="K313" s="2" t="s">
        <v>17</v>
      </c>
      <c r="L313" s="3">
        <v>46097</v>
      </c>
    </row>
    <row r="314" spans="1:12">
      <c r="A314" s="2" t="s">
        <v>626</v>
      </c>
      <c r="B314" s="3">
        <v>46094</v>
      </c>
      <c r="C314" s="2" t="s">
        <v>627</v>
      </c>
      <c r="D314" s="2" t="s">
        <v>29</v>
      </c>
      <c r="E314" s="2" t="s">
        <v>21</v>
      </c>
      <c r="F314" s="2" t="s">
        <v>31</v>
      </c>
      <c r="G314" s="4">
        <v>194600</v>
      </c>
      <c r="H314" s="5">
        <v>3.5700000000000003E-2</v>
      </c>
      <c r="I314" s="2">
        <v>180</v>
      </c>
      <c r="J314" s="2" t="s">
        <v>123</v>
      </c>
      <c r="K314" s="2" t="s">
        <v>45</v>
      </c>
      <c r="L314" s="3">
        <v>46109</v>
      </c>
    </row>
    <row r="315" spans="1:12">
      <c r="A315" s="2" t="s">
        <v>628</v>
      </c>
      <c r="B315" s="3">
        <v>46094</v>
      </c>
      <c r="C315" s="2" t="s">
        <v>230</v>
      </c>
      <c r="D315" s="2" t="s">
        <v>54</v>
      </c>
      <c r="E315" s="2" t="s">
        <v>15</v>
      </c>
      <c r="F315" s="2" t="s">
        <v>3</v>
      </c>
      <c r="G315" s="4">
        <v>23600</v>
      </c>
      <c r="H315" s="5">
        <v>5.5800000000000002E-2</v>
      </c>
      <c r="I315" s="2">
        <v>48</v>
      </c>
      <c r="J315" s="2" t="s">
        <v>56</v>
      </c>
      <c r="K315" s="2" t="s">
        <v>45</v>
      </c>
      <c r="L315" s="3">
        <v>46096</v>
      </c>
    </row>
    <row r="316" spans="1:12">
      <c r="A316" s="2" t="s">
        <v>629</v>
      </c>
      <c r="B316" s="3">
        <v>46095</v>
      </c>
      <c r="C316" s="2" t="s">
        <v>513</v>
      </c>
      <c r="D316" s="2" t="s">
        <v>29</v>
      </c>
      <c r="E316" s="2" t="s">
        <v>43</v>
      </c>
      <c r="F316" s="2" t="s">
        <v>3</v>
      </c>
      <c r="G316" s="4">
        <v>149000</v>
      </c>
      <c r="H316" s="5">
        <v>7.9100000000000004E-2</v>
      </c>
      <c r="I316" s="2">
        <v>84</v>
      </c>
      <c r="J316" s="2" t="s">
        <v>61</v>
      </c>
      <c r="K316" s="2" t="s">
        <v>17</v>
      </c>
      <c r="L316" s="3">
        <v>46109</v>
      </c>
    </row>
    <row r="317" spans="1:12">
      <c r="A317" s="2" t="s">
        <v>630</v>
      </c>
      <c r="B317" s="3">
        <v>46095</v>
      </c>
      <c r="C317" s="2" t="s">
        <v>631</v>
      </c>
      <c r="D317" s="2" t="s">
        <v>14</v>
      </c>
      <c r="E317" s="2" t="s">
        <v>15</v>
      </c>
      <c r="F317" s="2" t="s">
        <v>3</v>
      </c>
      <c r="G317" s="4">
        <v>14500</v>
      </c>
      <c r="H317" s="5">
        <v>6.4199999999999993E-2</v>
      </c>
      <c r="I317" s="2">
        <v>48</v>
      </c>
      <c r="J317" s="2" t="s">
        <v>48</v>
      </c>
      <c r="K317" s="2" t="s">
        <v>17</v>
      </c>
      <c r="L317" s="3">
        <v>46096</v>
      </c>
    </row>
    <row r="318" spans="1:12">
      <c r="A318" s="2" t="s">
        <v>632</v>
      </c>
      <c r="B318" s="3">
        <v>46096</v>
      </c>
      <c r="C318" s="2" t="s">
        <v>633</v>
      </c>
      <c r="D318" s="2" t="s">
        <v>29</v>
      </c>
      <c r="E318" s="2" t="s">
        <v>43</v>
      </c>
      <c r="F318" s="2" t="s">
        <v>147</v>
      </c>
      <c r="G318" s="4">
        <v>145700</v>
      </c>
      <c r="H318" s="5">
        <v>6.1699999999999998E-2</v>
      </c>
      <c r="I318" s="2">
        <v>24</v>
      </c>
      <c r="J318" s="2" t="s">
        <v>123</v>
      </c>
      <c r="K318" s="2" t="s">
        <v>45</v>
      </c>
      <c r="L318" s="3">
        <v>46117</v>
      </c>
    </row>
    <row r="319" spans="1:12">
      <c r="A319" s="2" t="s">
        <v>634</v>
      </c>
      <c r="B319" s="3">
        <v>46096</v>
      </c>
      <c r="C319" s="2" t="s">
        <v>346</v>
      </c>
      <c r="D319" s="2" t="s">
        <v>20</v>
      </c>
      <c r="E319" s="2" t="s">
        <v>15</v>
      </c>
      <c r="F319" s="2" t="s">
        <v>3</v>
      </c>
      <c r="G319" s="4">
        <v>4600</v>
      </c>
      <c r="H319" s="5">
        <v>6.4500000000000002E-2</v>
      </c>
      <c r="I319" s="2">
        <v>24</v>
      </c>
      <c r="J319" s="2" t="s">
        <v>22</v>
      </c>
      <c r="K319" s="2" t="s">
        <v>17</v>
      </c>
      <c r="L319" s="3">
        <v>46097</v>
      </c>
    </row>
    <row r="320" spans="1:12">
      <c r="A320" s="2" t="s">
        <v>635</v>
      </c>
      <c r="B320" s="3">
        <v>46096</v>
      </c>
      <c r="C320" s="2" t="s">
        <v>636</v>
      </c>
      <c r="D320" s="2" t="s">
        <v>25</v>
      </c>
      <c r="E320" s="2" t="s">
        <v>30</v>
      </c>
      <c r="F320" s="2" t="s">
        <v>55</v>
      </c>
      <c r="G320" s="4">
        <v>7100</v>
      </c>
      <c r="H320" s="5">
        <v>3.9100000000000003E-2</v>
      </c>
      <c r="I320" s="2">
        <v>60</v>
      </c>
      <c r="J320" s="2" t="s">
        <v>26</v>
      </c>
      <c r="K320" s="2" t="s">
        <v>17</v>
      </c>
      <c r="L320" s="3">
        <v>46097</v>
      </c>
    </row>
    <row r="321" spans="1:12">
      <c r="A321" s="2" t="s">
        <v>637</v>
      </c>
      <c r="B321" s="3">
        <v>46096</v>
      </c>
      <c r="C321" s="2" t="s">
        <v>638</v>
      </c>
      <c r="D321" s="2" t="s">
        <v>54</v>
      </c>
      <c r="E321" s="2" t="s">
        <v>30</v>
      </c>
      <c r="F321" s="2" t="s">
        <v>3</v>
      </c>
      <c r="G321" s="4">
        <v>9100</v>
      </c>
      <c r="H321" s="5">
        <v>4.9200000000000001E-2</v>
      </c>
      <c r="I321" s="2">
        <v>60</v>
      </c>
      <c r="J321" s="2" t="s">
        <v>56</v>
      </c>
      <c r="K321" s="2" t="s">
        <v>45</v>
      </c>
      <c r="L321" s="3">
        <v>46098</v>
      </c>
    </row>
    <row r="322" spans="1:12">
      <c r="A322" s="2" t="s">
        <v>639</v>
      </c>
      <c r="B322" s="3">
        <v>46096</v>
      </c>
      <c r="C322" s="2" t="s">
        <v>640</v>
      </c>
      <c r="D322" s="2" t="s">
        <v>14</v>
      </c>
      <c r="E322" s="2" t="s">
        <v>15</v>
      </c>
      <c r="F322" s="2" t="s">
        <v>3</v>
      </c>
      <c r="G322" s="4">
        <v>7500</v>
      </c>
      <c r="H322" s="5">
        <v>6.6900000000000001E-2</v>
      </c>
      <c r="I322" s="2">
        <v>60</v>
      </c>
      <c r="J322" s="2" t="s">
        <v>16</v>
      </c>
      <c r="K322" s="2" t="s">
        <v>17</v>
      </c>
      <c r="L322" s="3">
        <v>46100</v>
      </c>
    </row>
    <row r="323" spans="1:12">
      <c r="A323" s="2" t="s">
        <v>641</v>
      </c>
      <c r="B323" s="3">
        <v>46096</v>
      </c>
      <c r="C323" s="2" t="s">
        <v>642</v>
      </c>
      <c r="D323" s="2" t="s">
        <v>71</v>
      </c>
      <c r="E323" s="2" t="s">
        <v>21</v>
      </c>
      <c r="F323" s="2" t="s">
        <v>3</v>
      </c>
      <c r="G323" s="4">
        <v>293200</v>
      </c>
      <c r="H323" s="5">
        <v>4.1099999999999998E-2</v>
      </c>
      <c r="I323" s="2">
        <v>120</v>
      </c>
      <c r="J323" s="2" t="s">
        <v>72</v>
      </c>
      <c r="K323" s="2" t="s">
        <v>17</v>
      </c>
      <c r="L323" s="3">
        <v>46124</v>
      </c>
    </row>
    <row r="324" spans="1:12">
      <c r="A324" s="2" t="s">
        <v>643</v>
      </c>
      <c r="B324" s="3">
        <v>46096</v>
      </c>
      <c r="C324" s="2" t="s">
        <v>644</v>
      </c>
      <c r="D324" s="2" t="s">
        <v>29</v>
      </c>
      <c r="E324" s="2" t="s">
        <v>21</v>
      </c>
      <c r="F324" s="2" t="s">
        <v>55</v>
      </c>
      <c r="G324" s="4">
        <v>124200</v>
      </c>
      <c r="H324" s="5">
        <v>3.1099999999999999E-2</v>
      </c>
      <c r="I324" s="2">
        <v>180</v>
      </c>
      <c r="J324" s="2" t="s">
        <v>123</v>
      </c>
      <c r="K324" s="2" t="s">
        <v>45</v>
      </c>
      <c r="L324" s="3">
        <v>46108</v>
      </c>
    </row>
    <row r="325" spans="1:12">
      <c r="A325" s="2" t="s">
        <v>645</v>
      </c>
      <c r="B325" s="3">
        <v>46097</v>
      </c>
      <c r="C325" s="2" t="s">
        <v>238</v>
      </c>
      <c r="D325" s="2" t="s">
        <v>25</v>
      </c>
      <c r="E325" s="2" t="s">
        <v>21</v>
      </c>
      <c r="F325" s="2" t="s">
        <v>55</v>
      </c>
      <c r="G325" s="4">
        <v>116400</v>
      </c>
      <c r="H325" s="5">
        <v>3.6499999999999998E-2</v>
      </c>
      <c r="I325" s="2">
        <v>180</v>
      </c>
      <c r="J325" s="2" t="s">
        <v>26</v>
      </c>
      <c r="K325" s="2" t="s">
        <v>45</v>
      </c>
      <c r="L325" s="3">
        <v>46126</v>
      </c>
    </row>
    <row r="326" spans="1:12">
      <c r="A326" s="2" t="s">
        <v>646</v>
      </c>
      <c r="B326" s="3">
        <v>46097</v>
      </c>
      <c r="C326" s="2" t="s">
        <v>172</v>
      </c>
      <c r="D326" s="2" t="s">
        <v>29</v>
      </c>
      <c r="E326" s="2" t="s">
        <v>30</v>
      </c>
      <c r="F326" s="2" t="s">
        <v>3</v>
      </c>
      <c r="G326" s="4">
        <v>21900</v>
      </c>
      <c r="H326" s="5">
        <v>4.7699999999999999E-2</v>
      </c>
      <c r="I326" s="2">
        <v>36</v>
      </c>
      <c r="J326" s="2" t="s">
        <v>123</v>
      </c>
      <c r="K326" s="2" t="s">
        <v>17</v>
      </c>
      <c r="L326" s="3">
        <v>46098</v>
      </c>
    </row>
    <row r="327" spans="1:12">
      <c r="A327" s="2" t="s">
        <v>647</v>
      </c>
      <c r="B327" s="3">
        <v>46097</v>
      </c>
      <c r="C327" s="2" t="s">
        <v>254</v>
      </c>
      <c r="D327" s="2" t="s">
        <v>14</v>
      </c>
      <c r="E327" s="2" t="s">
        <v>15</v>
      </c>
      <c r="F327" s="2" t="s">
        <v>3</v>
      </c>
      <c r="G327" s="4">
        <v>8000</v>
      </c>
      <c r="H327" s="5">
        <v>6.1800000000000001E-2</v>
      </c>
      <c r="I327" s="2">
        <v>24</v>
      </c>
      <c r="J327" s="2" t="s">
        <v>16</v>
      </c>
      <c r="K327" s="2" t="s">
        <v>17</v>
      </c>
      <c r="L327" s="3">
        <v>46099</v>
      </c>
    </row>
    <row r="328" spans="1:12">
      <c r="A328" s="2" t="s">
        <v>648</v>
      </c>
      <c r="B328" s="3">
        <v>46097</v>
      </c>
      <c r="C328" s="2" t="s">
        <v>649</v>
      </c>
      <c r="D328" s="2" t="s">
        <v>14</v>
      </c>
      <c r="E328" s="2" t="s">
        <v>15</v>
      </c>
      <c r="F328" s="2" t="s">
        <v>3</v>
      </c>
      <c r="G328" s="2" t="s">
        <v>650</v>
      </c>
      <c r="H328" s="5">
        <v>6.6900000000000001E-2</v>
      </c>
      <c r="I328" s="2">
        <v>12</v>
      </c>
      <c r="J328" s="2" t="s">
        <v>48</v>
      </c>
      <c r="K328" s="2" t="s">
        <v>17</v>
      </c>
      <c r="L328" s="3">
        <v>46103</v>
      </c>
    </row>
    <row r="329" spans="1:12">
      <c r="A329" s="2" t="s">
        <v>651</v>
      </c>
      <c r="B329" s="3">
        <v>46097</v>
      </c>
      <c r="C329" s="2" t="s">
        <v>652</v>
      </c>
      <c r="D329" s="2" t="s">
        <v>29</v>
      </c>
      <c r="E329" s="2" t="s">
        <v>51</v>
      </c>
      <c r="F329" s="2" t="s">
        <v>3</v>
      </c>
      <c r="G329" s="4">
        <v>6700</v>
      </c>
      <c r="H329" s="5">
        <v>4.82E-2</v>
      </c>
      <c r="I329" s="2">
        <v>48</v>
      </c>
      <c r="J329" s="2" t="s">
        <v>32</v>
      </c>
      <c r="K329" s="2" t="s">
        <v>17</v>
      </c>
      <c r="L329" s="3">
        <v>46099</v>
      </c>
    </row>
    <row r="330" spans="1:12">
      <c r="A330" s="2" t="s">
        <v>653</v>
      </c>
      <c r="B330" s="3">
        <v>46097</v>
      </c>
      <c r="C330" s="2" t="s">
        <v>433</v>
      </c>
      <c r="D330" s="2" t="s">
        <v>25</v>
      </c>
      <c r="E330" s="2" t="s">
        <v>30</v>
      </c>
      <c r="F330" s="2" t="s">
        <v>31</v>
      </c>
      <c r="G330" s="4">
        <v>11200</v>
      </c>
      <c r="H330" s="5">
        <v>4.6300000000000001E-2</v>
      </c>
      <c r="I330" s="2">
        <v>48</v>
      </c>
      <c r="J330" s="2" t="s">
        <v>66</v>
      </c>
      <c r="K330" s="2" t="s">
        <v>17</v>
      </c>
      <c r="L330" s="3">
        <v>46097</v>
      </c>
    </row>
    <row r="331" spans="1:12">
      <c r="A331" s="2" t="s">
        <v>654</v>
      </c>
      <c r="B331" s="3">
        <v>46097</v>
      </c>
      <c r="C331" s="2" t="s">
        <v>417</v>
      </c>
      <c r="D331" s="2" t="s">
        <v>14</v>
      </c>
      <c r="E331" s="2" t="s">
        <v>15</v>
      </c>
      <c r="F331" s="2" t="s">
        <v>31</v>
      </c>
      <c r="G331" s="4">
        <v>7100</v>
      </c>
      <c r="H331" s="5">
        <v>5.1900000000000002E-2</v>
      </c>
      <c r="I331" s="2">
        <v>36</v>
      </c>
      <c r="J331" s="2" t="s">
        <v>40</v>
      </c>
      <c r="K331" s="2" t="s">
        <v>17</v>
      </c>
      <c r="L331" s="3">
        <v>46102</v>
      </c>
    </row>
    <row r="332" spans="1:12">
      <c r="A332" s="2" t="s">
        <v>655</v>
      </c>
      <c r="B332" s="3">
        <v>46097</v>
      </c>
      <c r="C332" s="2" t="s">
        <v>633</v>
      </c>
      <c r="D332" s="2" t="s">
        <v>71</v>
      </c>
      <c r="E332" s="2" t="s">
        <v>15</v>
      </c>
      <c r="F332" s="2" t="s">
        <v>656</v>
      </c>
      <c r="G332" s="4">
        <v>11900</v>
      </c>
      <c r="H332" s="5">
        <v>5.9700000000000003E-2</v>
      </c>
      <c r="I332" s="2">
        <v>24</v>
      </c>
      <c r="J332" s="2" t="s">
        <v>72</v>
      </c>
      <c r="K332" s="2" t="s">
        <v>17</v>
      </c>
      <c r="L332" s="3">
        <v>46103</v>
      </c>
    </row>
    <row r="333" spans="1:12">
      <c r="A333" s="2" t="s">
        <v>657</v>
      </c>
      <c r="B333" s="3">
        <v>46098</v>
      </c>
      <c r="C333" s="2" t="s">
        <v>658</v>
      </c>
      <c r="D333" s="2" t="s">
        <v>29</v>
      </c>
      <c r="E333" s="2" t="s">
        <v>15</v>
      </c>
      <c r="F333" s="2" t="s">
        <v>3</v>
      </c>
      <c r="G333" s="4">
        <v>11900</v>
      </c>
      <c r="H333" s="5">
        <v>5.9299999999999999E-2</v>
      </c>
      <c r="I333" s="2">
        <v>48</v>
      </c>
      <c r="J333" s="2" t="s">
        <v>61</v>
      </c>
      <c r="K333" s="2" t="s">
        <v>17</v>
      </c>
      <c r="L333" s="3">
        <v>46100</v>
      </c>
    </row>
    <row r="334" spans="1:12">
      <c r="A334" s="2" t="s">
        <v>659</v>
      </c>
      <c r="B334" s="3">
        <v>46098</v>
      </c>
      <c r="C334" s="2" t="s">
        <v>552</v>
      </c>
      <c r="D334" s="2" t="s">
        <v>29</v>
      </c>
      <c r="E334" s="2" t="s">
        <v>43</v>
      </c>
      <c r="F334" s="2" t="s">
        <v>3</v>
      </c>
      <c r="G334" s="4">
        <v>138300</v>
      </c>
      <c r="H334" s="5">
        <v>7.0599999999999996E-2</v>
      </c>
      <c r="I334" s="2">
        <v>84</v>
      </c>
      <c r="J334" s="2" t="s">
        <v>61</v>
      </c>
      <c r="K334" s="2" t="s">
        <v>17</v>
      </c>
      <c r="L334" s="3">
        <v>46118</v>
      </c>
    </row>
    <row r="335" spans="1:12">
      <c r="A335" s="2" t="s">
        <v>660</v>
      </c>
      <c r="B335" s="3">
        <v>46098</v>
      </c>
      <c r="C335" s="2" t="s">
        <v>661</v>
      </c>
      <c r="D335" s="2" t="s">
        <v>29</v>
      </c>
      <c r="E335" s="2" t="s">
        <v>15</v>
      </c>
      <c r="F335" s="2" t="s">
        <v>3</v>
      </c>
      <c r="G335" s="4">
        <v>25000</v>
      </c>
      <c r="H335" s="5">
        <v>6.9099999999999995E-2</v>
      </c>
      <c r="I335" s="2">
        <v>60</v>
      </c>
      <c r="J335" s="2" t="s">
        <v>61</v>
      </c>
      <c r="K335" s="2" t="s">
        <v>17</v>
      </c>
      <c r="L335" s="3">
        <v>46099</v>
      </c>
    </row>
    <row r="336" spans="1:12">
      <c r="A336" s="2" t="s">
        <v>662</v>
      </c>
      <c r="B336" s="3">
        <v>46098</v>
      </c>
      <c r="C336" s="2" t="s">
        <v>663</v>
      </c>
      <c r="D336" s="2" t="s">
        <v>71</v>
      </c>
      <c r="E336" s="2" t="s">
        <v>30</v>
      </c>
      <c r="F336" s="2" t="s">
        <v>3</v>
      </c>
      <c r="G336" s="4">
        <v>8800</v>
      </c>
      <c r="H336" s="5">
        <v>4.9399999999999999E-2</v>
      </c>
      <c r="I336" s="2">
        <v>48</v>
      </c>
      <c r="J336" s="2" t="s">
        <v>72</v>
      </c>
      <c r="K336" s="2" t="s">
        <v>17</v>
      </c>
      <c r="L336" s="3">
        <v>46099</v>
      </c>
    </row>
    <row r="337" spans="1:12">
      <c r="A337" s="2" t="s">
        <v>664</v>
      </c>
      <c r="B337" s="3">
        <v>46098</v>
      </c>
      <c r="C337" s="2" t="s">
        <v>581</v>
      </c>
      <c r="D337" s="2" t="s">
        <v>54</v>
      </c>
      <c r="E337" s="2" t="s">
        <v>15</v>
      </c>
      <c r="F337" s="2" t="s">
        <v>3</v>
      </c>
      <c r="G337" s="4">
        <v>21400</v>
      </c>
      <c r="H337" s="5">
        <v>6.6199999999999995E-2</v>
      </c>
      <c r="I337" s="2">
        <v>36</v>
      </c>
      <c r="J337" s="2" t="s">
        <v>186</v>
      </c>
      <c r="K337" s="2" t="s">
        <v>45</v>
      </c>
      <c r="L337" s="3">
        <v>46102</v>
      </c>
    </row>
    <row r="338" spans="1:12">
      <c r="A338" s="2" t="s">
        <v>665</v>
      </c>
      <c r="B338" s="3">
        <v>46098</v>
      </c>
      <c r="C338" s="2" t="s">
        <v>666</v>
      </c>
      <c r="D338" s="2" t="s">
        <v>25</v>
      </c>
      <c r="E338" s="2" t="s">
        <v>43</v>
      </c>
      <c r="F338" s="2" t="s">
        <v>3</v>
      </c>
      <c r="G338" s="4">
        <v>50800</v>
      </c>
      <c r="H338" s="5">
        <v>6.5199999999999994E-2</v>
      </c>
      <c r="I338" s="2">
        <v>36</v>
      </c>
      <c r="J338" s="2" t="s">
        <v>181</v>
      </c>
      <c r="K338" s="2" t="s">
        <v>17</v>
      </c>
      <c r="L338" s="3">
        <v>46118</v>
      </c>
    </row>
    <row r="339" spans="1:12">
      <c r="A339" s="2" t="s">
        <v>667</v>
      </c>
      <c r="B339" s="3">
        <v>46098</v>
      </c>
      <c r="C339" s="2" t="s">
        <v>256</v>
      </c>
      <c r="D339" s="2" t="s">
        <v>54</v>
      </c>
      <c r="E339" s="2" t="s">
        <v>15</v>
      </c>
      <c r="F339" s="2" t="s">
        <v>55</v>
      </c>
      <c r="G339" s="4">
        <v>23300</v>
      </c>
      <c r="H339" s="5">
        <v>6.7799999999999999E-2</v>
      </c>
      <c r="I339" s="2">
        <v>36</v>
      </c>
      <c r="J339" s="2" t="s">
        <v>186</v>
      </c>
      <c r="K339" s="2" t="s">
        <v>17</v>
      </c>
      <c r="L339" s="3">
        <v>46103</v>
      </c>
    </row>
    <row r="340" spans="1:12">
      <c r="A340" s="2" t="s">
        <v>668</v>
      </c>
      <c r="B340" s="3">
        <v>46098</v>
      </c>
      <c r="C340" s="2" t="s">
        <v>669</v>
      </c>
      <c r="D340" s="2" t="s">
        <v>20</v>
      </c>
      <c r="E340" s="2" t="s">
        <v>15</v>
      </c>
      <c r="F340" s="2" t="s">
        <v>3</v>
      </c>
      <c r="G340" s="4">
        <v>3100</v>
      </c>
      <c r="H340" s="5">
        <v>5.4100000000000002E-2</v>
      </c>
      <c r="I340" s="2">
        <v>36</v>
      </c>
      <c r="J340" s="2" t="s">
        <v>37</v>
      </c>
      <c r="K340" s="2" t="s">
        <v>17</v>
      </c>
      <c r="L340" s="3">
        <v>46100</v>
      </c>
    </row>
    <row r="341" spans="1:12">
      <c r="A341" s="2" t="s">
        <v>670</v>
      </c>
      <c r="B341" s="3">
        <v>46099</v>
      </c>
      <c r="C341" s="2" t="s">
        <v>671</v>
      </c>
      <c r="D341" s="2" t="s">
        <v>14</v>
      </c>
      <c r="E341" s="2" t="s">
        <v>15</v>
      </c>
      <c r="F341" s="2" t="s">
        <v>31</v>
      </c>
      <c r="G341" s="4">
        <v>5700</v>
      </c>
      <c r="H341" s="5">
        <v>6.13E-2</v>
      </c>
      <c r="I341" s="2">
        <v>24</v>
      </c>
      <c r="J341" s="2" t="s">
        <v>16</v>
      </c>
      <c r="K341" s="2" t="s">
        <v>17</v>
      </c>
      <c r="L341" s="3">
        <v>46099</v>
      </c>
    </row>
    <row r="342" spans="1:12">
      <c r="A342" s="2" t="s">
        <v>672</v>
      </c>
      <c r="B342" s="3">
        <v>46099</v>
      </c>
      <c r="C342" s="2" t="s">
        <v>673</v>
      </c>
      <c r="D342" s="2" t="s">
        <v>29</v>
      </c>
      <c r="E342" s="2" t="s">
        <v>43</v>
      </c>
      <c r="F342" s="2" t="s">
        <v>55</v>
      </c>
      <c r="G342" s="4">
        <v>98900</v>
      </c>
      <c r="H342" s="5">
        <v>7.3599999999999999E-2</v>
      </c>
      <c r="I342" s="2">
        <v>36</v>
      </c>
      <c r="J342" s="2" t="s">
        <v>61</v>
      </c>
      <c r="K342" s="2" t="s">
        <v>45</v>
      </c>
      <c r="L342" s="3">
        <v>46109</v>
      </c>
    </row>
    <row r="343" spans="1:12">
      <c r="A343" s="2" t="s">
        <v>674</v>
      </c>
      <c r="B343" s="3">
        <v>46099</v>
      </c>
      <c r="C343" s="2" t="s">
        <v>675</v>
      </c>
      <c r="D343" s="2" t="s">
        <v>14</v>
      </c>
      <c r="E343" s="2" t="s">
        <v>15</v>
      </c>
      <c r="F343" s="2" t="s">
        <v>3</v>
      </c>
      <c r="G343" s="4">
        <v>2100</v>
      </c>
      <c r="H343" s="5">
        <v>5.0700000000000002E-2</v>
      </c>
      <c r="I343" s="2">
        <v>12</v>
      </c>
      <c r="J343" s="2" t="s">
        <v>40</v>
      </c>
      <c r="K343" s="2" t="s">
        <v>45</v>
      </c>
      <c r="L343" s="3">
        <v>46106</v>
      </c>
    </row>
    <row r="344" spans="1:12">
      <c r="A344" s="2" t="s">
        <v>676</v>
      </c>
      <c r="B344" s="3">
        <v>46099</v>
      </c>
      <c r="C344" s="2" t="s">
        <v>677</v>
      </c>
      <c r="D344" s="2" t="s">
        <v>54</v>
      </c>
      <c r="E344" s="2" t="s">
        <v>15</v>
      </c>
      <c r="F344" s="2" t="s">
        <v>154</v>
      </c>
      <c r="G344" s="4">
        <v>23700</v>
      </c>
      <c r="H344" s="5">
        <v>5.5599999999999997E-2</v>
      </c>
      <c r="I344" s="2">
        <v>24</v>
      </c>
      <c r="J344" s="2" t="s">
        <v>148</v>
      </c>
      <c r="K344" s="2" t="s">
        <v>45</v>
      </c>
      <c r="L344" s="3">
        <v>46105</v>
      </c>
    </row>
    <row r="345" spans="1:12">
      <c r="A345" s="2" t="s">
        <v>678</v>
      </c>
      <c r="B345" s="3">
        <v>46100</v>
      </c>
      <c r="C345" s="2" t="s">
        <v>679</v>
      </c>
      <c r="D345" s="2" t="s">
        <v>25</v>
      </c>
      <c r="E345" s="2" t="s">
        <v>160</v>
      </c>
      <c r="F345" s="2" t="s">
        <v>3</v>
      </c>
      <c r="G345" s="4">
        <v>7100</v>
      </c>
      <c r="H345" s="5">
        <v>4.1399999999999999E-2</v>
      </c>
      <c r="I345" s="2">
        <v>60</v>
      </c>
      <c r="J345" s="2" t="s">
        <v>66</v>
      </c>
      <c r="K345" s="2" t="s">
        <v>17</v>
      </c>
      <c r="L345" s="3">
        <v>46103</v>
      </c>
    </row>
    <row r="346" spans="1:12">
      <c r="A346" s="2" t="s">
        <v>680</v>
      </c>
      <c r="B346" s="3">
        <v>46100</v>
      </c>
      <c r="C346" s="2" t="s">
        <v>445</v>
      </c>
      <c r="D346" s="2" t="s">
        <v>20</v>
      </c>
      <c r="E346" s="2" t="s">
        <v>15</v>
      </c>
      <c r="F346" s="2" t="s">
        <v>3</v>
      </c>
      <c r="G346" s="2" t="s">
        <v>681</v>
      </c>
      <c r="H346" s="5">
        <v>6.4799999999999996E-2</v>
      </c>
      <c r="I346" s="2">
        <v>12</v>
      </c>
      <c r="J346" s="2" t="s">
        <v>37</v>
      </c>
      <c r="K346" s="2" t="s">
        <v>17</v>
      </c>
      <c r="L346" s="3">
        <v>46102</v>
      </c>
    </row>
    <row r="347" spans="1:12">
      <c r="A347" s="2" t="s">
        <v>682</v>
      </c>
      <c r="B347" s="3">
        <v>46100</v>
      </c>
      <c r="C347" s="2" t="s">
        <v>666</v>
      </c>
      <c r="D347" s="2" t="s">
        <v>25</v>
      </c>
      <c r="E347" s="2" t="s">
        <v>43</v>
      </c>
      <c r="F347" s="2" t="s">
        <v>3</v>
      </c>
      <c r="G347" s="4">
        <v>98300</v>
      </c>
      <c r="H347" s="5">
        <v>6.2300000000000001E-2</v>
      </c>
      <c r="I347" s="2">
        <v>84</v>
      </c>
      <c r="J347" s="2" t="s">
        <v>181</v>
      </c>
      <c r="K347" s="2" t="s">
        <v>45</v>
      </c>
      <c r="L347" s="3">
        <v>46117</v>
      </c>
    </row>
    <row r="348" spans="1:12">
      <c r="A348" s="2" t="s">
        <v>683</v>
      </c>
      <c r="B348" s="3">
        <v>46100</v>
      </c>
      <c r="C348" s="2" t="s">
        <v>669</v>
      </c>
      <c r="D348" s="2" t="s">
        <v>14</v>
      </c>
      <c r="E348" s="2" t="s">
        <v>157</v>
      </c>
      <c r="F348" s="2" t="s">
        <v>3</v>
      </c>
      <c r="G348" s="4">
        <v>21000</v>
      </c>
      <c r="H348" s="5">
        <v>6.4500000000000002E-2</v>
      </c>
      <c r="I348" s="2">
        <v>48</v>
      </c>
      <c r="J348" s="2" t="s">
        <v>40</v>
      </c>
      <c r="K348" s="2" t="s">
        <v>17</v>
      </c>
      <c r="L348" s="3">
        <v>46103</v>
      </c>
    </row>
    <row r="349" spans="1:12">
      <c r="A349" s="2" t="s">
        <v>684</v>
      </c>
      <c r="B349" s="3">
        <v>46100</v>
      </c>
      <c r="C349" s="2" t="s">
        <v>685</v>
      </c>
      <c r="D349" s="2" t="s">
        <v>25</v>
      </c>
      <c r="E349" s="2" t="s">
        <v>15</v>
      </c>
      <c r="F349" s="2" t="s">
        <v>3</v>
      </c>
      <c r="G349" s="4">
        <v>4600</v>
      </c>
      <c r="H349" s="5">
        <v>5.8999999999999997E-2</v>
      </c>
      <c r="I349" s="2">
        <v>60</v>
      </c>
      <c r="J349" s="2" t="s">
        <v>66</v>
      </c>
      <c r="K349" s="2" t="s">
        <v>17</v>
      </c>
      <c r="L349" s="3">
        <v>46103</v>
      </c>
    </row>
    <row r="350" spans="1:12">
      <c r="A350" s="2" t="s">
        <v>686</v>
      </c>
      <c r="B350" s="3">
        <v>46100</v>
      </c>
      <c r="C350" s="2" t="s">
        <v>687</v>
      </c>
      <c r="D350" s="2" t="s">
        <v>14</v>
      </c>
      <c r="E350" s="2" t="s">
        <v>21</v>
      </c>
      <c r="F350" s="2" t="s">
        <v>31</v>
      </c>
      <c r="G350" s="4">
        <v>105200</v>
      </c>
      <c r="H350" s="5">
        <v>3.3799999999999997E-2</v>
      </c>
      <c r="I350" s="2">
        <v>240</v>
      </c>
      <c r="J350" s="2" t="s">
        <v>40</v>
      </c>
      <c r="K350" s="2" t="s">
        <v>17</v>
      </c>
      <c r="L350" s="3">
        <v>46112</v>
      </c>
    </row>
    <row r="351" spans="1:12">
      <c r="A351" s="2" t="s">
        <v>688</v>
      </c>
      <c r="B351" s="3">
        <v>46100</v>
      </c>
      <c r="C351" s="2" t="s">
        <v>689</v>
      </c>
      <c r="D351" s="2" t="s">
        <v>14</v>
      </c>
      <c r="E351" s="2" t="s">
        <v>15</v>
      </c>
      <c r="F351" s="2" t="s">
        <v>3</v>
      </c>
      <c r="G351" s="4">
        <v>7300</v>
      </c>
      <c r="H351" s="5">
        <v>6.2899999999999998E-2</v>
      </c>
      <c r="I351" s="2">
        <v>48</v>
      </c>
      <c r="J351" s="2" t="s">
        <v>16</v>
      </c>
      <c r="K351" s="2" t="s">
        <v>17</v>
      </c>
      <c r="L351" s="3">
        <v>46102</v>
      </c>
    </row>
    <row r="352" spans="1:12">
      <c r="A352" s="2" t="s">
        <v>690</v>
      </c>
      <c r="B352" s="3">
        <v>46101</v>
      </c>
      <c r="C352" s="2" t="s">
        <v>417</v>
      </c>
      <c r="D352" s="2" t="s">
        <v>29</v>
      </c>
      <c r="E352" s="2" t="s">
        <v>15</v>
      </c>
      <c r="F352" s="2" t="s">
        <v>31</v>
      </c>
      <c r="G352" s="4">
        <v>3400</v>
      </c>
      <c r="H352" s="5">
        <v>5.96E-2</v>
      </c>
      <c r="I352" s="2">
        <v>48</v>
      </c>
      <c r="J352" s="2" t="s">
        <v>32</v>
      </c>
      <c r="K352" s="2" t="s">
        <v>17</v>
      </c>
      <c r="L352" s="3">
        <v>46105</v>
      </c>
    </row>
    <row r="353" spans="1:12">
      <c r="A353" s="2" t="s">
        <v>691</v>
      </c>
      <c r="B353" s="3">
        <v>46101</v>
      </c>
      <c r="C353" s="2" t="s">
        <v>280</v>
      </c>
      <c r="D353" s="2" t="s">
        <v>20</v>
      </c>
      <c r="E353" s="2" t="s">
        <v>15</v>
      </c>
      <c r="F353" s="2" t="s">
        <v>3</v>
      </c>
      <c r="G353" s="4">
        <v>10700</v>
      </c>
      <c r="H353" s="5">
        <v>6.13E-2</v>
      </c>
      <c r="I353" s="2">
        <v>24</v>
      </c>
      <c r="J353" s="2" t="s">
        <v>37</v>
      </c>
      <c r="K353" s="2" t="s">
        <v>17</v>
      </c>
      <c r="L353" s="3">
        <v>46105</v>
      </c>
    </row>
    <row r="354" spans="1:12">
      <c r="A354" s="2" t="s">
        <v>692</v>
      </c>
      <c r="B354" s="3">
        <v>46102</v>
      </c>
      <c r="C354" s="2" t="s">
        <v>693</v>
      </c>
      <c r="D354" s="2" t="s">
        <v>54</v>
      </c>
      <c r="E354" s="2" t="s">
        <v>43</v>
      </c>
      <c r="F354" s="2" t="s">
        <v>31</v>
      </c>
      <c r="G354" s="4">
        <v>87900</v>
      </c>
      <c r="H354" s="5">
        <v>5.5300000000000002E-2</v>
      </c>
      <c r="I354" s="2">
        <v>24</v>
      </c>
      <c r="J354" s="2" t="s">
        <v>56</v>
      </c>
      <c r="K354" s="2" t="s">
        <v>45</v>
      </c>
      <c r="L354" s="3">
        <v>46116</v>
      </c>
    </row>
    <row r="355" spans="1:12">
      <c r="A355" s="2" t="s">
        <v>694</v>
      </c>
      <c r="B355" s="3">
        <v>46102</v>
      </c>
      <c r="C355" s="2" t="s">
        <v>222</v>
      </c>
      <c r="D355" s="2" t="s">
        <v>25</v>
      </c>
      <c r="E355" s="2" t="s">
        <v>15</v>
      </c>
      <c r="F355" s="2" t="s">
        <v>55</v>
      </c>
      <c r="G355" s="4">
        <v>10100</v>
      </c>
      <c r="H355" s="5">
        <v>5.8700000000000002E-2</v>
      </c>
      <c r="I355" s="2">
        <v>12</v>
      </c>
      <c r="J355" s="2" t="s">
        <v>181</v>
      </c>
      <c r="K355" s="2" t="s">
        <v>17</v>
      </c>
      <c r="L355" s="3">
        <v>46103</v>
      </c>
    </row>
    <row r="356" spans="1:12">
      <c r="A356" s="2" t="s">
        <v>695</v>
      </c>
      <c r="B356" s="3">
        <v>46102</v>
      </c>
      <c r="C356" s="2" t="s">
        <v>696</v>
      </c>
      <c r="D356" s="2" t="s">
        <v>29</v>
      </c>
      <c r="E356" s="2" t="s">
        <v>43</v>
      </c>
      <c r="F356" s="2" t="s">
        <v>3</v>
      </c>
      <c r="G356" s="4">
        <v>148700</v>
      </c>
      <c r="H356" s="5">
        <v>7.3099999999999998E-2</v>
      </c>
      <c r="I356" s="2">
        <v>24</v>
      </c>
      <c r="J356" s="2" t="s">
        <v>32</v>
      </c>
      <c r="K356" s="2" t="s">
        <v>17</v>
      </c>
      <c r="L356" s="3">
        <v>46122</v>
      </c>
    </row>
    <row r="357" spans="1:12">
      <c r="A357" s="2" t="s">
        <v>697</v>
      </c>
      <c r="B357" s="3">
        <v>46102</v>
      </c>
      <c r="C357" s="2" t="s">
        <v>698</v>
      </c>
      <c r="D357" s="2" t="s">
        <v>71</v>
      </c>
      <c r="E357" s="2" t="s">
        <v>15</v>
      </c>
      <c r="F357" s="2" t="s">
        <v>3</v>
      </c>
      <c r="G357" s="4">
        <v>3500</v>
      </c>
      <c r="H357" s="5">
        <v>6.9099999999999995E-2</v>
      </c>
      <c r="I357" s="2">
        <v>12</v>
      </c>
      <c r="J357" s="2" t="s">
        <v>94</v>
      </c>
      <c r="K357" s="2" t="s">
        <v>17</v>
      </c>
      <c r="L357" s="3">
        <v>46109</v>
      </c>
    </row>
    <row r="358" spans="1:12">
      <c r="A358" s="2" t="s">
        <v>699</v>
      </c>
      <c r="B358" s="3">
        <v>46102</v>
      </c>
      <c r="C358" s="2" t="s">
        <v>183</v>
      </c>
      <c r="D358" s="2" t="s">
        <v>14</v>
      </c>
      <c r="E358" s="2" t="s">
        <v>15</v>
      </c>
      <c r="F358" s="2" t="s">
        <v>3</v>
      </c>
      <c r="G358" s="4">
        <v>16300</v>
      </c>
      <c r="H358" s="5">
        <v>6.9500000000000006E-2</v>
      </c>
      <c r="I358" s="2">
        <v>48</v>
      </c>
      <c r="J358" s="2" t="s">
        <v>48</v>
      </c>
      <c r="K358" s="2" t="s">
        <v>17</v>
      </c>
      <c r="L358" s="3">
        <v>46107</v>
      </c>
    </row>
    <row r="359" spans="1:12">
      <c r="A359" s="2" t="s">
        <v>700</v>
      </c>
      <c r="B359" s="3">
        <v>46102</v>
      </c>
      <c r="C359" s="2" t="s">
        <v>701</v>
      </c>
      <c r="D359" s="2" t="s">
        <v>20</v>
      </c>
      <c r="E359" s="2" t="s">
        <v>15</v>
      </c>
      <c r="F359" s="2" t="s">
        <v>3</v>
      </c>
      <c r="G359" s="4">
        <v>24000</v>
      </c>
      <c r="H359" s="5">
        <v>5.6300000000000003E-2</v>
      </c>
      <c r="I359" s="2">
        <v>48</v>
      </c>
      <c r="J359" s="2" t="s">
        <v>22</v>
      </c>
      <c r="K359" s="2" t="s">
        <v>45</v>
      </c>
      <c r="L359" s="3">
        <v>46105</v>
      </c>
    </row>
    <row r="360" spans="1:12">
      <c r="A360" s="2" t="s">
        <v>702</v>
      </c>
      <c r="B360" s="3">
        <v>46102</v>
      </c>
      <c r="C360" s="2" t="s">
        <v>443</v>
      </c>
      <c r="D360" s="2" t="s">
        <v>14</v>
      </c>
      <c r="E360" s="2" t="s">
        <v>87</v>
      </c>
      <c r="F360" s="2" t="s">
        <v>31</v>
      </c>
      <c r="G360" s="4">
        <v>17700</v>
      </c>
      <c r="H360" s="5">
        <v>5.9700000000000003E-2</v>
      </c>
      <c r="I360" s="2">
        <v>36</v>
      </c>
      <c r="J360" s="2" t="s">
        <v>40</v>
      </c>
      <c r="K360" s="2" t="s">
        <v>17</v>
      </c>
      <c r="L360" s="3">
        <v>46102</v>
      </c>
    </row>
    <row r="361" spans="1:12">
      <c r="A361" s="2" t="s">
        <v>703</v>
      </c>
      <c r="B361" s="3">
        <v>46102</v>
      </c>
      <c r="C361" s="2" t="s">
        <v>704</v>
      </c>
      <c r="D361" s="2" t="s">
        <v>25</v>
      </c>
      <c r="E361" s="2" t="s">
        <v>15</v>
      </c>
      <c r="F361" s="2" t="s">
        <v>31</v>
      </c>
      <c r="G361" s="4">
        <v>19300</v>
      </c>
      <c r="H361" s="5">
        <v>6.88E-2</v>
      </c>
      <c r="I361" s="2">
        <v>12</v>
      </c>
      <c r="J361" s="2" t="s">
        <v>26</v>
      </c>
      <c r="K361" s="2" t="s">
        <v>17</v>
      </c>
      <c r="L361" s="3">
        <v>46105</v>
      </c>
    </row>
    <row r="362" spans="1:12">
      <c r="A362" s="2" t="s">
        <v>705</v>
      </c>
      <c r="B362" s="3">
        <v>46102</v>
      </c>
      <c r="C362" s="2" t="s">
        <v>706</v>
      </c>
      <c r="D362" s="2" t="s">
        <v>54</v>
      </c>
      <c r="E362" s="2" t="s">
        <v>15</v>
      </c>
      <c r="F362" s="2" t="s">
        <v>3</v>
      </c>
      <c r="G362" s="4">
        <v>25000</v>
      </c>
      <c r="H362" s="5">
        <v>5.8200000000000002E-2</v>
      </c>
      <c r="I362" s="2">
        <v>60</v>
      </c>
      <c r="J362" s="2" t="s">
        <v>56</v>
      </c>
      <c r="K362" s="2" t="s">
        <v>17</v>
      </c>
      <c r="L362" s="3">
        <v>46106</v>
      </c>
    </row>
    <row r="363" spans="1:12">
      <c r="A363" s="2" t="s">
        <v>707</v>
      </c>
      <c r="B363" s="3">
        <v>46102</v>
      </c>
      <c r="C363" s="2" t="s">
        <v>354</v>
      </c>
      <c r="D363" s="2" t="s">
        <v>25</v>
      </c>
      <c r="E363" s="2" t="s">
        <v>43</v>
      </c>
      <c r="F363" s="2" t="s">
        <v>55</v>
      </c>
      <c r="G363" s="4">
        <v>135100</v>
      </c>
      <c r="H363" s="5">
        <v>5.8500000000000003E-2</v>
      </c>
      <c r="I363" s="2">
        <v>24</v>
      </c>
      <c r="J363" s="2" t="s">
        <v>26</v>
      </c>
      <c r="K363" s="2" t="s">
        <v>17</v>
      </c>
      <c r="L363" s="3">
        <v>46123</v>
      </c>
    </row>
    <row r="364" spans="1:12">
      <c r="A364" s="2" t="s">
        <v>708</v>
      </c>
      <c r="B364" s="3">
        <v>46102</v>
      </c>
      <c r="C364" s="2" t="s">
        <v>709</v>
      </c>
      <c r="D364" s="2" t="s">
        <v>20</v>
      </c>
      <c r="E364" s="2" t="s">
        <v>15</v>
      </c>
      <c r="F364" s="2" t="s">
        <v>3</v>
      </c>
      <c r="G364" s="4">
        <v>22600</v>
      </c>
      <c r="H364" s="5">
        <v>6.0499999999999998E-2</v>
      </c>
      <c r="I364" s="2">
        <v>48</v>
      </c>
      <c r="J364" s="2" t="s">
        <v>44</v>
      </c>
      <c r="K364" s="2" t="s">
        <v>17</v>
      </c>
      <c r="L364" s="3">
        <v>46109</v>
      </c>
    </row>
    <row r="365" spans="1:12">
      <c r="A365" s="2" t="s">
        <v>710</v>
      </c>
      <c r="B365" s="3">
        <v>46102</v>
      </c>
      <c r="C365" s="2" t="s">
        <v>447</v>
      </c>
      <c r="D365" s="2" t="s">
        <v>25</v>
      </c>
      <c r="E365" s="2" t="s">
        <v>15</v>
      </c>
      <c r="F365" s="2" t="s">
        <v>3</v>
      </c>
      <c r="G365" s="4">
        <v>20700</v>
      </c>
      <c r="H365" s="5">
        <v>5.8299999999999998E-2</v>
      </c>
      <c r="I365" s="2">
        <v>48</v>
      </c>
      <c r="J365" s="2" t="s">
        <v>26</v>
      </c>
      <c r="K365" s="2" t="s">
        <v>17</v>
      </c>
      <c r="L365" s="3">
        <v>46108</v>
      </c>
    </row>
    <row r="366" spans="1:12">
      <c r="A366" s="2" t="s">
        <v>711</v>
      </c>
      <c r="B366" s="3">
        <v>46103</v>
      </c>
      <c r="C366" s="2" t="s">
        <v>82</v>
      </c>
      <c r="D366" s="2" t="s">
        <v>25</v>
      </c>
      <c r="E366" s="2" t="s">
        <v>15</v>
      </c>
      <c r="F366" s="2" t="s">
        <v>31</v>
      </c>
      <c r="G366" s="4">
        <v>12200</v>
      </c>
      <c r="H366" s="5">
        <v>6.0999999999999999E-2</v>
      </c>
      <c r="I366" s="2">
        <v>60</v>
      </c>
      <c r="J366" s="2" t="s">
        <v>66</v>
      </c>
      <c r="K366" s="2" t="s">
        <v>45</v>
      </c>
      <c r="L366" s="3">
        <v>46104</v>
      </c>
    </row>
    <row r="367" spans="1:12">
      <c r="A367" s="2" t="s">
        <v>712</v>
      </c>
      <c r="B367" s="3">
        <v>46103</v>
      </c>
      <c r="C367" s="2" t="s">
        <v>713</v>
      </c>
      <c r="D367" s="2" t="s">
        <v>14</v>
      </c>
      <c r="E367" s="2" t="s">
        <v>15</v>
      </c>
      <c r="F367" s="2" t="s">
        <v>3</v>
      </c>
      <c r="G367" s="4">
        <v>18600</v>
      </c>
      <c r="H367" s="5">
        <v>5.67E-2</v>
      </c>
      <c r="I367" s="2">
        <v>36</v>
      </c>
      <c r="J367" s="2" t="s">
        <v>48</v>
      </c>
      <c r="K367" s="2" t="s">
        <v>17</v>
      </c>
      <c r="L367" s="3">
        <v>46104</v>
      </c>
    </row>
    <row r="368" spans="1:12">
      <c r="A368" s="2" t="s">
        <v>714</v>
      </c>
      <c r="B368" s="3">
        <v>46103</v>
      </c>
      <c r="C368" s="2" t="s">
        <v>715</v>
      </c>
      <c r="D368" s="2" t="s">
        <v>14</v>
      </c>
      <c r="E368" s="2" t="s">
        <v>30</v>
      </c>
      <c r="F368" s="2" t="s">
        <v>3</v>
      </c>
      <c r="G368" s="4">
        <v>19100</v>
      </c>
      <c r="H368" s="5">
        <v>3.6799999999999999E-2</v>
      </c>
      <c r="I368" s="2">
        <v>48</v>
      </c>
      <c r="J368" s="2" t="s">
        <v>48</v>
      </c>
      <c r="K368" s="2" t="s">
        <v>17</v>
      </c>
      <c r="L368" s="3">
        <v>46108</v>
      </c>
    </row>
    <row r="369" spans="1:12">
      <c r="A369" s="2" t="s">
        <v>714</v>
      </c>
      <c r="B369" s="3">
        <v>46103</v>
      </c>
      <c r="C369" s="2" t="s">
        <v>715</v>
      </c>
      <c r="D369" s="2" t="s">
        <v>14</v>
      </c>
      <c r="E369" s="2" t="s">
        <v>30</v>
      </c>
      <c r="F369" s="2" t="s">
        <v>3</v>
      </c>
      <c r="G369" s="4">
        <v>19100</v>
      </c>
      <c r="H369" s="5">
        <v>3.6799999999999999E-2</v>
      </c>
      <c r="I369" s="2">
        <v>48</v>
      </c>
      <c r="J369" s="2" t="s">
        <v>48</v>
      </c>
      <c r="K369" s="2" t="s">
        <v>17</v>
      </c>
      <c r="L369" s="3">
        <v>46108</v>
      </c>
    </row>
    <row r="370" spans="1:12">
      <c r="A370" s="2" t="s">
        <v>716</v>
      </c>
      <c r="B370" s="3">
        <v>46103</v>
      </c>
      <c r="C370" s="2" t="s">
        <v>717</v>
      </c>
      <c r="D370" s="2" t="s">
        <v>20</v>
      </c>
      <c r="E370" s="2" t="s">
        <v>21</v>
      </c>
      <c r="F370" s="2" t="s">
        <v>3</v>
      </c>
      <c r="G370" s="4">
        <v>67800</v>
      </c>
      <c r="H370" s="5">
        <v>4.2099999999999999E-2</v>
      </c>
      <c r="I370" s="2">
        <v>240</v>
      </c>
      <c r="J370" s="2" t="s">
        <v>22</v>
      </c>
      <c r="K370" s="2" t="s">
        <v>17</v>
      </c>
      <c r="L370" s="3">
        <v>46122</v>
      </c>
    </row>
    <row r="371" spans="1:12">
      <c r="A371" s="2" t="s">
        <v>718</v>
      </c>
      <c r="B371" s="3">
        <v>46103</v>
      </c>
      <c r="C371" s="2" t="s">
        <v>180</v>
      </c>
      <c r="D371" s="2" t="s">
        <v>14</v>
      </c>
      <c r="E371" s="2" t="s">
        <v>21</v>
      </c>
      <c r="F371" s="2" t="s">
        <v>3</v>
      </c>
      <c r="G371" s="4">
        <v>201200</v>
      </c>
      <c r="H371" s="5">
        <v>3.3700000000000001E-2</v>
      </c>
      <c r="I371" s="2">
        <v>300</v>
      </c>
      <c r="J371" s="2" t="s">
        <v>16</v>
      </c>
      <c r="K371" s="2" t="s">
        <v>45</v>
      </c>
      <c r="L371" s="3">
        <v>46128</v>
      </c>
    </row>
    <row r="372" spans="1:12">
      <c r="A372" s="2" t="s">
        <v>719</v>
      </c>
      <c r="B372" s="3">
        <v>46103</v>
      </c>
      <c r="C372" s="2" t="s">
        <v>720</v>
      </c>
      <c r="D372" s="2" t="s">
        <v>14</v>
      </c>
      <c r="E372" s="2" t="s">
        <v>30</v>
      </c>
      <c r="F372" s="2" t="s">
        <v>3</v>
      </c>
      <c r="G372" s="4">
        <v>6600</v>
      </c>
      <c r="H372" s="5">
        <v>4.19E-2</v>
      </c>
      <c r="I372" s="2">
        <v>60</v>
      </c>
      <c r="J372" s="2" t="s">
        <v>48</v>
      </c>
      <c r="K372" s="2" t="s">
        <v>17</v>
      </c>
      <c r="L372" s="3">
        <v>46106</v>
      </c>
    </row>
    <row r="373" spans="1:12">
      <c r="A373" s="2" t="s">
        <v>721</v>
      </c>
      <c r="B373" s="3">
        <v>46104</v>
      </c>
      <c r="C373" s="2" t="s">
        <v>722</v>
      </c>
      <c r="D373" s="2" t="s">
        <v>29</v>
      </c>
      <c r="E373" s="2" t="s">
        <v>15</v>
      </c>
      <c r="F373" s="2" t="s">
        <v>3</v>
      </c>
      <c r="G373" s="4">
        <v>5500</v>
      </c>
      <c r="H373" s="5">
        <v>5.9900000000000002E-2</v>
      </c>
      <c r="I373" s="2">
        <v>60</v>
      </c>
      <c r="J373" s="2" t="s">
        <v>32</v>
      </c>
      <c r="K373" s="2" t="s">
        <v>45</v>
      </c>
      <c r="L373" s="3">
        <v>46111</v>
      </c>
    </row>
    <row r="374" spans="1:12">
      <c r="A374" s="2" t="s">
        <v>723</v>
      </c>
      <c r="B374" s="3">
        <v>46104</v>
      </c>
      <c r="C374" s="2" t="s">
        <v>724</v>
      </c>
      <c r="D374" s="2" t="s">
        <v>29</v>
      </c>
      <c r="E374" s="2" t="s">
        <v>15</v>
      </c>
      <c r="F374" s="2" t="s">
        <v>55</v>
      </c>
      <c r="G374" s="4">
        <v>19500</v>
      </c>
      <c r="H374" s="5">
        <v>6.0900000000000003E-2</v>
      </c>
      <c r="I374" s="2">
        <v>60</v>
      </c>
      <c r="J374" s="2" t="s">
        <v>61</v>
      </c>
      <c r="K374" s="2" t="s">
        <v>17</v>
      </c>
      <c r="L374" s="3">
        <v>46105</v>
      </c>
    </row>
    <row r="375" spans="1:12">
      <c r="A375" s="2" t="s">
        <v>725</v>
      </c>
      <c r="B375" s="3">
        <v>46104</v>
      </c>
      <c r="C375" s="2" t="s">
        <v>726</v>
      </c>
      <c r="D375" s="2" t="s">
        <v>14</v>
      </c>
      <c r="E375" s="2" t="s">
        <v>15</v>
      </c>
      <c r="F375" s="2" t="s">
        <v>3</v>
      </c>
      <c r="G375" s="2" t="s">
        <v>727</v>
      </c>
      <c r="H375" s="5">
        <v>5.5500000000000001E-2</v>
      </c>
      <c r="I375" s="2">
        <v>36</v>
      </c>
      <c r="J375" s="2" t="s">
        <v>40</v>
      </c>
      <c r="K375" s="2" t="s">
        <v>17</v>
      </c>
      <c r="L375" s="3">
        <v>46106</v>
      </c>
    </row>
    <row r="376" spans="1:12">
      <c r="A376" s="2" t="s">
        <v>728</v>
      </c>
      <c r="B376" s="3">
        <v>46104</v>
      </c>
      <c r="C376" s="2" t="s">
        <v>729</v>
      </c>
      <c r="D376" s="2" t="s">
        <v>14</v>
      </c>
      <c r="E376" s="2" t="s">
        <v>43</v>
      </c>
      <c r="F376" s="2" t="s">
        <v>3</v>
      </c>
      <c r="G376" s="4">
        <v>80100</v>
      </c>
      <c r="H376" s="5">
        <v>7.4300000000000005E-2</v>
      </c>
      <c r="I376" s="2">
        <v>84</v>
      </c>
      <c r="J376" s="2" t="s">
        <v>48</v>
      </c>
      <c r="K376" s="2" t="s">
        <v>45</v>
      </c>
      <c r="L376" s="3">
        <v>46117</v>
      </c>
    </row>
    <row r="377" spans="1:12">
      <c r="A377" s="2" t="s">
        <v>730</v>
      </c>
      <c r="B377" s="3">
        <v>46104</v>
      </c>
      <c r="C377" s="2" t="s">
        <v>696</v>
      </c>
      <c r="D377" s="2" t="s">
        <v>20</v>
      </c>
      <c r="E377" s="2" t="s">
        <v>15</v>
      </c>
      <c r="F377" s="2" t="s">
        <v>3</v>
      </c>
      <c r="G377" s="4">
        <v>16800</v>
      </c>
      <c r="H377" s="5">
        <v>5.04E-2</v>
      </c>
      <c r="I377" s="2">
        <v>12</v>
      </c>
      <c r="J377" s="2" t="s">
        <v>44</v>
      </c>
      <c r="K377" s="2" t="s">
        <v>17</v>
      </c>
      <c r="L377" s="3">
        <v>46109</v>
      </c>
    </row>
    <row r="378" spans="1:12">
      <c r="A378" s="2" t="s">
        <v>731</v>
      </c>
      <c r="B378" s="3">
        <v>46104</v>
      </c>
      <c r="C378" s="2" t="s">
        <v>732</v>
      </c>
      <c r="D378" s="2" t="s">
        <v>54</v>
      </c>
      <c r="E378" s="2" t="s">
        <v>21</v>
      </c>
      <c r="F378" s="2" t="s">
        <v>55</v>
      </c>
      <c r="G378" s="4">
        <v>151600</v>
      </c>
      <c r="H378" s="5">
        <v>3.5799999999999998E-2</v>
      </c>
      <c r="I378" s="2">
        <v>240</v>
      </c>
      <c r="J378" s="2" t="s">
        <v>186</v>
      </c>
      <c r="K378" s="2" t="s">
        <v>17</v>
      </c>
      <c r="L378" s="3">
        <v>46130</v>
      </c>
    </row>
    <row r="379" spans="1:12">
      <c r="A379" s="2" t="s">
        <v>733</v>
      </c>
      <c r="B379" s="3">
        <v>46105</v>
      </c>
      <c r="C379" s="2" t="s">
        <v>734</v>
      </c>
      <c r="D379" s="2" t="s">
        <v>25</v>
      </c>
      <c r="E379" s="2" t="s">
        <v>30</v>
      </c>
      <c r="F379" s="2" t="s">
        <v>55</v>
      </c>
      <c r="G379" s="4">
        <v>5300</v>
      </c>
      <c r="H379" s="5">
        <v>3.61E-2</v>
      </c>
      <c r="I379" s="2">
        <v>48</v>
      </c>
      <c r="J379" s="2" t="s">
        <v>181</v>
      </c>
      <c r="K379" s="2" t="s">
        <v>17</v>
      </c>
      <c r="L379" s="3">
        <v>46106</v>
      </c>
    </row>
    <row r="380" spans="1:12">
      <c r="A380" s="2" t="s">
        <v>735</v>
      </c>
      <c r="B380" s="3">
        <v>46105</v>
      </c>
      <c r="C380" s="2" t="s">
        <v>736</v>
      </c>
      <c r="D380" s="2" t="s">
        <v>29</v>
      </c>
      <c r="E380" s="2" t="s">
        <v>15</v>
      </c>
      <c r="F380" s="2" t="s">
        <v>55</v>
      </c>
      <c r="G380" s="4">
        <v>6500</v>
      </c>
      <c r="H380" s="5">
        <v>6.2600000000000003E-2</v>
      </c>
      <c r="I380" s="2">
        <v>60</v>
      </c>
      <c r="J380" s="2" t="s">
        <v>61</v>
      </c>
      <c r="K380" s="2" t="s">
        <v>45</v>
      </c>
      <c r="L380" s="3">
        <v>46109</v>
      </c>
    </row>
    <row r="381" spans="1:12">
      <c r="A381" s="2" t="s">
        <v>737</v>
      </c>
      <c r="B381" s="3">
        <v>46105</v>
      </c>
      <c r="C381" s="2" t="s">
        <v>738</v>
      </c>
      <c r="D381" s="2" t="s">
        <v>29</v>
      </c>
      <c r="E381" s="2" t="s">
        <v>30</v>
      </c>
      <c r="F381" s="2" t="s">
        <v>31</v>
      </c>
      <c r="G381" s="4">
        <v>6500</v>
      </c>
      <c r="H381" s="5">
        <v>4.6800000000000001E-2</v>
      </c>
      <c r="I381" s="2">
        <v>36</v>
      </c>
      <c r="J381" s="2" t="s">
        <v>61</v>
      </c>
      <c r="K381" s="2" t="s">
        <v>45</v>
      </c>
      <c r="L381" s="3">
        <v>46106</v>
      </c>
    </row>
    <row r="382" spans="1:12">
      <c r="A382" s="2" t="s">
        <v>739</v>
      </c>
      <c r="B382" s="3">
        <v>46105</v>
      </c>
      <c r="C382" s="2" t="s">
        <v>740</v>
      </c>
      <c r="D382" s="2" t="s">
        <v>20</v>
      </c>
      <c r="E382" s="2" t="s">
        <v>21</v>
      </c>
      <c r="F382" s="2" t="s">
        <v>3</v>
      </c>
      <c r="G382" s="4">
        <v>150400</v>
      </c>
      <c r="H382" s="5">
        <v>3.5400000000000001E-2</v>
      </c>
      <c r="I382" s="2">
        <v>240</v>
      </c>
      <c r="J382" s="2" t="s">
        <v>22</v>
      </c>
      <c r="K382" s="2" t="s">
        <v>45</v>
      </c>
      <c r="L382" s="3">
        <v>46127</v>
      </c>
    </row>
    <row r="383" spans="1:12">
      <c r="A383" s="2" t="s">
        <v>741</v>
      </c>
      <c r="B383" s="3">
        <v>46105</v>
      </c>
      <c r="C383" s="2" t="s">
        <v>742</v>
      </c>
      <c r="D383" s="2" t="s">
        <v>14</v>
      </c>
      <c r="E383" s="2" t="s">
        <v>15</v>
      </c>
      <c r="F383" s="2" t="s">
        <v>3</v>
      </c>
      <c r="G383" s="4">
        <v>24400</v>
      </c>
      <c r="H383" s="5">
        <v>5.6300000000000003E-2</v>
      </c>
      <c r="I383" s="2">
        <v>60</v>
      </c>
      <c r="J383" s="2" t="s">
        <v>40</v>
      </c>
      <c r="K383" s="2" t="s">
        <v>17</v>
      </c>
      <c r="L383" s="3">
        <v>46106</v>
      </c>
    </row>
    <row r="384" spans="1:12">
      <c r="A384" s="2" t="s">
        <v>743</v>
      </c>
      <c r="B384" s="3">
        <v>46105</v>
      </c>
      <c r="C384" s="2" t="s">
        <v>744</v>
      </c>
      <c r="D384" s="2" t="s">
        <v>20</v>
      </c>
      <c r="E384" s="2" t="s">
        <v>43</v>
      </c>
      <c r="F384" s="2" t="s">
        <v>31</v>
      </c>
      <c r="G384" s="4">
        <v>68800</v>
      </c>
      <c r="H384" s="5">
        <v>7.1800000000000003E-2</v>
      </c>
      <c r="I384" s="2">
        <v>24</v>
      </c>
      <c r="J384" s="2" t="s">
        <v>44</v>
      </c>
      <c r="K384" s="2" t="s">
        <v>17</v>
      </c>
      <c r="L384" s="3">
        <v>46125</v>
      </c>
    </row>
    <row r="385" spans="1:12">
      <c r="A385" s="2" t="s">
        <v>745</v>
      </c>
      <c r="B385" s="3">
        <v>46106</v>
      </c>
      <c r="C385" s="2" t="s">
        <v>746</v>
      </c>
      <c r="D385" s="2" t="s">
        <v>20</v>
      </c>
      <c r="E385" s="2" t="s">
        <v>15</v>
      </c>
      <c r="F385" s="2" t="s">
        <v>55</v>
      </c>
      <c r="G385" s="4">
        <v>24300</v>
      </c>
      <c r="H385" s="5">
        <v>6.9000000000000006E-2</v>
      </c>
      <c r="I385" s="2">
        <v>12</v>
      </c>
      <c r="J385" s="2" t="s">
        <v>22</v>
      </c>
      <c r="K385" s="2" t="s">
        <v>17</v>
      </c>
      <c r="L385" s="3">
        <v>46113</v>
      </c>
    </row>
    <row r="386" spans="1:12">
      <c r="A386" s="2" t="s">
        <v>747</v>
      </c>
      <c r="B386" s="3">
        <v>46106</v>
      </c>
      <c r="C386" s="2" t="s">
        <v>748</v>
      </c>
      <c r="D386" s="2" t="s">
        <v>20</v>
      </c>
      <c r="E386" s="2" t="s">
        <v>15</v>
      </c>
      <c r="F386" s="2" t="s">
        <v>3</v>
      </c>
      <c r="G386" s="4">
        <v>6900</v>
      </c>
      <c r="H386" s="5">
        <v>5.0099999999999999E-2</v>
      </c>
      <c r="I386" s="2">
        <v>24</v>
      </c>
      <c r="J386" s="2" t="s">
        <v>37</v>
      </c>
      <c r="K386" s="2" t="s">
        <v>17</v>
      </c>
      <c r="L386" s="3">
        <v>46113</v>
      </c>
    </row>
    <row r="387" spans="1:12">
      <c r="A387" s="2" t="s">
        <v>749</v>
      </c>
      <c r="B387" s="3">
        <v>46106</v>
      </c>
      <c r="C387" s="2" t="s">
        <v>439</v>
      </c>
      <c r="D387" s="2" t="s">
        <v>20</v>
      </c>
      <c r="E387" s="2" t="s">
        <v>15</v>
      </c>
      <c r="F387" s="2" t="s">
        <v>3</v>
      </c>
      <c r="G387" s="4">
        <v>7600</v>
      </c>
      <c r="H387" s="5">
        <v>5.6800000000000003E-2</v>
      </c>
      <c r="I387" s="2">
        <v>48</v>
      </c>
      <c r="J387" s="2" t="s">
        <v>37</v>
      </c>
      <c r="K387" s="2" t="s">
        <v>17</v>
      </c>
      <c r="L387" s="3">
        <v>46110</v>
      </c>
    </row>
    <row r="388" spans="1:12">
      <c r="A388" s="2" t="s">
        <v>750</v>
      </c>
      <c r="B388" s="3">
        <v>46106</v>
      </c>
      <c r="C388" s="2" t="s">
        <v>751</v>
      </c>
      <c r="D388" s="2" t="s">
        <v>29</v>
      </c>
      <c r="E388" s="2" t="s">
        <v>21</v>
      </c>
      <c r="F388" s="2" t="s">
        <v>31</v>
      </c>
      <c r="G388" s="4">
        <v>232900</v>
      </c>
      <c r="H388" s="5">
        <v>3.2000000000000001E-2</v>
      </c>
      <c r="I388" s="2">
        <v>120</v>
      </c>
      <c r="J388" s="2" t="s">
        <v>61</v>
      </c>
      <c r="K388" s="2" t="s">
        <v>17</v>
      </c>
      <c r="L388" s="3">
        <v>46116</v>
      </c>
    </row>
    <row r="389" spans="1:12">
      <c r="A389" s="2" t="s">
        <v>752</v>
      </c>
      <c r="B389" s="3">
        <v>46106</v>
      </c>
      <c r="C389" s="2" t="s">
        <v>753</v>
      </c>
      <c r="D389" s="2" t="s">
        <v>20</v>
      </c>
      <c r="E389" s="2" t="s">
        <v>30</v>
      </c>
      <c r="F389" s="2" t="s">
        <v>55</v>
      </c>
      <c r="G389" s="4">
        <v>4800</v>
      </c>
      <c r="H389" s="5">
        <v>4.0399999999999998E-2</v>
      </c>
      <c r="I389" s="2">
        <v>48</v>
      </c>
      <c r="J389" s="2" t="s">
        <v>37</v>
      </c>
      <c r="K389" s="2" t="s">
        <v>17</v>
      </c>
      <c r="L389" s="3">
        <v>46109</v>
      </c>
    </row>
    <row r="390" spans="1:12">
      <c r="A390" s="2" t="s">
        <v>754</v>
      </c>
      <c r="B390" s="3">
        <v>46106</v>
      </c>
      <c r="C390" s="2" t="s">
        <v>755</v>
      </c>
      <c r="D390" s="2" t="s">
        <v>25</v>
      </c>
      <c r="E390" s="2" t="s">
        <v>30</v>
      </c>
      <c r="F390" s="2" t="s">
        <v>3</v>
      </c>
      <c r="G390" s="4">
        <v>12100</v>
      </c>
      <c r="H390" s="5">
        <v>3.95E-2</v>
      </c>
      <c r="I390" s="2">
        <v>48</v>
      </c>
      <c r="J390" s="2" t="s">
        <v>66</v>
      </c>
      <c r="K390" s="2" t="s">
        <v>17</v>
      </c>
      <c r="L390" s="3">
        <v>46109</v>
      </c>
    </row>
    <row r="391" spans="1:12">
      <c r="A391" s="2" t="s">
        <v>756</v>
      </c>
      <c r="B391" s="3">
        <v>46106</v>
      </c>
      <c r="C391" s="2" t="s">
        <v>627</v>
      </c>
      <c r="D391" s="2" t="s">
        <v>20</v>
      </c>
      <c r="E391" s="2" t="s">
        <v>15</v>
      </c>
      <c r="F391" s="2" t="s">
        <v>3</v>
      </c>
      <c r="G391" s="4">
        <v>3200</v>
      </c>
      <c r="H391" s="5">
        <v>6.4399999999999999E-2</v>
      </c>
      <c r="I391" s="2">
        <v>24</v>
      </c>
      <c r="J391" s="2" t="s">
        <v>22</v>
      </c>
      <c r="K391" s="2" t="s">
        <v>17</v>
      </c>
      <c r="L391" s="3">
        <v>46109</v>
      </c>
    </row>
    <row r="392" spans="1:12">
      <c r="A392" s="2" t="s">
        <v>757</v>
      </c>
      <c r="B392" s="3">
        <v>46107</v>
      </c>
      <c r="C392" s="2" t="s">
        <v>758</v>
      </c>
      <c r="D392" s="2" t="s">
        <v>14</v>
      </c>
      <c r="E392" s="2" t="s">
        <v>30</v>
      </c>
      <c r="F392" s="2" t="s">
        <v>3</v>
      </c>
      <c r="G392" s="4">
        <v>7400</v>
      </c>
      <c r="H392" s="5">
        <v>4.0300000000000002E-2</v>
      </c>
      <c r="I392" s="2">
        <v>48</v>
      </c>
      <c r="J392" s="2" t="s">
        <v>16</v>
      </c>
      <c r="K392" s="2" t="s">
        <v>17</v>
      </c>
      <c r="L392" s="3">
        <v>46110</v>
      </c>
    </row>
    <row r="393" spans="1:12">
      <c r="A393" s="2" t="s">
        <v>759</v>
      </c>
      <c r="B393" s="3">
        <v>46107</v>
      </c>
      <c r="C393" s="2" t="s">
        <v>760</v>
      </c>
      <c r="D393" s="2" t="s">
        <v>14</v>
      </c>
      <c r="E393" s="2" t="s">
        <v>21</v>
      </c>
      <c r="F393" s="2" t="s">
        <v>31</v>
      </c>
      <c r="G393" s="4">
        <v>127300</v>
      </c>
      <c r="H393" s="5">
        <v>3.5299999999999998E-2</v>
      </c>
      <c r="I393" s="2">
        <v>300</v>
      </c>
      <c r="J393" s="2" t="s">
        <v>48</v>
      </c>
      <c r="K393" s="2" t="s">
        <v>17</v>
      </c>
      <c r="L393" s="3">
        <v>46129</v>
      </c>
    </row>
    <row r="394" spans="1:12">
      <c r="A394" s="2" t="s">
        <v>761</v>
      </c>
      <c r="B394" s="3">
        <v>46107</v>
      </c>
      <c r="C394" s="2" t="s">
        <v>762</v>
      </c>
      <c r="D394" s="2" t="s">
        <v>25</v>
      </c>
      <c r="E394" s="2" t="s">
        <v>30</v>
      </c>
      <c r="F394" s="2" t="s">
        <v>3</v>
      </c>
      <c r="G394" s="4">
        <v>10700</v>
      </c>
      <c r="H394" s="5">
        <v>4.5600000000000002E-2</v>
      </c>
      <c r="I394" s="2">
        <v>48</v>
      </c>
      <c r="J394" s="2" t="s">
        <v>26</v>
      </c>
      <c r="K394" s="2" t="s">
        <v>17</v>
      </c>
      <c r="L394" s="3">
        <v>46111</v>
      </c>
    </row>
    <row r="395" spans="1:12">
      <c r="A395" s="2" t="s">
        <v>763</v>
      </c>
      <c r="B395" s="3">
        <v>46108</v>
      </c>
      <c r="C395" s="2" t="s">
        <v>445</v>
      </c>
      <c r="D395" s="2" t="s">
        <v>14</v>
      </c>
      <c r="E395" s="2" t="s">
        <v>15</v>
      </c>
      <c r="F395" s="2" t="s">
        <v>55</v>
      </c>
      <c r="G395" s="4">
        <v>22100</v>
      </c>
      <c r="H395" s="5">
        <v>6.2300000000000001E-2</v>
      </c>
      <c r="I395" s="2">
        <v>24</v>
      </c>
      <c r="J395" s="2" t="s">
        <v>40</v>
      </c>
      <c r="K395" s="2" t="s">
        <v>17</v>
      </c>
      <c r="L395" s="3">
        <v>46112</v>
      </c>
    </row>
    <row r="396" spans="1:12">
      <c r="A396" s="2" t="s">
        <v>764</v>
      </c>
      <c r="B396" s="3">
        <v>46108</v>
      </c>
      <c r="C396" s="2" t="s">
        <v>765</v>
      </c>
      <c r="D396" s="2" t="s">
        <v>14</v>
      </c>
      <c r="E396" s="2" t="s">
        <v>43</v>
      </c>
      <c r="F396" s="2" t="s">
        <v>3</v>
      </c>
      <c r="G396" s="4">
        <v>29800</v>
      </c>
      <c r="H396" s="5">
        <v>6.9500000000000006E-2</v>
      </c>
      <c r="I396" s="2">
        <v>84</v>
      </c>
      <c r="J396" s="2" t="s">
        <v>16</v>
      </c>
      <c r="K396" s="2" t="s">
        <v>17</v>
      </c>
      <c r="L396" s="3">
        <v>46126</v>
      </c>
    </row>
    <row r="397" spans="1:12">
      <c r="A397" s="2" t="s">
        <v>766</v>
      </c>
      <c r="B397" s="3">
        <v>46108</v>
      </c>
      <c r="C397" s="2" t="s">
        <v>767</v>
      </c>
      <c r="D397" s="2" t="s">
        <v>20</v>
      </c>
      <c r="E397" s="2" t="s">
        <v>21</v>
      </c>
      <c r="F397" s="2" t="s">
        <v>31</v>
      </c>
      <c r="G397" s="4">
        <v>246900</v>
      </c>
      <c r="H397" s="5">
        <v>3.5499999999999997E-2</v>
      </c>
      <c r="I397" s="2">
        <v>180</v>
      </c>
      <c r="J397" s="2" t="s">
        <v>37</v>
      </c>
      <c r="K397" s="2" t="s">
        <v>45</v>
      </c>
      <c r="L397" s="3">
        <v>46118</v>
      </c>
    </row>
    <row r="398" spans="1:12">
      <c r="A398" s="2" t="s">
        <v>768</v>
      </c>
      <c r="B398" s="3">
        <v>46108</v>
      </c>
      <c r="C398" s="2" t="s">
        <v>769</v>
      </c>
      <c r="D398" s="2" t="s">
        <v>29</v>
      </c>
      <c r="E398" s="2" t="s">
        <v>15</v>
      </c>
      <c r="F398" s="2" t="s">
        <v>3</v>
      </c>
      <c r="G398" s="4">
        <v>11600</v>
      </c>
      <c r="H398" s="5">
        <v>5.9400000000000001E-2</v>
      </c>
      <c r="I398" s="2">
        <v>60</v>
      </c>
      <c r="J398" s="2" t="s">
        <v>32</v>
      </c>
      <c r="K398" s="2" t="s">
        <v>17</v>
      </c>
      <c r="L398" s="3">
        <v>46109</v>
      </c>
    </row>
    <row r="399" spans="1:12">
      <c r="A399" s="2" t="s">
        <v>770</v>
      </c>
      <c r="B399" s="3">
        <v>46108</v>
      </c>
      <c r="C399" s="2" t="s">
        <v>771</v>
      </c>
      <c r="D399" s="2" t="s">
        <v>14</v>
      </c>
      <c r="E399" s="2" t="s">
        <v>43</v>
      </c>
      <c r="F399" s="2" t="s">
        <v>3</v>
      </c>
      <c r="G399" s="4">
        <v>83900</v>
      </c>
      <c r="H399" s="5">
        <v>6.6299999999999998E-2</v>
      </c>
      <c r="I399" s="2">
        <v>84</v>
      </c>
      <c r="J399" s="2" t="s">
        <v>48</v>
      </c>
      <c r="K399" s="2" t="s">
        <v>45</v>
      </c>
      <c r="L399" s="3">
        <v>46129</v>
      </c>
    </row>
    <row r="400" spans="1:12">
      <c r="A400" s="2" t="s">
        <v>772</v>
      </c>
      <c r="B400" s="3">
        <v>46108</v>
      </c>
      <c r="C400" s="2" t="s">
        <v>773</v>
      </c>
      <c r="D400" s="2" t="s">
        <v>54</v>
      </c>
      <c r="E400" s="2" t="s">
        <v>30</v>
      </c>
      <c r="F400" s="2" t="s">
        <v>31</v>
      </c>
      <c r="G400" s="4">
        <v>14600</v>
      </c>
      <c r="H400" s="5">
        <v>4.6300000000000001E-2</v>
      </c>
      <c r="I400" s="2">
        <v>36</v>
      </c>
      <c r="J400" s="2" t="s">
        <v>148</v>
      </c>
      <c r="K400" s="2" t="s">
        <v>17</v>
      </c>
      <c r="L400" s="3">
        <v>46112</v>
      </c>
    </row>
    <row r="401" spans="1:12">
      <c r="A401" s="2" t="s">
        <v>774</v>
      </c>
      <c r="B401" s="3">
        <v>46108</v>
      </c>
      <c r="C401" s="2" t="s">
        <v>596</v>
      </c>
      <c r="D401" s="2" t="s">
        <v>25</v>
      </c>
      <c r="E401" s="2" t="s">
        <v>30</v>
      </c>
      <c r="F401" s="2" t="s">
        <v>3</v>
      </c>
      <c r="G401" s="4">
        <v>9300</v>
      </c>
      <c r="H401" s="5">
        <v>3.85E-2</v>
      </c>
      <c r="I401" s="2">
        <v>36</v>
      </c>
      <c r="J401" s="2" t="s">
        <v>181</v>
      </c>
      <c r="K401" s="2" t="s">
        <v>17</v>
      </c>
      <c r="L401" s="3">
        <v>46111</v>
      </c>
    </row>
    <row r="402" spans="1:12">
      <c r="A402" s="2" t="s">
        <v>775</v>
      </c>
      <c r="B402" s="3">
        <v>46108</v>
      </c>
      <c r="C402" s="2" t="s">
        <v>776</v>
      </c>
      <c r="D402" s="2" t="s">
        <v>54</v>
      </c>
      <c r="E402" s="2" t="s">
        <v>21</v>
      </c>
      <c r="F402" s="2" t="s">
        <v>55</v>
      </c>
      <c r="G402" s="4">
        <v>190900</v>
      </c>
      <c r="H402" s="5">
        <v>3.8300000000000001E-2</v>
      </c>
      <c r="I402" s="2">
        <v>300</v>
      </c>
      <c r="J402" s="2" t="s">
        <v>56</v>
      </c>
      <c r="K402" s="2" t="s">
        <v>17</v>
      </c>
      <c r="L402" s="3">
        <v>46128</v>
      </c>
    </row>
    <row r="403" spans="1:12">
      <c r="A403" s="2" t="s">
        <v>777</v>
      </c>
      <c r="B403" s="3">
        <v>46109</v>
      </c>
      <c r="C403" s="2" t="s">
        <v>778</v>
      </c>
      <c r="D403" s="2" t="s">
        <v>54</v>
      </c>
      <c r="E403" s="2" t="s">
        <v>15</v>
      </c>
      <c r="F403" s="2" t="s">
        <v>3</v>
      </c>
      <c r="G403" s="4">
        <v>24500</v>
      </c>
      <c r="H403" s="5">
        <v>6.13E-2</v>
      </c>
      <c r="I403" s="2">
        <v>12</v>
      </c>
      <c r="J403" s="2" t="s">
        <v>148</v>
      </c>
      <c r="K403" s="2" t="s">
        <v>17</v>
      </c>
      <c r="L403" s="3">
        <v>46116</v>
      </c>
    </row>
    <row r="404" spans="1:12">
      <c r="A404" s="2" t="s">
        <v>779</v>
      </c>
      <c r="B404" s="3">
        <v>46109</v>
      </c>
      <c r="C404" s="2" t="s">
        <v>503</v>
      </c>
      <c r="D404" s="2" t="s">
        <v>20</v>
      </c>
      <c r="E404" s="2" t="s">
        <v>43</v>
      </c>
      <c r="F404" s="2" t="s">
        <v>3</v>
      </c>
      <c r="G404" s="4">
        <v>39000</v>
      </c>
      <c r="H404" s="5">
        <v>7.5999999999999998E-2</v>
      </c>
      <c r="I404" s="2">
        <v>84</v>
      </c>
      <c r="J404" s="2" t="s">
        <v>44</v>
      </c>
      <c r="K404" s="2" t="s">
        <v>17</v>
      </c>
      <c r="L404" s="3">
        <v>46128</v>
      </c>
    </row>
    <row r="405" spans="1:12">
      <c r="A405" s="2" t="s">
        <v>780</v>
      </c>
      <c r="B405" s="3">
        <v>46109</v>
      </c>
      <c r="C405" s="2" t="s">
        <v>640</v>
      </c>
      <c r="D405" s="2" t="s">
        <v>54</v>
      </c>
      <c r="E405" s="2" t="s">
        <v>43</v>
      </c>
      <c r="F405" s="2" t="s">
        <v>3</v>
      </c>
      <c r="G405" s="2" t="s">
        <v>781</v>
      </c>
      <c r="H405" s="5">
        <v>6.4399999999999999E-2</v>
      </c>
      <c r="I405" s="2">
        <v>60</v>
      </c>
      <c r="J405" s="2" t="s">
        <v>56</v>
      </c>
      <c r="K405" s="2" t="s">
        <v>17</v>
      </c>
      <c r="L405" s="3">
        <v>46124</v>
      </c>
    </row>
    <row r="406" spans="1:12">
      <c r="A406" s="2" t="s">
        <v>782</v>
      </c>
      <c r="B406" s="3">
        <v>46109</v>
      </c>
      <c r="C406" s="2" t="s">
        <v>783</v>
      </c>
      <c r="D406" s="2" t="s">
        <v>54</v>
      </c>
      <c r="E406" s="2" t="s">
        <v>15</v>
      </c>
      <c r="F406" s="2" t="s">
        <v>31</v>
      </c>
      <c r="G406" s="4">
        <v>17100</v>
      </c>
      <c r="H406" s="5">
        <v>6.2799999999999995E-2</v>
      </c>
      <c r="I406" s="2">
        <v>24</v>
      </c>
      <c r="J406" s="2" t="s">
        <v>186</v>
      </c>
      <c r="K406" s="2" t="s">
        <v>17</v>
      </c>
      <c r="L406" s="3">
        <v>46116</v>
      </c>
    </row>
    <row r="407" spans="1:12">
      <c r="A407" s="2" t="s">
        <v>784</v>
      </c>
      <c r="B407" s="3">
        <v>46109</v>
      </c>
      <c r="C407" s="2" t="s">
        <v>139</v>
      </c>
      <c r="D407" s="2" t="s">
        <v>14</v>
      </c>
      <c r="E407" s="2" t="s">
        <v>21</v>
      </c>
      <c r="F407" s="2" t="s">
        <v>31</v>
      </c>
      <c r="G407" s="4">
        <v>134100</v>
      </c>
      <c r="H407" s="5">
        <v>3.0800000000000001E-2</v>
      </c>
      <c r="I407" s="2">
        <v>180</v>
      </c>
      <c r="J407" s="2" t="s">
        <v>16</v>
      </c>
      <c r="K407" s="2" t="s">
        <v>45</v>
      </c>
      <c r="L407" s="3">
        <v>46118</v>
      </c>
    </row>
    <row r="408" spans="1:12">
      <c r="A408" s="2" t="s">
        <v>785</v>
      </c>
      <c r="B408" s="3">
        <v>46110</v>
      </c>
      <c r="C408" s="2" t="s">
        <v>96</v>
      </c>
      <c r="D408" s="2" t="s">
        <v>20</v>
      </c>
      <c r="E408" s="2" t="s">
        <v>15</v>
      </c>
      <c r="F408" s="2" t="s">
        <v>3</v>
      </c>
      <c r="G408" s="4">
        <v>9500</v>
      </c>
      <c r="H408" s="5">
        <v>6.8699999999999997E-2</v>
      </c>
      <c r="I408" s="2">
        <v>60</v>
      </c>
      <c r="J408" s="2" t="s">
        <v>37</v>
      </c>
      <c r="K408" s="2" t="s">
        <v>17</v>
      </c>
      <c r="L408" s="3">
        <v>46114</v>
      </c>
    </row>
    <row r="409" spans="1:12">
      <c r="A409" s="2" t="s">
        <v>786</v>
      </c>
      <c r="B409" s="3">
        <v>46110</v>
      </c>
      <c r="C409" s="2" t="s">
        <v>120</v>
      </c>
      <c r="D409" s="2" t="s">
        <v>25</v>
      </c>
      <c r="E409" s="2" t="s">
        <v>21</v>
      </c>
      <c r="F409" s="2" t="s">
        <v>3</v>
      </c>
      <c r="G409" s="4">
        <v>209500</v>
      </c>
      <c r="H409" s="5">
        <v>3.4000000000000002E-2</v>
      </c>
      <c r="I409" s="2">
        <v>180</v>
      </c>
      <c r="J409" s="2" t="s">
        <v>181</v>
      </c>
      <c r="K409" s="2" t="s">
        <v>17</v>
      </c>
      <c r="L409" s="3">
        <v>46124</v>
      </c>
    </row>
    <row r="410" spans="1:12">
      <c r="A410" s="2" t="s">
        <v>787</v>
      </c>
      <c r="B410" s="3">
        <v>46110</v>
      </c>
      <c r="C410" s="2" t="s">
        <v>788</v>
      </c>
      <c r="D410" s="2" t="s">
        <v>29</v>
      </c>
      <c r="E410" s="2" t="s">
        <v>15</v>
      </c>
      <c r="F410" s="2" t="s">
        <v>3</v>
      </c>
      <c r="G410" s="4">
        <v>14200</v>
      </c>
      <c r="H410" s="5">
        <v>0.06</v>
      </c>
      <c r="I410" s="2">
        <v>24</v>
      </c>
      <c r="J410" s="2" t="s">
        <v>61</v>
      </c>
      <c r="K410" s="2" t="s">
        <v>17</v>
      </c>
      <c r="L410" s="3">
        <v>46116</v>
      </c>
    </row>
    <row r="411" spans="1:12">
      <c r="A411" s="2" t="s">
        <v>789</v>
      </c>
      <c r="B411" s="3">
        <v>46111</v>
      </c>
      <c r="C411" s="2" t="s">
        <v>433</v>
      </c>
      <c r="D411" s="2" t="s">
        <v>20</v>
      </c>
      <c r="E411" s="2" t="s">
        <v>43</v>
      </c>
      <c r="F411" s="2" t="s">
        <v>3</v>
      </c>
      <c r="G411" s="4">
        <v>102700</v>
      </c>
      <c r="H411" s="5">
        <v>6.2E-2</v>
      </c>
      <c r="I411" s="2">
        <v>60</v>
      </c>
      <c r="J411" s="2" t="s">
        <v>44</v>
      </c>
      <c r="K411" s="2" t="s">
        <v>45</v>
      </c>
      <c r="L411" s="3">
        <v>46124</v>
      </c>
    </row>
    <row r="412" spans="1:12">
      <c r="A412" s="2" t="s">
        <v>790</v>
      </c>
      <c r="B412" s="3">
        <v>46111</v>
      </c>
      <c r="C412" s="2" t="s">
        <v>791</v>
      </c>
      <c r="D412" s="2" t="s">
        <v>14</v>
      </c>
      <c r="E412" s="2" t="s">
        <v>15</v>
      </c>
      <c r="F412" s="2" t="s">
        <v>3</v>
      </c>
      <c r="G412" s="4">
        <v>18900</v>
      </c>
      <c r="H412" s="5">
        <v>5.2200000000000003E-2</v>
      </c>
      <c r="I412" s="2">
        <v>48</v>
      </c>
      <c r="J412" s="2" t="s">
        <v>16</v>
      </c>
      <c r="K412" s="2" t="s">
        <v>17</v>
      </c>
      <c r="L412" s="3">
        <v>46113</v>
      </c>
    </row>
    <row r="413" spans="1:12">
      <c r="A413" s="2" t="s">
        <v>792</v>
      </c>
      <c r="B413" s="3">
        <v>46111</v>
      </c>
      <c r="C413" s="2" t="s">
        <v>793</v>
      </c>
      <c r="D413" s="2" t="s">
        <v>20</v>
      </c>
      <c r="E413" s="2" t="s">
        <v>21</v>
      </c>
      <c r="F413" s="2" t="s">
        <v>3</v>
      </c>
      <c r="G413" s="4">
        <v>114000</v>
      </c>
      <c r="H413" s="5">
        <v>4.48E-2</v>
      </c>
      <c r="I413" s="2">
        <v>240</v>
      </c>
      <c r="J413" s="2" t="s">
        <v>37</v>
      </c>
      <c r="K413" s="2" t="s">
        <v>45</v>
      </c>
      <c r="L413" s="3">
        <v>46133</v>
      </c>
    </row>
    <row r="414" spans="1:12">
      <c r="A414" s="2" t="s">
        <v>794</v>
      </c>
      <c r="B414" s="3">
        <v>46111</v>
      </c>
      <c r="C414" s="2" t="s">
        <v>295</v>
      </c>
      <c r="D414" s="2" t="s">
        <v>25</v>
      </c>
      <c r="E414" s="2" t="s">
        <v>15</v>
      </c>
      <c r="F414" s="2" t="s">
        <v>3</v>
      </c>
      <c r="G414" s="4">
        <v>19900</v>
      </c>
      <c r="H414" s="5">
        <v>5.5300000000000002E-2</v>
      </c>
      <c r="I414" s="2">
        <v>36</v>
      </c>
      <c r="J414" s="2" t="s">
        <v>66</v>
      </c>
      <c r="K414" s="2" t="s">
        <v>17</v>
      </c>
      <c r="L414" s="3">
        <v>46114</v>
      </c>
    </row>
    <row r="415" spans="1:12">
      <c r="A415" s="2" t="s">
        <v>795</v>
      </c>
      <c r="B415" s="3">
        <v>46111</v>
      </c>
      <c r="C415" s="2" t="s">
        <v>796</v>
      </c>
      <c r="D415" s="2" t="s">
        <v>20</v>
      </c>
      <c r="E415" s="2" t="s">
        <v>15</v>
      </c>
      <c r="F415" s="2" t="s">
        <v>55</v>
      </c>
      <c r="G415" s="4">
        <v>21900</v>
      </c>
      <c r="H415" s="5">
        <v>6.9599999999999995E-2</v>
      </c>
      <c r="I415" s="2">
        <v>48</v>
      </c>
      <c r="J415" s="2" t="s">
        <v>37</v>
      </c>
      <c r="K415" s="2" t="s">
        <v>45</v>
      </c>
      <c r="L415" s="3">
        <v>46114</v>
      </c>
    </row>
    <row r="416" spans="1:12">
      <c r="A416" s="2" t="s">
        <v>797</v>
      </c>
      <c r="B416" s="3">
        <v>46111</v>
      </c>
      <c r="C416" s="2" t="s">
        <v>798</v>
      </c>
      <c r="D416" s="2" t="s">
        <v>29</v>
      </c>
      <c r="E416" s="2" t="s">
        <v>43</v>
      </c>
      <c r="F416" s="2" t="s">
        <v>55</v>
      </c>
      <c r="G416" s="4">
        <v>67100</v>
      </c>
      <c r="H416" s="5">
        <v>7.5499999999999998E-2</v>
      </c>
      <c r="I416" s="2">
        <v>36</v>
      </c>
      <c r="J416" s="2" t="s">
        <v>61</v>
      </c>
      <c r="K416" s="2" t="s">
        <v>17</v>
      </c>
      <c r="L416" s="3">
        <v>46127</v>
      </c>
    </row>
    <row r="417" spans="1:12">
      <c r="A417" s="2" t="s">
        <v>799</v>
      </c>
      <c r="B417" s="3">
        <v>46112</v>
      </c>
      <c r="C417" s="2" t="s">
        <v>800</v>
      </c>
      <c r="D417" s="2" t="s">
        <v>14</v>
      </c>
      <c r="E417" s="2" t="s">
        <v>15</v>
      </c>
      <c r="F417" s="2" t="s">
        <v>3</v>
      </c>
      <c r="G417" s="4">
        <v>10100</v>
      </c>
      <c r="H417" s="5">
        <v>6.4399999999999999E-2</v>
      </c>
      <c r="I417" s="2">
        <v>36</v>
      </c>
      <c r="J417" s="2" t="s">
        <v>16</v>
      </c>
      <c r="K417" s="2" t="s">
        <v>17</v>
      </c>
      <c r="L417" s="3">
        <v>46118</v>
      </c>
    </row>
    <row r="418" spans="1:12">
      <c r="A418" s="2" t="s">
        <v>801</v>
      </c>
      <c r="B418" s="3">
        <v>46112</v>
      </c>
      <c r="C418" s="2" t="s">
        <v>322</v>
      </c>
      <c r="D418" s="2" t="s">
        <v>14</v>
      </c>
      <c r="E418" s="2" t="s">
        <v>15</v>
      </c>
      <c r="F418" s="2" t="s">
        <v>31</v>
      </c>
      <c r="G418" s="4">
        <v>10700</v>
      </c>
      <c r="H418" s="5">
        <v>6.0499999999999998E-2</v>
      </c>
      <c r="I418" s="2">
        <v>12</v>
      </c>
      <c r="J418" s="2" t="s">
        <v>16</v>
      </c>
      <c r="K418" s="2" t="s">
        <v>17</v>
      </c>
      <c r="L418" s="3">
        <v>46119</v>
      </c>
    </row>
    <row r="419" spans="1:12">
      <c r="A419" s="2" t="s">
        <v>802</v>
      </c>
      <c r="B419" s="3">
        <v>46112</v>
      </c>
      <c r="C419" s="2" t="s">
        <v>803</v>
      </c>
      <c r="D419" s="2" t="s">
        <v>14</v>
      </c>
      <c r="E419" s="2" t="s">
        <v>43</v>
      </c>
      <c r="F419" s="2" t="s">
        <v>3</v>
      </c>
      <c r="G419" s="4">
        <v>148900</v>
      </c>
      <c r="H419" s="5">
        <v>5.57E-2</v>
      </c>
      <c r="I419" s="2">
        <v>60</v>
      </c>
      <c r="J419" s="2" t="s">
        <v>40</v>
      </c>
      <c r="K419" s="2" t="s">
        <v>17</v>
      </c>
      <c r="L419" s="3">
        <v>46129</v>
      </c>
    </row>
    <row r="420" spans="1:12">
      <c r="A420" s="2" t="s">
        <v>804</v>
      </c>
      <c r="B420" s="3">
        <v>46112</v>
      </c>
      <c r="C420" s="2" t="s">
        <v>805</v>
      </c>
      <c r="D420" s="2" t="s">
        <v>71</v>
      </c>
      <c r="E420" s="2" t="s">
        <v>15</v>
      </c>
      <c r="F420" s="2" t="s">
        <v>3</v>
      </c>
      <c r="G420" s="4">
        <v>25000</v>
      </c>
      <c r="H420" s="5">
        <v>5.57E-2</v>
      </c>
      <c r="I420" s="2">
        <v>60</v>
      </c>
      <c r="J420" s="2" t="s">
        <v>72</v>
      </c>
      <c r="K420" s="2" t="s">
        <v>17</v>
      </c>
      <c r="L420" s="3">
        <v>46119</v>
      </c>
    </row>
    <row r="421" spans="1:12">
      <c r="A421" s="2" t="s">
        <v>806</v>
      </c>
      <c r="B421" s="3">
        <v>46113</v>
      </c>
      <c r="C421" s="2" t="s">
        <v>807</v>
      </c>
      <c r="D421" s="2" t="s">
        <v>25</v>
      </c>
      <c r="E421" s="2" t="s">
        <v>15</v>
      </c>
      <c r="F421" s="2" t="s">
        <v>55</v>
      </c>
      <c r="G421" s="4">
        <v>12200</v>
      </c>
      <c r="H421" s="5">
        <v>5.1999999999999998E-2</v>
      </c>
      <c r="I421" s="2">
        <v>12</v>
      </c>
      <c r="J421" s="2" t="s">
        <v>26</v>
      </c>
      <c r="K421" s="2" t="s">
        <v>45</v>
      </c>
      <c r="L421" s="3">
        <v>46118</v>
      </c>
    </row>
    <row r="422" spans="1:12">
      <c r="A422" s="2" t="s">
        <v>808</v>
      </c>
      <c r="B422" s="3">
        <v>46113</v>
      </c>
      <c r="C422" s="2" t="s">
        <v>809</v>
      </c>
      <c r="D422" s="2" t="s">
        <v>71</v>
      </c>
      <c r="E422" s="2" t="s">
        <v>15</v>
      </c>
      <c r="F422" s="2" t="s">
        <v>31</v>
      </c>
      <c r="G422" s="4">
        <v>7900</v>
      </c>
      <c r="H422" s="5">
        <v>5.8099999999999999E-2</v>
      </c>
      <c r="I422" s="2">
        <v>24</v>
      </c>
      <c r="J422" s="2" t="s">
        <v>101</v>
      </c>
      <c r="K422" s="2" t="s">
        <v>17</v>
      </c>
      <c r="L422" s="3">
        <v>46118</v>
      </c>
    </row>
    <row r="423" spans="1:12">
      <c r="A423" s="2" t="s">
        <v>810</v>
      </c>
      <c r="B423" s="3">
        <v>46113</v>
      </c>
      <c r="C423" s="2" t="s">
        <v>811</v>
      </c>
      <c r="D423" s="2" t="s">
        <v>29</v>
      </c>
      <c r="E423" s="2" t="s">
        <v>43</v>
      </c>
      <c r="F423" s="2" t="s">
        <v>3</v>
      </c>
      <c r="G423" s="4">
        <v>67700</v>
      </c>
      <c r="H423" s="5">
        <v>6.4199999999999993E-2</v>
      </c>
      <c r="I423" s="2">
        <v>84</v>
      </c>
      <c r="J423" s="2" t="s">
        <v>32</v>
      </c>
      <c r="K423" s="2" t="s">
        <v>17</v>
      </c>
      <c r="L423" s="3">
        <v>46125</v>
      </c>
    </row>
    <row r="424" spans="1:12">
      <c r="A424" s="2" t="s">
        <v>812</v>
      </c>
      <c r="B424" s="3">
        <v>46113</v>
      </c>
      <c r="C424" s="2" t="s">
        <v>813</v>
      </c>
      <c r="D424" s="2" t="s">
        <v>25</v>
      </c>
      <c r="E424" s="2" t="s">
        <v>30</v>
      </c>
      <c r="F424" s="2" t="s">
        <v>3</v>
      </c>
      <c r="G424" s="4">
        <v>12000</v>
      </c>
      <c r="H424" s="5">
        <v>4.1700000000000001E-2</v>
      </c>
      <c r="I424" s="2">
        <v>36</v>
      </c>
      <c r="J424" s="2" t="s">
        <v>181</v>
      </c>
      <c r="K424" s="2" t="s">
        <v>17</v>
      </c>
      <c r="L424" s="3">
        <v>46116</v>
      </c>
    </row>
    <row r="425" spans="1:12">
      <c r="A425" s="2" t="s">
        <v>814</v>
      </c>
      <c r="B425" s="3">
        <v>46113</v>
      </c>
      <c r="C425" s="2" t="s">
        <v>278</v>
      </c>
      <c r="D425" s="2" t="s">
        <v>25</v>
      </c>
      <c r="E425" s="2" t="s">
        <v>43</v>
      </c>
      <c r="F425" s="2" t="s">
        <v>3</v>
      </c>
      <c r="G425" s="4">
        <v>146100</v>
      </c>
      <c r="H425" s="5">
        <v>5.96E-2</v>
      </c>
      <c r="I425" s="2">
        <v>24</v>
      </c>
      <c r="J425" s="2" t="s">
        <v>26</v>
      </c>
      <c r="K425" s="2" t="s">
        <v>17</v>
      </c>
      <c r="L425" s="3">
        <v>46126</v>
      </c>
    </row>
    <row r="426" spans="1:12">
      <c r="A426" s="2" t="s">
        <v>815</v>
      </c>
      <c r="B426" s="3">
        <v>46113</v>
      </c>
      <c r="C426" s="2" t="s">
        <v>816</v>
      </c>
      <c r="D426" s="2" t="s">
        <v>29</v>
      </c>
      <c r="E426" s="2" t="s">
        <v>30</v>
      </c>
      <c r="F426" s="2" t="s">
        <v>31</v>
      </c>
      <c r="G426" s="4">
        <v>8600</v>
      </c>
      <c r="H426" s="5">
        <v>4.1599999999999998E-2</v>
      </c>
      <c r="I426" s="2">
        <v>60</v>
      </c>
      <c r="J426" s="2" t="s">
        <v>61</v>
      </c>
      <c r="K426" s="2" t="s">
        <v>17</v>
      </c>
      <c r="L426" s="3">
        <v>46115</v>
      </c>
    </row>
    <row r="427" spans="1:12">
      <c r="A427" s="2" t="s">
        <v>817</v>
      </c>
      <c r="B427" s="3">
        <v>46113</v>
      </c>
      <c r="C427" s="2" t="s">
        <v>625</v>
      </c>
      <c r="D427" s="2" t="s">
        <v>25</v>
      </c>
      <c r="E427" s="2" t="s">
        <v>15</v>
      </c>
      <c r="F427" s="2" t="s">
        <v>31</v>
      </c>
      <c r="G427" s="4">
        <v>7400</v>
      </c>
      <c r="H427" s="5">
        <v>5.0500000000000003E-2</v>
      </c>
      <c r="I427" s="2">
        <v>24</v>
      </c>
      <c r="J427" s="2" t="s">
        <v>66</v>
      </c>
      <c r="K427" s="2" t="s">
        <v>45</v>
      </c>
      <c r="L427" s="3">
        <v>46114</v>
      </c>
    </row>
    <row r="428" spans="1:12">
      <c r="A428" s="2" t="s">
        <v>818</v>
      </c>
      <c r="B428" s="3">
        <v>46113</v>
      </c>
      <c r="C428" s="2" t="s">
        <v>819</v>
      </c>
      <c r="D428" s="2" t="s">
        <v>71</v>
      </c>
      <c r="E428" s="2" t="s">
        <v>15</v>
      </c>
      <c r="F428" s="2" t="s">
        <v>55</v>
      </c>
      <c r="G428" s="4">
        <v>25000</v>
      </c>
      <c r="H428" s="5">
        <v>5.5599999999999997E-2</v>
      </c>
      <c r="I428" s="2">
        <v>60</v>
      </c>
      <c r="J428" s="2" t="s">
        <v>101</v>
      </c>
      <c r="K428" s="2" t="s">
        <v>45</v>
      </c>
      <c r="L428" s="3">
        <v>46117</v>
      </c>
    </row>
    <row r="429" spans="1:12">
      <c r="A429" s="2" t="s">
        <v>820</v>
      </c>
      <c r="B429" s="3">
        <v>46114</v>
      </c>
      <c r="C429" s="2" t="s">
        <v>821</v>
      </c>
      <c r="D429" s="2" t="s">
        <v>25</v>
      </c>
      <c r="E429" s="2" t="s">
        <v>30</v>
      </c>
      <c r="F429" s="2" t="s">
        <v>3</v>
      </c>
      <c r="G429" s="4">
        <v>8000</v>
      </c>
      <c r="H429" s="5">
        <v>4.5600000000000002E-2</v>
      </c>
      <c r="I429" s="2">
        <v>36</v>
      </c>
      <c r="J429" s="2" t="s">
        <v>26</v>
      </c>
      <c r="K429" s="2" t="s">
        <v>17</v>
      </c>
      <c r="L429" s="3">
        <v>46117</v>
      </c>
    </row>
    <row r="430" spans="1:12">
      <c r="A430" s="2" t="s">
        <v>822</v>
      </c>
      <c r="B430" s="3">
        <v>46114</v>
      </c>
      <c r="C430" s="2" t="s">
        <v>823</v>
      </c>
      <c r="D430" s="2" t="s">
        <v>20</v>
      </c>
      <c r="E430" s="2" t="s">
        <v>30</v>
      </c>
      <c r="F430" s="2" t="s">
        <v>3</v>
      </c>
      <c r="G430" s="4">
        <v>5000</v>
      </c>
      <c r="H430" s="5">
        <v>3.56E-2</v>
      </c>
      <c r="I430" s="2">
        <v>36</v>
      </c>
      <c r="J430" s="2" t="s">
        <v>37</v>
      </c>
      <c r="K430" s="2" t="s">
        <v>17</v>
      </c>
      <c r="L430" s="3">
        <v>46118</v>
      </c>
    </row>
    <row r="431" spans="1:12">
      <c r="A431" s="2" t="s">
        <v>824</v>
      </c>
      <c r="B431" s="3">
        <v>46114</v>
      </c>
      <c r="C431" s="2" t="s">
        <v>100</v>
      </c>
      <c r="D431" s="2" t="s">
        <v>54</v>
      </c>
      <c r="E431" s="2" t="s">
        <v>43</v>
      </c>
      <c r="F431" s="2" t="s">
        <v>31</v>
      </c>
      <c r="G431" s="4">
        <v>159600</v>
      </c>
      <c r="H431" s="5">
        <v>6.3799999999999996E-2</v>
      </c>
      <c r="I431" s="2">
        <v>24</v>
      </c>
      <c r="J431" s="2" t="s">
        <v>186</v>
      </c>
      <c r="K431" s="2" t="s">
        <v>45</v>
      </c>
      <c r="L431" s="3">
        <v>46134</v>
      </c>
    </row>
    <row r="432" spans="1:12">
      <c r="A432" s="2" t="s">
        <v>825</v>
      </c>
      <c r="B432" s="3">
        <v>46114</v>
      </c>
      <c r="C432" s="2" t="s">
        <v>826</v>
      </c>
      <c r="D432" s="2" t="s">
        <v>14</v>
      </c>
      <c r="E432" s="2" t="s">
        <v>30</v>
      </c>
      <c r="F432" s="2" t="s">
        <v>3</v>
      </c>
      <c r="G432" s="4">
        <v>4200</v>
      </c>
      <c r="H432" s="5">
        <v>3.61E-2</v>
      </c>
      <c r="I432" s="2">
        <v>36</v>
      </c>
      <c r="J432" s="2" t="s">
        <v>48</v>
      </c>
      <c r="K432" s="2" t="s">
        <v>45</v>
      </c>
      <c r="L432" s="3">
        <v>46116</v>
      </c>
    </row>
    <row r="433" spans="1:12">
      <c r="A433" s="2" t="s">
        <v>827</v>
      </c>
      <c r="B433" s="3">
        <v>46114</v>
      </c>
      <c r="C433" s="2" t="s">
        <v>828</v>
      </c>
      <c r="D433" s="2" t="s">
        <v>25</v>
      </c>
      <c r="E433" s="2" t="s">
        <v>30</v>
      </c>
      <c r="F433" s="2" t="s">
        <v>3</v>
      </c>
      <c r="G433" s="4">
        <v>9600</v>
      </c>
      <c r="H433" s="5">
        <v>3.5999999999999997E-2</v>
      </c>
      <c r="I433" s="2">
        <v>48</v>
      </c>
      <c r="J433" s="2" t="s">
        <v>181</v>
      </c>
      <c r="K433" s="2" t="s">
        <v>17</v>
      </c>
      <c r="L433" s="3">
        <v>46117</v>
      </c>
    </row>
    <row r="434" spans="1:12">
      <c r="A434" s="2" t="s">
        <v>829</v>
      </c>
      <c r="B434" s="3">
        <v>46114</v>
      </c>
      <c r="C434" s="2" t="s">
        <v>830</v>
      </c>
      <c r="D434" s="2" t="s">
        <v>20</v>
      </c>
      <c r="E434" s="2" t="s">
        <v>21</v>
      </c>
      <c r="F434" s="2" t="s">
        <v>3</v>
      </c>
      <c r="G434" s="4">
        <v>66500</v>
      </c>
      <c r="H434" s="5">
        <v>3.7100000000000001E-2</v>
      </c>
      <c r="I434" s="2">
        <v>120</v>
      </c>
      <c r="J434" s="2" t="s">
        <v>37</v>
      </c>
      <c r="K434" s="2" t="s">
        <v>17</v>
      </c>
      <c r="L434" s="3">
        <v>46131</v>
      </c>
    </row>
    <row r="435" spans="1:12">
      <c r="A435" s="2" t="s">
        <v>831</v>
      </c>
      <c r="B435" s="3">
        <v>46115</v>
      </c>
      <c r="C435" s="2" t="s">
        <v>788</v>
      </c>
      <c r="D435" s="2" t="s">
        <v>71</v>
      </c>
      <c r="E435" s="2" t="s">
        <v>30</v>
      </c>
      <c r="F435" s="2" t="s">
        <v>3</v>
      </c>
      <c r="G435" s="2" t="s">
        <v>832</v>
      </c>
      <c r="H435" s="5">
        <v>4.4600000000000001E-2</v>
      </c>
      <c r="I435" s="2">
        <v>60</v>
      </c>
      <c r="J435" s="2" t="s">
        <v>94</v>
      </c>
      <c r="K435" s="2" t="s">
        <v>17</v>
      </c>
      <c r="L435" s="3">
        <v>46117</v>
      </c>
    </row>
    <row r="436" spans="1:12">
      <c r="A436" s="2" t="s">
        <v>833</v>
      </c>
      <c r="B436" s="3">
        <v>46115</v>
      </c>
      <c r="C436" s="2" t="s">
        <v>834</v>
      </c>
      <c r="D436" s="2" t="s">
        <v>20</v>
      </c>
      <c r="E436" s="2" t="s">
        <v>15</v>
      </c>
      <c r="F436" s="2" t="s">
        <v>3</v>
      </c>
      <c r="G436" s="4">
        <v>8700</v>
      </c>
      <c r="H436" s="5">
        <v>5.04E-2</v>
      </c>
      <c r="I436" s="2">
        <v>60</v>
      </c>
      <c r="J436" s="2" t="s">
        <v>37</v>
      </c>
      <c r="K436" s="2" t="s">
        <v>45</v>
      </c>
      <c r="L436" s="3">
        <v>46118</v>
      </c>
    </row>
    <row r="437" spans="1:12">
      <c r="A437" s="2" t="s">
        <v>835</v>
      </c>
      <c r="B437" s="3">
        <v>46115</v>
      </c>
      <c r="C437" s="2" t="s">
        <v>274</v>
      </c>
      <c r="D437" s="2" t="s">
        <v>29</v>
      </c>
      <c r="E437" s="2" t="s">
        <v>15</v>
      </c>
      <c r="F437" s="2" t="s">
        <v>31</v>
      </c>
      <c r="G437" s="4">
        <v>11200</v>
      </c>
      <c r="H437" s="5">
        <v>6.7699999999999996E-2</v>
      </c>
      <c r="I437" s="2">
        <v>12</v>
      </c>
      <c r="J437" s="2" t="s">
        <v>61</v>
      </c>
      <c r="K437" s="2" t="s">
        <v>17</v>
      </c>
      <c r="L437" s="3">
        <v>46115</v>
      </c>
    </row>
    <row r="438" spans="1:12">
      <c r="A438" s="2" t="s">
        <v>836</v>
      </c>
      <c r="B438" s="3">
        <v>46116</v>
      </c>
      <c r="C438" s="2" t="s">
        <v>837</v>
      </c>
      <c r="D438" s="2" t="s">
        <v>14</v>
      </c>
      <c r="E438" s="2" t="s">
        <v>15</v>
      </c>
      <c r="F438" s="2" t="s">
        <v>55</v>
      </c>
      <c r="G438" s="4">
        <v>5100</v>
      </c>
      <c r="H438" s="5">
        <v>6.2600000000000003E-2</v>
      </c>
      <c r="I438" s="2">
        <v>60</v>
      </c>
      <c r="J438" s="2" t="s">
        <v>48</v>
      </c>
      <c r="K438" s="2" t="s">
        <v>17</v>
      </c>
      <c r="L438" s="3">
        <v>46118</v>
      </c>
    </row>
    <row r="439" spans="1:12">
      <c r="A439" s="2" t="s">
        <v>838</v>
      </c>
      <c r="B439" s="3">
        <v>46116</v>
      </c>
      <c r="C439" s="2" t="s">
        <v>839</v>
      </c>
      <c r="D439" s="2" t="s">
        <v>20</v>
      </c>
      <c r="E439" s="2" t="s">
        <v>15</v>
      </c>
      <c r="F439" s="2" t="s">
        <v>3</v>
      </c>
      <c r="G439" s="4">
        <v>22600</v>
      </c>
      <c r="H439" s="5">
        <v>5.16E-2</v>
      </c>
      <c r="I439" s="2">
        <v>48</v>
      </c>
      <c r="J439" s="2" t="s">
        <v>44</v>
      </c>
      <c r="K439" s="2" t="s">
        <v>17</v>
      </c>
      <c r="L439" s="3">
        <v>46118</v>
      </c>
    </row>
    <row r="440" spans="1:12">
      <c r="A440" s="2" t="s">
        <v>840</v>
      </c>
      <c r="B440" s="3">
        <v>46116</v>
      </c>
      <c r="C440" s="2" t="s">
        <v>368</v>
      </c>
      <c r="D440" s="2" t="s">
        <v>29</v>
      </c>
      <c r="E440" s="2" t="s">
        <v>30</v>
      </c>
      <c r="F440" s="2" t="s">
        <v>3</v>
      </c>
      <c r="G440" s="4">
        <v>9100</v>
      </c>
      <c r="H440" s="5">
        <v>4.1700000000000001E-2</v>
      </c>
      <c r="I440" s="2">
        <v>48</v>
      </c>
      <c r="J440" s="2" t="s">
        <v>32</v>
      </c>
      <c r="K440" s="2" t="s">
        <v>45</v>
      </c>
      <c r="L440" s="3">
        <v>46117</v>
      </c>
    </row>
    <row r="441" spans="1:12">
      <c r="A441" s="2" t="s">
        <v>841</v>
      </c>
      <c r="B441" s="3">
        <v>46116</v>
      </c>
      <c r="C441" s="2" t="s">
        <v>842</v>
      </c>
      <c r="D441" s="2" t="s">
        <v>71</v>
      </c>
      <c r="E441" s="2" t="s">
        <v>30</v>
      </c>
      <c r="F441" s="2" t="s">
        <v>3</v>
      </c>
      <c r="G441" s="4">
        <v>11300</v>
      </c>
      <c r="H441" s="5">
        <v>4.02E-2</v>
      </c>
      <c r="I441" s="2">
        <v>48</v>
      </c>
      <c r="J441" s="2" t="s">
        <v>101</v>
      </c>
      <c r="K441" s="2" t="s">
        <v>17</v>
      </c>
      <c r="L441" s="3">
        <v>46120</v>
      </c>
    </row>
    <row r="442" spans="1:12">
      <c r="A442" s="2" t="s">
        <v>843</v>
      </c>
      <c r="B442" s="3">
        <v>46116</v>
      </c>
      <c r="C442" s="2" t="s">
        <v>515</v>
      </c>
      <c r="D442" s="2" t="s">
        <v>71</v>
      </c>
      <c r="E442" s="2" t="s">
        <v>30</v>
      </c>
      <c r="F442" s="2" t="s">
        <v>3</v>
      </c>
      <c r="G442" s="4">
        <v>8900</v>
      </c>
      <c r="H442" s="5">
        <v>3.5400000000000001E-2</v>
      </c>
      <c r="I442" s="2">
        <v>48</v>
      </c>
      <c r="J442" s="2" t="s">
        <v>72</v>
      </c>
      <c r="K442" s="2" t="s">
        <v>17</v>
      </c>
      <c r="L442" s="3">
        <v>46117</v>
      </c>
    </row>
    <row r="443" spans="1:12">
      <c r="A443" s="2" t="s">
        <v>844</v>
      </c>
      <c r="B443" s="3">
        <v>46116</v>
      </c>
      <c r="C443" s="2" t="s">
        <v>845</v>
      </c>
      <c r="D443" s="2" t="s">
        <v>71</v>
      </c>
      <c r="E443" s="2" t="s">
        <v>43</v>
      </c>
      <c r="F443" s="2" t="s">
        <v>3</v>
      </c>
      <c r="G443" s="4">
        <v>162200</v>
      </c>
      <c r="H443" s="5">
        <v>7.9899999999999999E-2</v>
      </c>
      <c r="I443" s="2">
        <v>36</v>
      </c>
      <c r="J443" s="2" t="s">
        <v>72</v>
      </c>
      <c r="K443" s="2" t="s">
        <v>17</v>
      </c>
      <c r="L443" s="3">
        <v>46135</v>
      </c>
    </row>
    <row r="444" spans="1:12">
      <c r="A444" s="2" t="s">
        <v>846</v>
      </c>
      <c r="B444" s="3">
        <v>46116</v>
      </c>
      <c r="C444" s="2" t="s">
        <v>847</v>
      </c>
      <c r="D444" s="2" t="s">
        <v>54</v>
      </c>
      <c r="E444" s="2" t="s">
        <v>15</v>
      </c>
      <c r="F444" s="2" t="s">
        <v>31</v>
      </c>
      <c r="G444" s="4">
        <v>15600</v>
      </c>
      <c r="H444" s="5">
        <v>6.4899999999999999E-2</v>
      </c>
      <c r="I444" s="2">
        <v>48</v>
      </c>
      <c r="J444" s="2" t="s">
        <v>148</v>
      </c>
      <c r="K444" s="2" t="s">
        <v>17</v>
      </c>
      <c r="L444" s="3">
        <v>46119</v>
      </c>
    </row>
    <row r="445" spans="1:12">
      <c r="A445" s="2" t="s">
        <v>848</v>
      </c>
      <c r="B445" s="3">
        <v>46117</v>
      </c>
      <c r="C445" s="2" t="s">
        <v>849</v>
      </c>
      <c r="D445" s="2" t="s">
        <v>14</v>
      </c>
      <c r="E445" s="2" t="s">
        <v>15</v>
      </c>
      <c r="F445" s="2" t="s">
        <v>3</v>
      </c>
      <c r="G445" s="2"/>
      <c r="H445" s="5">
        <v>6.6600000000000006E-2</v>
      </c>
      <c r="I445" s="2">
        <v>60</v>
      </c>
      <c r="J445" s="2" t="s">
        <v>16</v>
      </c>
      <c r="K445" s="2" t="s">
        <v>17</v>
      </c>
      <c r="L445" s="3">
        <v>46122</v>
      </c>
    </row>
    <row r="446" spans="1:12">
      <c r="A446" s="2" t="s">
        <v>850</v>
      </c>
      <c r="B446" s="3">
        <v>46117</v>
      </c>
      <c r="C446" s="2" t="s">
        <v>13</v>
      </c>
      <c r="D446" s="2" t="s">
        <v>29</v>
      </c>
      <c r="E446" s="2" t="s">
        <v>43</v>
      </c>
      <c r="F446" s="2" t="s">
        <v>3</v>
      </c>
      <c r="G446" s="4">
        <v>72400</v>
      </c>
      <c r="H446" s="5">
        <v>5.5399999999999998E-2</v>
      </c>
      <c r="I446" s="2">
        <v>24</v>
      </c>
      <c r="J446" s="2" t="s">
        <v>123</v>
      </c>
      <c r="K446" s="2" t="s">
        <v>45</v>
      </c>
      <c r="L446" s="3">
        <v>46126</v>
      </c>
    </row>
    <row r="447" spans="1:12">
      <c r="A447" s="2" t="s">
        <v>851</v>
      </c>
      <c r="B447" s="3">
        <v>46117</v>
      </c>
      <c r="C447" s="2" t="s">
        <v>65</v>
      </c>
      <c r="D447" s="2" t="s">
        <v>29</v>
      </c>
      <c r="E447" s="2" t="s">
        <v>21</v>
      </c>
      <c r="F447" s="2" t="s">
        <v>3</v>
      </c>
      <c r="G447" s="4">
        <v>154500</v>
      </c>
      <c r="H447" s="5">
        <v>3.7699999999999997E-2</v>
      </c>
      <c r="I447" s="2">
        <v>300</v>
      </c>
      <c r="J447" s="2" t="s">
        <v>32</v>
      </c>
      <c r="K447" s="2" t="s">
        <v>17</v>
      </c>
      <c r="L447" s="3">
        <v>46132</v>
      </c>
    </row>
    <row r="448" spans="1:12">
      <c r="A448" s="2" t="s">
        <v>852</v>
      </c>
      <c r="B448" s="3">
        <v>46117</v>
      </c>
      <c r="C448" s="2" t="s">
        <v>771</v>
      </c>
      <c r="D448" s="2" t="s">
        <v>25</v>
      </c>
      <c r="E448" s="2" t="s">
        <v>21</v>
      </c>
      <c r="F448" s="2" t="s">
        <v>31</v>
      </c>
      <c r="G448" s="4">
        <v>67500</v>
      </c>
      <c r="H448" s="5">
        <v>4.4499999999999998E-2</v>
      </c>
      <c r="I448" s="2">
        <v>240</v>
      </c>
      <c r="J448" s="2" t="s">
        <v>66</v>
      </c>
      <c r="K448" s="2" t="s">
        <v>45</v>
      </c>
      <c r="L448" s="3">
        <v>46129</v>
      </c>
    </row>
    <row r="449" spans="1:12">
      <c r="A449" s="2" t="s">
        <v>853</v>
      </c>
      <c r="B449" s="3">
        <v>46117</v>
      </c>
      <c r="C449" s="2" t="s">
        <v>854</v>
      </c>
      <c r="D449" s="2" t="s">
        <v>54</v>
      </c>
      <c r="E449" s="2" t="s">
        <v>21</v>
      </c>
      <c r="F449" s="2" t="s">
        <v>55</v>
      </c>
      <c r="G449" s="4">
        <v>157100</v>
      </c>
      <c r="H449" s="5">
        <v>4.19E-2</v>
      </c>
      <c r="I449" s="2">
        <v>240</v>
      </c>
      <c r="J449" s="2" t="s">
        <v>186</v>
      </c>
      <c r="K449" s="2" t="s">
        <v>17</v>
      </c>
      <c r="L449" s="3">
        <v>46140</v>
      </c>
    </row>
    <row r="450" spans="1:12">
      <c r="A450" s="2" t="s">
        <v>855</v>
      </c>
      <c r="B450" s="3">
        <v>46118</v>
      </c>
      <c r="C450" s="2" t="s">
        <v>856</v>
      </c>
      <c r="D450" s="2" t="s">
        <v>71</v>
      </c>
      <c r="E450" s="2" t="s">
        <v>15</v>
      </c>
      <c r="F450" s="2" t="s">
        <v>3</v>
      </c>
      <c r="G450" s="4">
        <v>4000</v>
      </c>
      <c r="H450" s="5">
        <v>6.9900000000000004E-2</v>
      </c>
      <c r="I450" s="2">
        <v>24</v>
      </c>
      <c r="J450" s="2" t="s">
        <v>72</v>
      </c>
      <c r="K450" s="2" t="s">
        <v>45</v>
      </c>
      <c r="L450" s="3">
        <v>46125</v>
      </c>
    </row>
    <row r="451" spans="1:12">
      <c r="A451" s="2" t="s">
        <v>857</v>
      </c>
      <c r="B451" s="3">
        <v>46119</v>
      </c>
      <c r="C451" s="2" t="s">
        <v>858</v>
      </c>
      <c r="D451" s="2" t="s">
        <v>29</v>
      </c>
      <c r="E451" s="2" t="s">
        <v>15</v>
      </c>
      <c r="F451" s="2" t="s">
        <v>31</v>
      </c>
      <c r="G451" s="4">
        <v>17300</v>
      </c>
      <c r="H451" s="5">
        <v>6.2399999999999997E-2</v>
      </c>
      <c r="I451" s="2">
        <v>12</v>
      </c>
      <c r="J451" s="2" t="s">
        <v>32</v>
      </c>
      <c r="K451" s="2" t="s">
        <v>17</v>
      </c>
      <c r="L451" s="3">
        <v>46125</v>
      </c>
    </row>
    <row r="452" spans="1:12">
      <c r="A452" s="2" t="s">
        <v>857</v>
      </c>
      <c r="B452" s="3">
        <v>46119</v>
      </c>
      <c r="C452" s="2" t="s">
        <v>858</v>
      </c>
      <c r="D452" s="2" t="s">
        <v>29</v>
      </c>
      <c r="E452" s="2" t="s">
        <v>15</v>
      </c>
      <c r="F452" s="2" t="s">
        <v>31</v>
      </c>
      <c r="G452" s="4">
        <v>17300</v>
      </c>
      <c r="H452" s="5">
        <v>6.2399999999999997E-2</v>
      </c>
      <c r="I452" s="2">
        <v>12</v>
      </c>
      <c r="J452" s="2" t="s">
        <v>32</v>
      </c>
      <c r="K452" s="2" t="s">
        <v>17</v>
      </c>
      <c r="L452" s="3">
        <v>46125</v>
      </c>
    </row>
    <row r="453" spans="1:12">
      <c r="A453" s="2" t="s">
        <v>859</v>
      </c>
      <c r="B453" s="3">
        <v>46119</v>
      </c>
      <c r="C453" s="2" t="s">
        <v>860</v>
      </c>
      <c r="D453" s="2" t="s">
        <v>20</v>
      </c>
      <c r="E453" s="2" t="s">
        <v>15</v>
      </c>
      <c r="F453" s="2" t="s">
        <v>3</v>
      </c>
      <c r="G453" s="4">
        <v>16000</v>
      </c>
      <c r="H453" s="5">
        <v>5.1400000000000001E-2</v>
      </c>
      <c r="I453" s="2">
        <v>36</v>
      </c>
      <c r="J453" s="2" t="s">
        <v>44</v>
      </c>
      <c r="K453" s="2" t="s">
        <v>17</v>
      </c>
      <c r="L453" s="3">
        <v>46122</v>
      </c>
    </row>
    <row r="454" spans="1:12">
      <c r="A454" s="2" t="s">
        <v>861</v>
      </c>
      <c r="B454" s="3">
        <v>46119</v>
      </c>
      <c r="C454" s="2" t="s">
        <v>862</v>
      </c>
      <c r="D454" s="2" t="s">
        <v>54</v>
      </c>
      <c r="E454" s="2" t="s">
        <v>15</v>
      </c>
      <c r="F454" s="2" t="s">
        <v>3</v>
      </c>
      <c r="G454" s="4">
        <v>25000</v>
      </c>
      <c r="H454" s="5">
        <v>6.0199999999999997E-2</v>
      </c>
      <c r="I454" s="2">
        <v>60</v>
      </c>
      <c r="J454" s="2" t="s">
        <v>186</v>
      </c>
      <c r="K454" s="2" t="s">
        <v>17</v>
      </c>
      <c r="L454" s="3">
        <v>46124</v>
      </c>
    </row>
    <row r="455" spans="1:12">
      <c r="A455" s="2" t="s">
        <v>863</v>
      </c>
      <c r="B455" s="3">
        <v>46120</v>
      </c>
      <c r="C455" s="2" t="s">
        <v>864</v>
      </c>
      <c r="D455" s="2" t="s">
        <v>71</v>
      </c>
      <c r="E455" s="2" t="s">
        <v>110</v>
      </c>
      <c r="F455" s="2" t="s">
        <v>3</v>
      </c>
      <c r="G455" s="4">
        <v>42000</v>
      </c>
      <c r="H455" s="5">
        <v>6.7599999999999993E-2</v>
      </c>
      <c r="I455" s="2">
        <v>60</v>
      </c>
      <c r="J455" s="2" t="s">
        <v>94</v>
      </c>
      <c r="K455" s="2" t="s">
        <v>17</v>
      </c>
      <c r="L455" s="3">
        <v>46138</v>
      </c>
    </row>
    <row r="456" spans="1:12">
      <c r="A456" s="2" t="s">
        <v>865</v>
      </c>
      <c r="B456" s="3">
        <v>46120</v>
      </c>
      <c r="C456" s="2" t="s">
        <v>866</v>
      </c>
      <c r="D456" s="2" t="s">
        <v>29</v>
      </c>
      <c r="E456" s="2" t="s">
        <v>30</v>
      </c>
      <c r="F456" s="2" t="s">
        <v>3</v>
      </c>
      <c r="G456" s="4">
        <v>6900</v>
      </c>
      <c r="H456" s="5">
        <v>4.1399999999999999E-2</v>
      </c>
      <c r="I456" s="2">
        <v>60</v>
      </c>
      <c r="J456" s="2" t="s">
        <v>123</v>
      </c>
      <c r="K456" s="2" t="s">
        <v>17</v>
      </c>
      <c r="L456" s="3">
        <v>46124</v>
      </c>
    </row>
    <row r="457" spans="1:12">
      <c r="A457" s="2" t="s">
        <v>867</v>
      </c>
      <c r="B457" s="3">
        <v>46120</v>
      </c>
      <c r="C457" s="2" t="s">
        <v>868</v>
      </c>
      <c r="D457" s="2" t="s">
        <v>25</v>
      </c>
      <c r="E457" s="2" t="s">
        <v>30</v>
      </c>
      <c r="F457" s="2" t="s">
        <v>31</v>
      </c>
      <c r="G457" s="4">
        <v>12300</v>
      </c>
      <c r="H457" s="5">
        <v>4.53E-2</v>
      </c>
      <c r="I457" s="2">
        <v>48</v>
      </c>
      <c r="J457" s="2" t="s">
        <v>26</v>
      </c>
      <c r="K457" s="2" t="s">
        <v>17</v>
      </c>
      <c r="L457" s="3">
        <v>46122</v>
      </c>
    </row>
    <row r="458" spans="1:12">
      <c r="A458" s="2" t="s">
        <v>869</v>
      </c>
      <c r="B458" s="3">
        <v>46120</v>
      </c>
      <c r="C458" s="2" t="s">
        <v>870</v>
      </c>
      <c r="D458" s="2" t="s">
        <v>20</v>
      </c>
      <c r="E458" s="2" t="s">
        <v>43</v>
      </c>
      <c r="F458" s="2" t="s">
        <v>31</v>
      </c>
      <c r="G458" s="4">
        <v>114500</v>
      </c>
      <c r="H458" s="5">
        <v>6.4199999999999993E-2</v>
      </c>
      <c r="I458" s="2">
        <v>84</v>
      </c>
      <c r="J458" s="2" t="s">
        <v>22</v>
      </c>
      <c r="K458" s="2" t="s">
        <v>45</v>
      </c>
      <c r="L458" s="3">
        <v>46128</v>
      </c>
    </row>
    <row r="459" spans="1:12">
      <c r="A459" s="2" t="s">
        <v>871</v>
      </c>
      <c r="B459" s="3">
        <v>46120</v>
      </c>
      <c r="C459" s="2" t="s">
        <v>350</v>
      </c>
      <c r="D459" s="2" t="s">
        <v>29</v>
      </c>
      <c r="E459" s="2" t="s">
        <v>15</v>
      </c>
      <c r="F459" s="2" t="s">
        <v>3</v>
      </c>
      <c r="G459" s="2" t="s">
        <v>872</v>
      </c>
      <c r="H459" s="5">
        <v>6.1100000000000002E-2</v>
      </c>
      <c r="I459" s="2">
        <v>48</v>
      </c>
      <c r="J459" s="2" t="s">
        <v>61</v>
      </c>
      <c r="K459" s="2" t="s">
        <v>17</v>
      </c>
      <c r="L459" s="3">
        <v>46125</v>
      </c>
    </row>
    <row r="460" spans="1:12">
      <c r="A460" s="2" t="s">
        <v>873</v>
      </c>
      <c r="B460" s="3">
        <v>46120</v>
      </c>
      <c r="C460" s="2" t="s">
        <v>874</v>
      </c>
      <c r="D460" s="2" t="s">
        <v>71</v>
      </c>
      <c r="E460" s="2" t="s">
        <v>21</v>
      </c>
      <c r="F460" s="2" t="s">
        <v>3</v>
      </c>
      <c r="G460" s="4">
        <v>222800</v>
      </c>
      <c r="H460" s="5">
        <v>3.8300000000000001E-2</v>
      </c>
      <c r="I460" s="2">
        <v>300</v>
      </c>
      <c r="J460" s="2" t="s">
        <v>72</v>
      </c>
      <c r="K460" s="2" t="s">
        <v>17</v>
      </c>
      <c r="L460" s="3">
        <v>46140</v>
      </c>
    </row>
    <row r="461" spans="1:12">
      <c r="A461" s="2" t="s">
        <v>875</v>
      </c>
      <c r="B461" s="3">
        <v>46120</v>
      </c>
      <c r="C461" s="2" t="s">
        <v>487</v>
      </c>
      <c r="D461" s="2" t="s">
        <v>25</v>
      </c>
      <c r="E461" s="2" t="s">
        <v>30</v>
      </c>
      <c r="F461" s="2" t="s">
        <v>31</v>
      </c>
      <c r="G461" s="4">
        <v>5600</v>
      </c>
      <c r="H461" s="5">
        <v>3.7400000000000003E-2</v>
      </c>
      <c r="I461" s="2">
        <v>60</v>
      </c>
      <c r="J461" s="2" t="s">
        <v>181</v>
      </c>
      <c r="K461" s="2" t="s">
        <v>17</v>
      </c>
      <c r="L461" s="3">
        <v>46122</v>
      </c>
    </row>
    <row r="462" spans="1:12">
      <c r="A462" s="2" t="s">
        <v>876</v>
      </c>
      <c r="B462" s="3">
        <v>46121</v>
      </c>
      <c r="C462" s="2" t="s">
        <v>877</v>
      </c>
      <c r="D462" s="2" t="s">
        <v>25</v>
      </c>
      <c r="E462" s="2" t="s">
        <v>30</v>
      </c>
      <c r="F462" s="2" t="s">
        <v>3</v>
      </c>
      <c r="G462" s="4">
        <v>6800</v>
      </c>
      <c r="H462" s="5">
        <v>4.7600000000000003E-2</v>
      </c>
      <c r="I462" s="2">
        <v>48</v>
      </c>
      <c r="J462" s="2" t="s">
        <v>181</v>
      </c>
      <c r="K462" s="2" t="s">
        <v>17</v>
      </c>
      <c r="L462" s="3">
        <v>46125</v>
      </c>
    </row>
    <row r="463" spans="1:12">
      <c r="A463" s="2" t="s">
        <v>878</v>
      </c>
      <c r="B463" s="3">
        <v>46122</v>
      </c>
      <c r="C463" s="2" t="s">
        <v>879</v>
      </c>
      <c r="D463" s="2" t="s">
        <v>71</v>
      </c>
      <c r="E463" s="2" t="s">
        <v>43</v>
      </c>
      <c r="F463" s="2" t="s">
        <v>3</v>
      </c>
      <c r="G463" s="4">
        <v>92800</v>
      </c>
      <c r="H463" s="5">
        <v>6.2700000000000006E-2</v>
      </c>
      <c r="I463" s="2">
        <v>24</v>
      </c>
      <c r="J463" s="2" t="s">
        <v>72</v>
      </c>
      <c r="K463" s="2" t="s">
        <v>17</v>
      </c>
      <c r="L463" s="3">
        <v>46136</v>
      </c>
    </row>
    <row r="464" spans="1:12">
      <c r="A464" s="2" t="s">
        <v>880</v>
      </c>
      <c r="B464" s="3">
        <v>46122</v>
      </c>
      <c r="C464" s="2" t="s">
        <v>881</v>
      </c>
      <c r="D464" s="2" t="s">
        <v>25</v>
      </c>
      <c r="E464" s="2" t="s">
        <v>21</v>
      </c>
      <c r="F464" s="2" t="s">
        <v>3</v>
      </c>
      <c r="G464" s="4">
        <v>109700</v>
      </c>
      <c r="H464" s="5">
        <v>4.4600000000000001E-2</v>
      </c>
      <c r="I464" s="2">
        <v>300</v>
      </c>
      <c r="J464" s="2" t="s">
        <v>26</v>
      </c>
      <c r="K464" s="2" t="s">
        <v>45</v>
      </c>
      <c r="L464" s="3">
        <v>46149</v>
      </c>
    </row>
    <row r="465" spans="1:12">
      <c r="A465" s="2" t="s">
        <v>882</v>
      </c>
      <c r="B465" s="3">
        <v>46122</v>
      </c>
      <c r="C465" s="2" t="s">
        <v>673</v>
      </c>
      <c r="D465" s="2" t="s">
        <v>71</v>
      </c>
      <c r="E465" s="2" t="s">
        <v>30</v>
      </c>
      <c r="F465" s="2" t="s">
        <v>55</v>
      </c>
      <c r="G465" s="4">
        <v>5500</v>
      </c>
      <c r="H465" s="5">
        <v>4.1300000000000003E-2</v>
      </c>
      <c r="I465" s="2">
        <v>48</v>
      </c>
      <c r="J465" s="2" t="s">
        <v>72</v>
      </c>
      <c r="K465" s="2" t="s">
        <v>45</v>
      </c>
      <c r="L465" s="3">
        <v>46125</v>
      </c>
    </row>
    <row r="466" spans="1:12">
      <c r="A466" s="2" t="s">
        <v>883</v>
      </c>
      <c r="B466" s="3">
        <v>46122</v>
      </c>
      <c r="C466" s="2" t="s">
        <v>884</v>
      </c>
      <c r="D466" s="2" t="s">
        <v>25</v>
      </c>
      <c r="E466" s="2" t="s">
        <v>15</v>
      </c>
      <c r="F466" s="2" t="s">
        <v>3</v>
      </c>
      <c r="G466" s="4">
        <v>23300</v>
      </c>
      <c r="H466" s="5">
        <v>5.8400000000000001E-2</v>
      </c>
      <c r="I466" s="2">
        <v>36</v>
      </c>
      <c r="J466" s="2" t="s">
        <v>66</v>
      </c>
      <c r="K466" s="2" t="s">
        <v>17</v>
      </c>
      <c r="L466" s="3">
        <v>46125</v>
      </c>
    </row>
    <row r="467" spans="1:12">
      <c r="A467" s="2" t="s">
        <v>885</v>
      </c>
      <c r="B467" s="3">
        <v>46122</v>
      </c>
      <c r="C467" s="2" t="s">
        <v>886</v>
      </c>
      <c r="D467" s="2" t="s">
        <v>25</v>
      </c>
      <c r="E467" s="2" t="s">
        <v>15</v>
      </c>
      <c r="F467" s="2" t="s">
        <v>3</v>
      </c>
      <c r="G467" s="4">
        <v>23000</v>
      </c>
      <c r="H467" s="5">
        <v>5.5100000000000003E-2</v>
      </c>
      <c r="I467" s="2">
        <v>48</v>
      </c>
      <c r="J467" s="2" t="s">
        <v>66</v>
      </c>
      <c r="K467" s="2" t="s">
        <v>17</v>
      </c>
      <c r="L467" s="3">
        <v>46124</v>
      </c>
    </row>
    <row r="468" spans="1:12">
      <c r="A468" s="2" t="s">
        <v>887</v>
      </c>
      <c r="B468" s="3">
        <v>46122</v>
      </c>
      <c r="C468" s="2" t="s">
        <v>888</v>
      </c>
      <c r="D468" s="2" t="s">
        <v>20</v>
      </c>
      <c r="E468" s="2" t="s">
        <v>30</v>
      </c>
      <c r="F468" s="2" t="s">
        <v>55</v>
      </c>
      <c r="G468" s="4">
        <v>11300</v>
      </c>
      <c r="H468" s="5">
        <v>4.3200000000000002E-2</v>
      </c>
      <c r="I468" s="2">
        <v>48</v>
      </c>
      <c r="J468" s="2" t="s">
        <v>22</v>
      </c>
      <c r="K468" s="2" t="s">
        <v>17</v>
      </c>
      <c r="L468" s="3">
        <v>46127</v>
      </c>
    </row>
    <row r="469" spans="1:12">
      <c r="A469" s="2" t="s">
        <v>889</v>
      </c>
      <c r="B469" s="3">
        <v>46122</v>
      </c>
      <c r="C469" s="2" t="s">
        <v>751</v>
      </c>
      <c r="D469" s="2" t="s">
        <v>25</v>
      </c>
      <c r="E469" s="2" t="s">
        <v>30</v>
      </c>
      <c r="F469" s="2" t="s">
        <v>3</v>
      </c>
      <c r="G469" s="4">
        <v>18700</v>
      </c>
      <c r="H469" s="5">
        <v>4.2299999999999997E-2</v>
      </c>
      <c r="I469" s="2">
        <v>60</v>
      </c>
      <c r="J469" s="2" t="s">
        <v>181</v>
      </c>
      <c r="K469" s="2" t="s">
        <v>17</v>
      </c>
      <c r="L469" s="3">
        <v>46123</v>
      </c>
    </row>
    <row r="470" spans="1:12">
      <c r="A470" s="2" t="s">
        <v>890</v>
      </c>
      <c r="B470" s="3">
        <v>46123</v>
      </c>
      <c r="C470" s="2" t="s">
        <v>891</v>
      </c>
      <c r="D470" s="2" t="s">
        <v>29</v>
      </c>
      <c r="E470" s="2" t="s">
        <v>30</v>
      </c>
      <c r="F470" s="2" t="s">
        <v>31</v>
      </c>
      <c r="G470" s="4">
        <v>11600</v>
      </c>
      <c r="H470" s="5">
        <v>3.7699999999999997E-2</v>
      </c>
      <c r="I470" s="2">
        <v>36</v>
      </c>
      <c r="J470" s="2" t="s">
        <v>61</v>
      </c>
      <c r="K470" s="2" t="s">
        <v>17</v>
      </c>
      <c r="L470" s="3">
        <v>46125</v>
      </c>
    </row>
    <row r="471" spans="1:12">
      <c r="A471" s="2" t="s">
        <v>892</v>
      </c>
      <c r="B471" s="3">
        <v>46123</v>
      </c>
      <c r="C471" s="2" t="s">
        <v>893</v>
      </c>
      <c r="D471" s="2" t="s">
        <v>14</v>
      </c>
      <c r="E471" s="2" t="s">
        <v>43</v>
      </c>
      <c r="F471" s="2" t="s">
        <v>3</v>
      </c>
      <c r="G471" s="4">
        <v>30500</v>
      </c>
      <c r="H471" s="5">
        <v>7.5399999999999995E-2</v>
      </c>
      <c r="I471" s="2">
        <v>24</v>
      </c>
      <c r="J471" s="2" t="s">
        <v>16</v>
      </c>
      <c r="K471" s="2" t="s">
        <v>17</v>
      </c>
      <c r="L471" s="3">
        <v>46133</v>
      </c>
    </row>
    <row r="472" spans="1:12">
      <c r="A472" s="2" t="s">
        <v>894</v>
      </c>
      <c r="B472" s="3">
        <v>46123</v>
      </c>
      <c r="C472" s="2" t="s">
        <v>856</v>
      </c>
      <c r="D472" s="2" t="s">
        <v>29</v>
      </c>
      <c r="E472" s="2" t="s">
        <v>21</v>
      </c>
      <c r="F472" s="2" t="s">
        <v>3</v>
      </c>
      <c r="G472" s="4">
        <v>133100</v>
      </c>
      <c r="H472" s="5">
        <v>4.2900000000000001E-2</v>
      </c>
      <c r="I472" s="2">
        <v>300</v>
      </c>
      <c r="J472" s="2" t="s">
        <v>32</v>
      </c>
      <c r="K472" s="2" t="s">
        <v>45</v>
      </c>
      <c r="L472" s="3">
        <v>46133</v>
      </c>
    </row>
    <row r="473" spans="1:12">
      <c r="A473" s="2" t="s">
        <v>895</v>
      </c>
      <c r="B473" s="3">
        <v>46123</v>
      </c>
      <c r="C473" s="2" t="s">
        <v>896</v>
      </c>
      <c r="D473" s="2" t="s">
        <v>14</v>
      </c>
      <c r="E473" s="2" t="s">
        <v>21</v>
      </c>
      <c r="F473" s="2" t="s">
        <v>3</v>
      </c>
      <c r="G473" s="4">
        <v>188600</v>
      </c>
      <c r="H473" s="5">
        <v>3.3599999999999998E-2</v>
      </c>
      <c r="I473" s="2">
        <v>120</v>
      </c>
      <c r="J473" s="2" t="s">
        <v>16</v>
      </c>
      <c r="K473" s="2" t="s">
        <v>17</v>
      </c>
      <c r="L473" s="3">
        <v>46139</v>
      </c>
    </row>
    <row r="474" spans="1:12">
      <c r="A474" s="2" t="s">
        <v>897</v>
      </c>
      <c r="B474" s="3">
        <v>46123</v>
      </c>
      <c r="C474" s="2" t="s">
        <v>898</v>
      </c>
      <c r="D474" s="2" t="s">
        <v>25</v>
      </c>
      <c r="E474" s="2" t="s">
        <v>30</v>
      </c>
      <c r="F474" s="2" t="s">
        <v>55</v>
      </c>
      <c r="G474" s="4">
        <v>13700</v>
      </c>
      <c r="H474" s="5">
        <v>4.1200000000000001E-2</v>
      </c>
      <c r="I474" s="2">
        <v>60</v>
      </c>
      <c r="J474" s="2" t="s">
        <v>66</v>
      </c>
      <c r="K474" s="2" t="s">
        <v>17</v>
      </c>
      <c r="L474" s="3">
        <v>46125</v>
      </c>
    </row>
    <row r="475" spans="1:12">
      <c r="A475" s="2" t="s">
        <v>899</v>
      </c>
      <c r="B475" s="3">
        <v>46123</v>
      </c>
      <c r="C475" s="2" t="s">
        <v>264</v>
      </c>
      <c r="D475" s="2" t="s">
        <v>25</v>
      </c>
      <c r="E475" s="2" t="s">
        <v>21</v>
      </c>
      <c r="F475" s="2" t="s">
        <v>31</v>
      </c>
      <c r="G475" s="4">
        <v>173200</v>
      </c>
      <c r="H475" s="5">
        <v>3.7100000000000001E-2</v>
      </c>
      <c r="I475" s="2">
        <v>120</v>
      </c>
      <c r="J475" s="2" t="s">
        <v>26</v>
      </c>
      <c r="K475" s="2" t="s">
        <v>17</v>
      </c>
      <c r="L475" s="3">
        <v>46146</v>
      </c>
    </row>
    <row r="476" spans="1:12">
      <c r="A476" s="2" t="s">
        <v>900</v>
      </c>
      <c r="B476" s="3">
        <v>46123</v>
      </c>
      <c r="C476" s="2" t="s">
        <v>479</v>
      </c>
      <c r="D476" s="2" t="s">
        <v>71</v>
      </c>
      <c r="E476" s="2" t="s">
        <v>30</v>
      </c>
      <c r="F476" s="2" t="s">
        <v>31</v>
      </c>
      <c r="G476" s="2" t="s">
        <v>901</v>
      </c>
      <c r="H476" s="5">
        <v>3.8199999999999998E-2</v>
      </c>
      <c r="I476" s="2">
        <v>48</v>
      </c>
      <c r="J476" s="2" t="s">
        <v>94</v>
      </c>
      <c r="K476" s="2" t="s">
        <v>45</v>
      </c>
      <c r="L476" s="3">
        <v>46125</v>
      </c>
    </row>
    <row r="477" spans="1:12">
      <c r="A477" s="2" t="s">
        <v>902</v>
      </c>
      <c r="B477" s="3">
        <v>46124</v>
      </c>
      <c r="C477" s="2" t="s">
        <v>903</v>
      </c>
      <c r="D477" s="2" t="s">
        <v>54</v>
      </c>
      <c r="E477" s="2" t="s">
        <v>43</v>
      </c>
      <c r="F477" s="2" t="s">
        <v>3</v>
      </c>
      <c r="G477" s="2" t="s">
        <v>904</v>
      </c>
      <c r="H477" s="5">
        <v>6.6500000000000004E-2</v>
      </c>
      <c r="I477" s="2">
        <v>24</v>
      </c>
      <c r="J477" s="2" t="s">
        <v>148</v>
      </c>
      <c r="K477" s="2" t="s">
        <v>17</v>
      </c>
      <c r="L477" s="3">
        <v>46144</v>
      </c>
    </row>
    <row r="478" spans="1:12">
      <c r="A478" s="2" t="s">
        <v>905</v>
      </c>
      <c r="B478" s="3">
        <v>46124</v>
      </c>
      <c r="C478" s="2" t="s">
        <v>282</v>
      </c>
      <c r="D478" s="2" t="s">
        <v>20</v>
      </c>
      <c r="E478" s="2" t="s">
        <v>15</v>
      </c>
      <c r="F478" s="2" t="s">
        <v>31</v>
      </c>
      <c r="G478" s="4">
        <v>10500</v>
      </c>
      <c r="H478" s="5">
        <v>5.5899999999999998E-2</v>
      </c>
      <c r="I478" s="2">
        <v>48</v>
      </c>
      <c r="J478" s="2" t="s">
        <v>22</v>
      </c>
      <c r="K478" s="2" t="s">
        <v>17</v>
      </c>
      <c r="L478" s="3">
        <v>46129</v>
      </c>
    </row>
    <row r="479" spans="1:12">
      <c r="A479" s="2" t="s">
        <v>906</v>
      </c>
      <c r="B479" s="3">
        <v>46124</v>
      </c>
      <c r="C479" s="2" t="s">
        <v>28</v>
      </c>
      <c r="D479" s="2" t="s">
        <v>20</v>
      </c>
      <c r="E479" s="2" t="s">
        <v>160</v>
      </c>
      <c r="F479" s="2" t="s">
        <v>31</v>
      </c>
      <c r="G479" s="4">
        <v>6700</v>
      </c>
      <c r="H479" s="5">
        <v>3.8399999999999997E-2</v>
      </c>
      <c r="I479" s="2">
        <v>36</v>
      </c>
      <c r="J479" s="2" t="s">
        <v>44</v>
      </c>
      <c r="K479" s="2" t="s">
        <v>17</v>
      </c>
      <c r="L479" s="3">
        <v>46129</v>
      </c>
    </row>
    <row r="480" spans="1:12">
      <c r="A480" s="2" t="s">
        <v>907</v>
      </c>
      <c r="B480" s="3">
        <v>46125</v>
      </c>
      <c r="C480" s="2" t="s">
        <v>908</v>
      </c>
      <c r="D480" s="2" t="s">
        <v>25</v>
      </c>
      <c r="E480" s="2" t="s">
        <v>15</v>
      </c>
      <c r="F480" s="2" t="s">
        <v>3</v>
      </c>
      <c r="G480" s="4">
        <v>22000</v>
      </c>
      <c r="H480" s="5">
        <v>6.3600000000000004E-2</v>
      </c>
      <c r="I480" s="2">
        <v>12</v>
      </c>
      <c r="J480" s="2" t="s">
        <v>66</v>
      </c>
      <c r="K480" s="2" t="s">
        <v>45</v>
      </c>
      <c r="L480" s="3">
        <v>46129</v>
      </c>
    </row>
    <row r="481" spans="1:12">
      <c r="A481" s="2" t="s">
        <v>909</v>
      </c>
      <c r="B481" s="3">
        <v>46125</v>
      </c>
      <c r="C481" s="2" t="s">
        <v>910</v>
      </c>
      <c r="D481" s="2" t="s">
        <v>25</v>
      </c>
      <c r="E481" s="2" t="s">
        <v>43</v>
      </c>
      <c r="F481" s="2" t="s">
        <v>31</v>
      </c>
      <c r="G481" s="4">
        <v>55900</v>
      </c>
      <c r="H481" s="5">
        <v>5.9700000000000003E-2</v>
      </c>
      <c r="I481" s="2">
        <v>24</v>
      </c>
      <c r="J481" s="2" t="s">
        <v>26</v>
      </c>
      <c r="K481" s="2" t="s">
        <v>45</v>
      </c>
      <c r="L481" s="3">
        <v>46135</v>
      </c>
    </row>
    <row r="482" spans="1:12">
      <c r="A482" s="2" t="s">
        <v>911</v>
      </c>
      <c r="B482" s="3">
        <v>46125</v>
      </c>
      <c r="C482" s="2" t="s">
        <v>912</v>
      </c>
      <c r="D482" s="2" t="s">
        <v>29</v>
      </c>
      <c r="E482" s="2" t="s">
        <v>15</v>
      </c>
      <c r="F482" s="2" t="s">
        <v>31</v>
      </c>
      <c r="G482" s="4">
        <v>13700</v>
      </c>
      <c r="H482" s="5">
        <v>5.91E-2</v>
      </c>
      <c r="I482" s="2">
        <v>36</v>
      </c>
      <c r="J482" s="2" t="s">
        <v>32</v>
      </c>
      <c r="K482" s="2" t="s">
        <v>45</v>
      </c>
      <c r="L482" s="3">
        <v>46130</v>
      </c>
    </row>
    <row r="483" spans="1:12">
      <c r="A483" s="2" t="s">
        <v>913</v>
      </c>
      <c r="B483" s="3">
        <v>46125</v>
      </c>
      <c r="C483" s="2" t="s">
        <v>224</v>
      </c>
      <c r="D483" s="2" t="s">
        <v>71</v>
      </c>
      <c r="E483" s="2" t="s">
        <v>15</v>
      </c>
      <c r="F483" s="2" t="s">
        <v>31</v>
      </c>
      <c r="G483" s="4">
        <v>11400</v>
      </c>
      <c r="H483" s="5">
        <v>6.5699999999999995E-2</v>
      </c>
      <c r="I483" s="2">
        <v>48</v>
      </c>
      <c r="J483" s="2" t="s">
        <v>101</v>
      </c>
      <c r="K483" s="2" t="s">
        <v>17</v>
      </c>
      <c r="L483" s="3">
        <v>46130</v>
      </c>
    </row>
    <row r="484" spans="1:12">
      <c r="A484" s="2" t="s">
        <v>914</v>
      </c>
      <c r="B484" s="3">
        <v>46125</v>
      </c>
      <c r="C484" s="2" t="s">
        <v>915</v>
      </c>
      <c r="D484" s="2" t="s">
        <v>54</v>
      </c>
      <c r="E484" s="2" t="s">
        <v>15</v>
      </c>
      <c r="F484" s="2" t="s">
        <v>55</v>
      </c>
      <c r="G484" s="4">
        <v>14500</v>
      </c>
      <c r="H484" s="5">
        <v>6.6100000000000006E-2</v>
      </c>
      <c r="I484" s="2">
        <v>24</v>
      </c>
      <c r="J484" s="2" t="s">
        <v>148</v>
      </c>
      <c r="K484" s="2" t="s">
        <v>17</v>
      </c>
      <c r="L484" s="3">
        <v>46126</v>
      </c>
    </row>
    <row r="485" spans="1:12">
      <c r="A485" s="2" t="s">
        <v>916</v>
      </c>
      <c r="B485" s="3">
        <v>46125</v>
      </c>
      <c r="C485" s="2" t="s">
        <v>917</v>
      </c>
      <c r="D485" s="2" t="s">
        <v>14</v>
      </c>
      <c r="E485" s="2" t="s">
        <v>15</v>
      </c>
      <c r="F485" s="2" t="s">
        <v>3</v>
      </c>
      <c r="G485" s="4">
        <v>16200</v>
      </c>
      <c r="H485" s="5">
        <v>5.1200000000000002E-2</v>
      </c>
      <c r="I485" s="2">
        <v>60</v>
      </c>
      <c r="J485" s="2" t="s">
        <v>16</v>
      </c>
      <c r="K485" s="2" t="s">
        <v>17</v>
      </c>
      <c r="L485" s="3">
        <v>46132</v>
      </c>
    </row>
    <row r="486" spans="1:12">
      <c r="A486" s="2" t="s">
        <v>918</v>
      </c>
      <c r="B486" s="3">
        <v>46125</v>
      </c>
      <c r="C486" s="2" t="s">
        <v>139</v>
      </c>
      <c r="D486" s="2" t="s">
        <v>14</v>
      </c>
      <c r="E486" s="2" t="s">
        <v>43</v>
      </c>
      <c r="F486" s="2" t="s">
        <v>329</v>
      </c>
      <c r="G486" s="4">
        <v>126100</v>
      </c>
      <c r="H486" s="5">
        <v>7.7299999999999994E-2</v>
      </c>
      <c r="I486" s="2">
        <v>36</v>
      </c>
      <c r="J486" s="2" t="s">
        <v>48</v>
      </c>
      <c r="K486" s="2" t="s">
        <v>17</v>
      </c>
      <c r="L486" s="3">
        <v>46132</v>
      </c>
    </row>
    <row r="487" spans="1:12">
      <c r="A487" s="2" t="s">
        <v>919</v>
      </c>
      <c r="B487" s="3">
        <v>46125</v>
      </c>
      <c r="C487" s="2" t="s">
        <v>447</v>
      </c>
      <c r="D487" s="2" t="s">
        <v>14</v>
      </c>
      <c r="E487" s="2" t="s">
        <v>30</v>
      </c>
      <c r="F487" s="2" t="s">
        <v>31</v>
      </c>
      <c r="G487" s="4">
        <v>15300</v>
      </c>
      <c r="H487" s="5">
        <v>4.65E-2</v>
      </c>
      <c r="I487" s="2">
        <v>60</v>
      </c>
      <c r="J487" s="2" t="s">
        <v>48</v>
      </c>
      <c r="K487" s="2" t="s">
        <v>17</v>
      </c>
      <c r="L487" s="3">
        <v>46129</v>
      </c>
    </row>
    <row r="488" spans="1:12">
      <c r="A488" s="2" t="s">
        <v>920</v>
      </c>
      <c r="B488" s="3">
        <v>46126</v>
      </c>
      <c r="C488" s="2" t="s">
        <v>310</v>
      </c>
      <c r="D488" s="2" t="s">
        <v>25</v>
      </c>
      <c r="E488" s="2" t="s">
        <v>21</v>
      </c>
      <c r="F488" s="2" t="s">
        <v>3</v>
      </c>
      <c r="G488" s="4">
        <v>77200</v>
      </c>
      <c r="H488" s="5">
        <v>3.1199999999999999E-2</v>
      </c>
      <c r="I488" s="2">
        <v>300</v>
      </c>
      <c r="J488" s="2" t="s">
        <v>66</v>
      </c>
      <c r="K488" s="2" t="s">
        <v>17</v>
      </c>
      <c r="L488" s="3">
        <v>46140</v>
      </c>
    </row>
    <row r="489" spans="1:12">
      <c r="A489" s="2" t="s">
        <v>921</v>
      </c>
      <c r="B489" s="3">
        <v>46126</v>
      </c>
      <c r="C489" s="2" t="s">
        <v>922</v>
      </c>
      <c r="D489" s="2" t="s">
        <v>25</v>
      </c>
      <c r="E489" s="2" t="s">
        <v>15</v>
      </c>
      <c r="F489" s="2" t="s">
        <v>3</v>
      </c>
      <c r="G489" s="2" t="s">
        <v>923</v>
      </c>
      <c r="H489" s="5">
        <v>6.5299999999999997E-2</v>
      </c>
      <c r="I489" s="2">
        <v>60</v>
      </c>
      <c r="J489" s="2" t="s">
        <v>26</v>
      </c>
      <c r="K489" s="2" t="s">
        <v>45</v>
      </c>
      <c r="L489" s="3">
        <v>46132</v>
      </c>
    </row>
    <row r="490" spans="1:12">
      <c r="A490" s="2" t="s">
        <v>924</v>
      </c>
      <c r="B490" s="3">
        <v>46126</v>
      </c>
      <c r="C490" s="2" t="s">
        <v>925</v>
      </c>
      <c r="D490" s="2" t="s">
        <v>54</v>
      </c>
      <c r="E490" s="2" t="s">
        <v>15</v>
      </c>
      <c r="F490" s="2" t="s">
        <v>3</v>
      </c>
      <c r="G490" s="4">
        <v>2300</v>
      </c>
      <c r="H490" s="5">
        <v>6.6100000000000006E-2</v>
      </c>
      <c r="I490" s="2">
        <v>48</v>
      </c>
      <c r="J490" s="2" t="s">
        <v>148</v>
      </c>
      <c r="K490" s="2" t="s">
        <v>45</v>
      </c>
      <c r="L490" s="3">
        <v>46130</v>
      </c>
    </row>
    <row r="491" spans="1:12">
      <c r="A491" s="2" t="s">
        <v>926</v>
      </c>
      <c r="B491" s="3">
        <v>46126</v>
      </c>
      <c r="C491" s="2" t="s">
        <v>378</v>
      </c>
      <c r="D491" s="2" t="s">
        <v>29</v>
      </c>
      <c r="E491" s="2" t="s">
        <v>21</v>
      </c>
      <c r="F491" s="2" t="s">
        <v>3</v>
      </c>
      <c r="G491" s="4">
        <v>167900</v>
      </c>
      <c r="H491" s="5">
        <v>4.36E-2</v>
      </c>
      <c r="I491" s="2">
        <v>300</v>
      </c>
      <c r="J491" s="2" t="s">
        <v>32</v>
      </c>
      <c r="K491" s="2" t="s">
        <v>17</v>
      </c>
      <c r="L491" s="3">
        <v>46137</v>
      </c>
    </row>
    <row r="492" spans="1:12">
      <c r="A492" s="2" t="s">
        <v>927</v>
      </c>
      <c r="B492" s="3">
        <v>46126</v>
      </c>
      <c r="C492" s="2" t="s">
        <v>928</v>
      </c>
      <c r="D492" s="2" t="s">
        <v>20</v>
      </c>
      <c r="E492" s="2" t="s">
        <v>15</v>
      </c>
      <c r="F492" s="2" t="s">
        <v>3</v>
      </c>
      <c r="G492" s="4">
        <v>18900</v>
      </c>
      <c r="H492" s="5">
        <v>6.0299999999999999E-2</v>
      </c>
      <c r="I492" s="2">
        <v>60</v>
      </c>
      <c r="J492" s="2" t="s">
        <v>44</v>
      </c>
      <c r="K492" s="2" t="s">
        <v>17</v>
      </c>
      <c r="L492" s="3">
        <v>46129</v>
      </c>
    </row>
    <row r="493" spans="1:12">
      <c r="A493" s="2" t="s">
        <v>929</v>
      </c>
      <c r="B493" s="3">
        <v>46126</v>
      </c>
      <c r="C493" s="2" t="s">
        <v>930</v>
      </c>
      <c r="D493" s="2" t="s">
        <v>25</v>
      </c>
      <c r="E493" s="2" t="s">
        <v>21</v>
      </c>
      <c r="F493" s="2" t="s">
        <v>3</v>
      </c>
      <c r="G493" s="4">
        <v>71400</v>
      </c>
      <c r="H493" s="5">
        <v>4.0599999999999997E-2</v>
      </c>
      <c r="I493" s="2">
        <v>300</v>
      </c>
      <c r="J493" s="2" t="s">
        <v>26</v>
      </c>
      <c r="K493" s="2" t="s">
        <v>17</v>
      </c>
      <c r="L493" s="3">
        <v>46144</v>
      </c>
    </row>
    <row r="494" spans="1:12">
      <c r="A494" s="2" t="s">
        <v>931</v>
      </c>
      <c r="B494" s="3">
        <v>46126</v>
      </c>
      <c r="C494" s="2" t="s">
        <v>932</v>
      </c>
      <c r="D494" s="2" t="s">
        <v>20</v>
      </c>
      <c r="E494" s="2" t="s">
        <v>30</v>
      </c>
      <c r="F494" s="2" t="s">
        <v>3</v>
      </c>
      <c r="G494" s="4">
        <v>9200</v>
      </c>
      <c r="H494" s="5">
        <v>4.24E-2</v>
      </c>
      <c r="I494" s="2">
        <v>36</v>
      </c>
      <c r="J494" s="2" t="s">
        <v>44</v>
      </c>
      <c r="K494" s="2" t="s">
        <v>17</v>
      </c>
      <c r="L494" s="3">
        <v>46128</v>
      </c>
    </row>
    <row r="495" spans="1:12">
      <c r="A495" s="2" t="s">
        <v>933</v>
      </c>
      <c r="B495" s="3">
        <v>46127</v>
      </c>
      <c r="C495" s="2" t="s">
        <v>484</v>
      </c>
      <c r="D495" s="2" t="s">
        <v>25</v>
      </c>
      <c r="E495" s="2" t="s">
        <v>15</v>
      </c>
      <c r="F495" s="2" t="s">
        <v>3</v>
      </c>
      <c r="G495" s="4">
        <v>17300</v>
      </c>
      <c r="H495" s="5">
        <v>5.96E-2</v>
      </c>
      <c r="I495" s="2">
        <v>60</v>
      </c>
      <c r="J495" s="2" t="s">
        <v>26</v>
      </c>
      <c r="K495" s="2" t="s">
        <v>17</v>
      </c>
      <c r="L495" s="3">
        <v>46133</v>
      </c>
    </row>
    <row r="496" spans="1:12">
      <c r="A496" s="2" t="s">
        <v>934</v>
      </c>
      <c r="B496" s="3">
        <v>46128</v>
      </c>
      <c r="C496" s="2" t="s">
        <v>935</v>
      </c>
      <c r="D496" s="2" t="s">
        <v>71</v>
      </c>
      <c r="E496" s="2" t="s">
        <v>15</v>
      </c>
      <c r="F496" s="2" t="s">
        <v>31</v>
      </c>
      <c r="G496" s="4">
        <v>14500</v>
      </c>
      <c r="H496" s="5">
        <v>5.0900000000000001E-2</v>
      </c>
      <c r="I496" s="2">
        <v>48</v>
      </c>
      <c r="J496" s="2" t="s">
        <v>72</v>
      </c>
      <c r="K496" s="2" t="s">
        <v>17</v>
      </c>
      <c r="L496" s="3">
        <v>46134</v>
      </c>
    </row>
    <row r="497" spans="1:12">
      <c r="A497" s="2" t="s">
        <v>936</v>
      </c>
      <c r="B497" s="3">
        <v>46128</v>
      </c>
      <c r="C497" s="2" t="s">
        <v>324</v>
      </c>
      <c r="D497" s="2" t="s">
        <v>20</v>
      </c>
      <c r="E497" s="2" t="s">
        <v>15</v>
      </c>
      <c r="F497" s="2" t="s">
        <v>3</v>
      </c>
      <c r="G497" s="4">
        <v>5100</v>
      </c>
      <c r="H497" s="5">
        <v>6.6799999999999998E-2</v>
      </c>
      <c r="I497" s="2">
        <v>48</v>
      </c>
      <c r="J497" s="2" t="s">
        <v>44</v>
      </c>
      <c r="K497" s="2" t="s">
        <v>17</v>
      </c>
      <c r="L497" s="3">
        <v>46131</v>
      </c>
    </row>
    <row r="498" spans="1:12">
      <c r="A498" s="2" t="s">
        <v>937</v>
      </c>
      <c r="B498" s="3">
        <v>46128</v>
      </c>
      <c r="C498" s="2" t="s">
        <v>938</v>
      </c>
      <c r="D498" s="2" t="s">
        <v>71</v>
      </c>
      <c r="E498" s="2" t="s">
        <v>30</v>
      </c>
      <c r="F498" s="2" t="s">
        <v>3</v>
      </c>
      <c r="G498" s="4">
        <v>7500</v>
      </c>
      <c r="H498" s="5">
        <v>4.6800000000000001E-2</v>
      </c>
      <c r="I498" s="2">
        <v>48</v>
      </c>
      <c r="J498" s="2" t="s">
        <v>101</v>
      </c>
      <c r="K498" s="2" t="s">
        <v>17</v>
      </c>
      <c r="L498" s="3">
        <v>46131</v>
      </c>
    </row>
    <row r="499" spans="1:12">
      <c r="A499" s="2" t="s">
        <v>939</v>
      </c>
      <c r="B499" s="3">
        <v>46128</v>
      </c>
      <c r="C499" s="2" t="s">
        <v>940</v>
      </c>
      <c r="D499" s="2" t="s">
        <v>29</v>
      </c>
      <c r="E499" s="2" t="s">
        <v>21</v>
      </c>
      <c r="F499" s="2" t="s">
        <v>55</v>
      </c>
      <c r="G499" s="2" t="s">
        <v>941</v>
      </c>
      <c r="H499" s="5">
        <v>3.4599999999999999E-2</v>
      </c>
      <c r="I499" s="2">
        <v>120</v>
      </c>
      <c r="J499" s="2" t="s">
        <v>123</v>
      </c>
      <c r="K499" s="2" t="s">
        <v>17</v>
      </c>
      <c r="L499" s="3">
        <v>46157</v>
      </c>
    </row>
    <row r="500" spans="1:12">
      <c r="A500" s="2" t="s">
        <v>942</v>
      </c>
      <c r="B500" s="3">
        <v>46128</v>
      </c>
      <c r="C500" s="2" t="s">
        <v>616</v>
      </c>
      <c r="D500" s="2" t="s">
        <v>14</v>
      </c>
      <c r="E500" s="2" t="s">
        <v>15</v>
      </c>
      <c r="F500" s="2" t="s">
        <v>3</v>
      </c>
      <c r="G500" s="4">
        <v>22000</v>
      </c>
      <c r="H500" s="5">
        <v>5.6000000000000001E-2</v>
      </c>
      <c r="I500" s="2">
        <v>12</v>
      </c>
      <c r="J500" s="2" t="s">
        <v>40</v>
      </c>
      <c r="K500" s="2" t="s">
        <v>17</v>
      </c>
      <c r="L500" s="3">
        <v>46132</v>
      </c>
    </row>
    <row r="501" spans="1:12">
      <c r="A501" s="2" t="s">
        <v>943</v>
      </c>
      <c r="B501" s="3">
        <v>46128</v>
      </c>
      <c r="C501" s="2" t="s">
        <v>944</v>
      </c>
      <c r="D501" s="2" t="s">
        <v>14</v>
      </c>
      <c r="E501" s="2" t="s">
        <v>945</v>
      </c>
      <c r="F501" s="2" t="s">
        <v>31</v>
      </c>
      <c r="G501" s="4">
        <v>215200</v>
      </c>
      <c r="H501" s="5">
        <v>3.9800000000000002E-2</v>
      </c>
      <c r="I501" s="2">
        <v>300</v>
      </c>
      <c r="J501" s="2" t="s">
        <v>40</v>
      </c>
      <c r="K501" s="2" t="s">
        <v>17</v>
      </c>
      <c r="L501" s="3">
        <v>46150</v>
      </c>
    </row>
    <row r="502" spans="1:12">
      <c r="A502" s="2" t="s">
        <v>946</v>
      </c>
      <c r="B502" s="3">
        <v>46129</v>
      </c>
      <c r="C502" s="2" t="s">
        <v>278</v>
      </c>
      <c r="D502" s="2" t="s">
        <v>25</v>
      </c>
      <c r="E502" s="2" t="s">
        <v>43</v>
      </c>
      <c r="F502" s="2" t="s">
        <v>31</v>
      </c>
      <c r="G502" s="4">
        <v>172200</v>
      </c>
      <c r="H502" s="5">
        <v>6.9199999999999998E-2</v>
      </c>
      <c r="I502" s="2">
        <v>84</v>
      </c>
      <c r="J502" s="2" t="s">
        <v>26</v>
      </c>
      <c r="K502" s="2" t="s">
        <v>17</v>
      </c>
      <c r="L502" s="3">
        <v>46137</v>
      </c>
    </row>
    <row r="503" spans="1:12">
      <c r="A503" s="2" t="s">
        <v>947</v>
      </c>
      <c r="B503" s="3">
        <v>46129</v>
      </c>
      <c r="C503" s="2" t="s">
        <v>948</v>
      </c>
      <c r="D503" s="2" t="s">
        <v>29</v>
      </c>
      <c r="E503" s="2" t="s">
        <v>30</v>
      </c>
      <c r="F503" s="2" t="s">
        <v>3</v>
      </c>
      <c r="G503" s="4">
        <v>9900</v>
      </c>
      <c r="H503" s="5">
        <v>4.7E-2</v>
      </c>
      <c r="I503" s="2">
        <v>48</v>
      </c>
      <c r="J503" s="2" t="s">
        <v>32</v>
      </c>
      <c r="K503" s="2" t="s">
        <v>17</v>
      </c>
      <c r="L503" s="3">
        <v>46130</v>
      </c>
    </row>
    <row r="504" spans="1:12">
      <c r="A504" s="2" t="s">
        <v>949</v>
      </c>
      <c r="B504" s="3">
        <v>46129</v>
      </c>
      <c r="C504" s="2" t="s">
        <v>258</v>
      </c>
      <c r="D504" s="2" t="s">
        <v>20</v>
      </c>
      <c r="E504" s="2" t="s">
        <v>15</v>
      </c>
      <c r="F504" s="2" t="s">
        <v>3</v>
      </c>
      <c r="G504" s="4">
        <v>6900</v>
      </c>
      <c r="H504" s="5">
        <v>5.1799999999999999E-2</v>
      </c>
      <c r="I504" s="2">
        <v>60</v>
      </c>
      <c r="J504" s="2" t="s">
        <v>44</v>
      </c>
      <c r="K504" s="2" t="s">
        <v>17</v>
      </c>
      <c r="L504" s="3">
        <v>46130</v>
      </c>
    </row>
    <row r="505" spans="1:12">
      <c r="A505" s="2" t="s">
        <v>950</v>
      </c>
      <c r="B505" s="3">
        <v>46129</v>
      </c>
      <c r="C505" s="2" t="s">
        <v>951</v>
      </c>
      <c r="D505" s="2" t="s">
        <v>54</v>
      </c>
      <c r="E505" s="2" t="s">
        <v>30</v>
      </c>
      <c r="F505" s="2" t="s">
        <v>3</v>
      </c>
      <c r="G505" s="4">
        <v>15700</v>
      </c>
      <c r="H505" s="5">
        <v>3.9699999999999999E-2</v>
      </c>
      <c r="I505" s="2">
        <v>60</v>
      </c>
      <c r="J505" s="2" t="s">
        <v>56</v>
      </c>
      <c r="K505" s="2" t="s">
        <v>17</v>
      </c>
      <c r="L505" s="3">
        <v>46133</v>
      </c>
    </row>
    <row r="506" spans="1:12">
      <c r="A506" s="2" t="s">
        <v>952</v>
      </c>
      <c r="B506" s="3">
        <v>46130</v>
      </c>
      <c r="C506" s="2" t="s">
        <v>380</v>
      </c>
      <c r="D506" s="2" t="s">
        <v>20</v>
      </c>
      <c r="E506" s="2" t="s">
        <v>30</v>
      </c>
      <c r="F506" s="2" t="s">
        <v>31</v>
      </c>
      <c r="G506" s="4">
        <v>8600</v>
      </c>
      <c r="H506" s="5">
        <v>4.7500000000000001E-2</v>
      </c>
      <c r="I506" s="2">
        <v>60</v>
      </c>
      <c r="J506" s="2" t="s">
        <v>22</v>
      </c>
      <c r="K506" s="2" t="s">
        <v>17</v>
      </c>
      <c r="L506" s="3">
        <v>46134</v>
      </c>
    </row>
    <row r="507" spans="1:12">
      <c r="A507" s="2" t="s">
        <v>953</v>
      </c>
      <c r="B507" s="3">
        <v>46130</v>
      </c>
      <c r="C507" s="2" t="s">
        <v>891</v>
      </c>
      <c r="D507" s="2" t="s">
        <v>14</v>
      </c>
      <c r="E507" s="2" t="s">
        <v>15</v>
      </c>
      <c r="F507" s="2" t="s">
        <v>31</v>
      </c>
      <c r="G507" s="4">
        <v>5900</v>
      </c>
      <c r="H507" s="5">
        <v>6.3200000000000006E-2</v>
      </c>
      <c r="I507" s="2">
        <v>48</v>
      </c>
      <c r="J507" s="2" t="s">
        <v>40</v>
      </c>
      <c r="K507" s="2" t="s">
        <v>17</v>
      </c>
      <c r="L507" s="3">
        <v>46134</v>
      </c>
    </row>
    <row r="508" spans="1:12">
      <c r="A508" s="2" t="s">
        <v>954</v>
      </c>
      <c r="B508" s="3">
        <v>46131</v>
      </c>
      <c r="C508" s="2" t="s">
        <v>34</v>
      </c>
      <c r="D508" s="2" t="s">
        <v>20</v>
      </c>
      <c r="E508" s="2" t="s">
        <v>15</v>
      </c>
      <c r="F508" s="2" t="s">
        <v>31</v>
      </c>
      <c r="G508" s="4">
        <v>7900</v>
      </c>
      <c r="H508" s="5">
        <v>6.4299999999999996E-2</v>
      </c>
      <c r="I508" s="2">
        <v>60</v>
      </c>
      <c r="J508" s="2" t="s">
        <v>37</v>
      </c>
      <c r="K508" s="2" t="s">
        <v>17</v>
      </c>
      <c r="L508" s="3">
        <v>46135</v>
      </c>
    </row>
    <row r="509" spans="1:12">
      <c r="A509" s="2" t="s">
        <v>955</v>
      </c>
      <c r="B509" s="3">
        <v>46131</v>
      </c>
      <c r="C509" s="2" t="s">
        <v>280</v>
      </c>
      <c r="D509" s="2" t="s">
        <v>25</v>
      </c>
      <c r="E509" s="2" t="s">
        <v>43</v>
      </c>
      <c r="F509" s="2" t="s">
        <v>956</v>
      </c>
      <c r="G509" s="4">
        <v>64000</v>
      </c>
      <c r="H509" s="5">
        <v>6.8199999999999997E-2</v>
      </c>
      <c r="I509" s="2">
        <v>84</v>
      </c>
      <c r="J509" s="2" t="s">
        <v>181</v>
      </c>
      <c r="K509" s="2" t="s">
        <v>45</v>
      </c>
      <c r="L509" s="3">
        <v>46147</v>
      </c>
    </row>
    <row r="510" spans="1:12">
      <c r="A510" s="2" t="s">
        <v>957</v>
      </c>
      <c r="B510" s="3">
        <v>46132</v>
      </c>
      <c r="C510" s="2" t="s">
        <v>860</v>
      </c>
      <c r="D510" s="2" t="s">
        <v>14</v>
      </c>
      <c r="E510" s="2" t="s">
        <v>30</v>
      </c>
      <c r="F510" s="2" t="s">
        <v>3</v>
      </c>
      <c r="G510" s="4">
        <v>9800</v>
      </c>
      <c r="H510" s="5">
        <v>3.7199999999999997E-2</v>
      </c>
      <c r="I510" s="2">
        <v>60</v>
      </c>
      <c r="J510" s="2" t="s">
        <v>40</v>
      </c>
      <c r="K510" s="2" t="s">
        <v>17</v>
      </c>
      <c r="L510" s="3">
        <v>46137</v>
      </c>
    </row>
    <row r="511" spans="1:12">
      <c r="A511" s="2" t="s">
        <v>958</v>
      </c>
      <c r="B511" s="3">
        <v>46132</v>
      </c>
      <c r="C511" s="2" t="s">
        <v>575</v>
      </c>
      <c r="D511" s="2" t="s">
        <v>54</v>
      </c>
      <c r="E511" s="2" t="s">
        <v>15</v>
      </c>
      <c r="F511" s="2" t="s">
        <v>3</v>
      </c>
      <c r="G511" s="4">
        <v>9800</v>
      </c>
      <c r="H511" s="5">
        <v>6.3E-2</v>
      </c>
      <c r="I511" s="2">
        <v>48</v>
      </c>
      <c r="J511" s="2" t="s">
        <v>148</v>
      </c>
      <c r="K511" s="2" t="s">
        <v>17</v>
      </c>
      <c r="L511" s="3">
        <v>46138</v>
      </c>
    </row>
    <row r="512" spans="1:12">
      <c r="A512" s="2" t="s">
        <v>959</v>
      </c>
      <c r="B512" s="3">
        <v>46133</v>
      </c>
      <c r="C512" s="2" t="s">
        <v>636</v>
      </c>
      <c r="D512" s="2" t="s">
        <v>14</v>
      </c>
      <c r="E512" s="2" t="s">
        <v>21</v>
      </c>
      <c r="F512" s="2" t="s">
        <v>55</v>
      </c>
      <c r="G512" s="4">
        <v>98400</v>
      </c>
      <c r="H512" s="5">
        <v>3.7900000000000003E-2</v>
      </c>
      <c r="I512" s="2">
        <v>240</v>
      </c>
      <c r="J512" s="2" t="s">
        <v>16</v>
      </c>
      <c r="K512" s="2" t="s">
        <v>45</v>
      </c>
      <c r="L512" s="3">
        <v>46146</v>
      </c>
    </row>
    <row r="513" spans="1:12">
      <c r="A513" s="2" t="s">
        <v>960</v>
      </c>
      <c r="B513" s="3">
        <v>46133</v>
      </c>
      <c r="C513" s="2" t="s">
        <v>583</v>
      </c>
      <c r="D513" s="2" t="s">
        <v>29</v>
      </c>
      <c r="E513" s="2" t="s">
        <v>15</v>
      </c>
      <c r="F513" s="2" t="s">
        <v>31</v>
      </c>
      <c r="G513" s="4">
        <v>12100</v>
      </c>
      <c r="H513" s="5">
        <v>6.4199999999999993E-2</v>
      </c>
      <c r="I513" s="2">
        <v>36</v>
      </c>
      <c r="J513" s="2" t="s">
        <v>123</v>
      </c>
      <c r="K513" s="2" t="s">
        <v>17</v>
      </c>
      <c r="L513" s="3">
        <v>46134</v>
      </c>
    </row>
    <row r="514" spans="1:12">
      <c r="A514" s="2" t="s">
        <v>961</v>
      </c>
      <c r="B514" s="3">
        <v>46133</v>
      </c>
      <c r="C514" s="2" t="s">
        <v>19</v>
      </c>
      <c r="D514" s="2" t="s">
        <v>14</v>
      </c>
      <c r="E514" s="2" t="s">
        <v>21</v>
      </c>
      <c r="F514" s="2" t="s">
        <v>3</v>
      </c>
      <c r="G514" s="4">
        <v>177600</v>
      </c>
      <c r="H514" s="5">
        <v>4.4400000000000002E-2</v>
      </c>
      <c r="I514" s="2">
        <v>240</v>
      </c>
      <c r="J514" s="2" t="s">
        <v>48</v>
      </c>
      <c r="K514" s="2" t="s">
        <v>45</v>
      </c>
      <c r="L514" s="3">
        <v>46144</v>
      </c>
    </row>
    <row r="515" spans="1:12">
      <c r="A515" s="2" t="s">
        <v>962</v>
      </c>
      <c r="B515" s="3">
        <v>46134</v>
      </c>
      <c r="C515" s="2" t="s">
        <v>963</v>
      </c>
      <c r="D515" s="2" t="s">
        <v>71</v>
      </c>
      <c r="E515" s="2" t="s">
        <v>43</v>
      </c>
      <c r="F515" s="2" t="s">
        <v>3</v>
      </c>
      <c r="G515" s="4">
        <v>136800</v>
      </c>
      <c r="H515" s="5">
        <v>7.3400000000000007E-2</v>
      </c>
      <c r="I515" s="2">
        <v>36</v>
      </c>
      <c r="J515" s="2" t="s">
        <v>101</v>
      </c>
      <c r="K515" s="2" t="s">
        <v>45</v>
      </c>
      <c r="L515" s="3">
        <v>46146</v>
      </c>
    </row>
    <row r="516" spans="1:12">
      <c r="A516" s="2" t="s">
        <v>964</v>
      </c>
      <c r="B516" s="3">
        <v>46134</v>
      </c>
      <c r="C516" s="2" t="s">
        <v>543</v>
      </c>
      <c r="D516" s="2" t="s">
        <v>54</v>
      </c>
      <c r="E516" s="2" t="s">
        <v>30</v>
      </c>
      <c r="F516" s="2" t="s">
        <v>55</v>
      </c>
      <c r="G516" s="4">
        <v>11200</v>
      </c>
      <c r="H516" s="5">
        <v>4.9700000000000001E-2</v>
      </c>
      <c r="I516" s="2">
        <v>60</v>
      </c>
      <c r="J516" s="2" t="s">
        <v>148</v>
      </c>
      <c r="K516" s="2" t="s">
        <v>17</v>
      </c>
      <c r="L516" s="3">
        <v>46138</v>
      </c>
    </row>
    <row r="517" spans="1:12">
      <c r="A517" s="2" t="s">
        <v>965</v>
      </c>
      <c r="B517" s="3">
        <v>46134</v>
      </c>
      <c r="C517" s="2" t="s">
        <v>523</v>
      </c>
      <c r="D517" s="2" t="s">
        <v>25</v>
      </c>
      <c r="E517" s="2" t="s">
        <v>15</v>
      </c>
      <c r="F517" s="2" t="s">
        <v>3</v>
      </c>
      <c r="G517" s="4">
        <v>23000</v>
      </c>
      <c r="H517" s="5">
        <v>5.7299999999999997E-2</v>
      </c>
      <c r="I517" s="2">
        <v>48</v>
      </c>
      <c r="J517" s="2" t="s">
        <v>181</v>
      </c>
      <c r="K517" s="2" t="s">
        <v>45</v>
      </c>
      <c r="L517" s="3">
        <v>46139</v>
      </c>
    </row>
    <row r="518" spans="1:12">
      <c r="A518" s="2" t="s">
        <v>966</v>
      </c>
      <c r="B518" s="3">
        <v>46134</v>
      </c>
      <c r="C518" s="2" t="s">
        <v>967</v>
      </c>
      <c r="D518" s="2" t="s">
        <v>25</v>
      </c>
      <c r="E518" s="2" t="s">
        <v>15</v>
      </c>
      <c r="F518" s="2" t="s">
        <v>55</v>
      </c>
      <c r="G518" s="2" t="s">
        <v>968</v>
      </c>
      <c r="H518" s="5">
        <v>5.21E-2</v>
      </c>
      <c r="I518" s="2">
        <v>36</v>
      </c>
      <c r="J518" s="2" t="s">
        <v>181</v>
      </c>
      <c r="K518" s="2" t="s">
        <v>17</v>
      </c>
      <c r="L518" s="3">
        <v>46135</v>
      </c>
    </row>
    <row r="519" spans="1:12">
      <c r="A519" s="2" t="s">
        <v>969</v>
      </c>
      <c r="B519" s="3">
        <v>46134</v>
      </c>
      <c r="C519" s="2" t="s">
        <v>78</v>
      </c>
      <c r="D519" s="2" t="s">
        <v>29</v>
      </c>
      <c r="E519" s="2" t="s">
        <v>151</v>
      </c>
      <c r="F519" s="2" t="s">
        <v>3</v>
      </c>
      <c r="G519" s="4">
        <v>112000</v>
      </c>
      <c r="H519" s="5">
        <v>6.3500000000000001E-2</v>
      </c>
      <c r="I519" s="2">
        <v>36</v>
      </c>
      <c r="J519" s="2" t="s">
        <v>123</v>
      </c>
      <c r="K519" s="2" t="s">
        <v>17</v>
      </c>
      <c r="L519" s="3">
        <v>46152</v>
      </c>
    </row>
    <row r="520" spans="1:12">
      <c r="A520" s="2" t="s">
        <v>970</v>
      </c>
      <c r="B520" s="3">
        <v>46134</v>
      </c>
      <c r="C520" s="2" t="s">
        <v>971</v>
      </c>
      <c r="D520" s="2" t="s">
        <v>71</v>
      </c>
      <c r="E520" s="2" t="s">
        <v>151</v>
      </c>
      <c r="F520" s="2" t="s">
        <v>3</v>
      </c>
      <c r="G520" s="4">
        <v>61300</v>
      </c>
      <c r="H520" s="5">
        <v>7.2400000000000006E-2</v>
      </c>
      <c r="I520" s="2">
        <v>60</v>
      </c>
      <c r="J520" s="2" t="s">
        <v>72</v>
      </c>
      <c r="K520" s="2" t="s">
        <v>17</v>
      </c>
      <c r="L520" s="3">
        <v>46148</v>
      </c>
    </row>
    <row r="521" spans="1:12">
      <c r="A521" s="2" t="s">
        <v>972</v>
      </c>
      <c r="B521" s="3">
        <v>46135</v>
      </c>
      <c r="C521" s="2" t="s">
        <v>973</v>
      </c>
      <c r="D521" s="2" t="s">
        <v>14</v>
      </c>
      <c r="E521" s="2" t="s">
        <v>30</v>
      </c>
      <c r="F521" s="2" t="s">
        <v>3</v>
      </c>
      <c r="G521" s="4">
        <v>12000</v>
      </c>
      <c r="H521" s="5">
        <v>4.5699999999999998E-2</v>
      </c>
      <c r="I521" s="2">
        <v>60</v>
      </c>
      <c r="J521" s="2" t="s">
        <v>16</v>
      </c>
      <c r="K521" s="2" t="s">
        <v>45</v>
      </c>
      <c r="L521" s="3">
        <v>46139</v>
      </c>
    </row>
    <row r="522" spans="1:12">
      <c r="A522" s="2" t="s">
        <v>974</v>
      </c>
      <c r="B522" s="3">
        <v>46135</v>
      </c>
      <c r="C522" s="2" t="s">
        <v>975</v>
      </c>
      <c r="D522" s="2" t="s">
        <v>20</v>
      </c>
      <c r="E522" s="2" t="s">
        <v>30</v>
      </c>
      <c r="F522" s="2" t="s">
        <v>55</v>
      </c>
      <c r="G522" s="4">
        <v>13200</v>
      </c>
      <c r="H522" s="5">
        <v>4.2000000000000003E-2</v>
      </c>
      <c r="I522" s="2">
        <v>60</v>
      </c>
      <c r="J522" s="2" t="s">
        <v>44</v>
      </c>
      <c r="K522" s="2" t="s">
        <v>17</v>
      </c>
      <c r="L522" s="3">
        <v>46137</v>
      </c>
    </row>
    <row r="523" spans="1:12">
      <c r="A523" s="2" t="s">
        <v>976</v>
      </c>
      <c r="B523" s="3">
        <v>46135</v>
      </c>
      <c r="C523" s="2" t="s">
        <v>977</v>
      </c>
      <c r="D523" s="2" t="s">
        <v>14</v>
      </c>
      <c r="E523" s="2" t="s">
        <v>30</v>
      </c>
      <c r="F523" s="2" t="s">
        <v>55</v>
      </c>
      <c r="G523" s="4">
        <v>12700</v>
      </c>
      <c r="H523" s="5">
        <v>4.1000000000000002E-2</v>
      </c>
      <c r="I523" s="2">
        <v>36</v>
      </c>
      <c r="J523" s="2" t="s">
        <v>16</v>
      </c>
      <c r="K523" s="2" t="s">
        <v>17</v>
      </c>
      <c r="L523" s="3">
        <v>46137</v>
      </c>
    </row>
    <row r="524" spans="1:12">
      <c r="A524" s="2" t="s">
        <v>976</v>
      </c>
      <c r="B524" s="3">
        <v>46135</v>
      </c>
      <c r="C524" s="2" t="s">
        <v>977</v>
      </c>
      <c r="D524" s="2" t="s">
        <v>14</v>
      </c>
      <c r="E524" s="2" t="s">
        <v>30</v>
      </c>
      <c r="F524" s="2" t="s">
        <v>55</v>
      </c>
      <c r="G524" s="4">
        <v>12700</v>
      </c>
      <c r="H524" s="5">
        <v>4.1000000000000002E-2</v>
      </c>
      <c r="I524" s="2">
        <v>36</v>
      </c>
      <c r="J524" s="2" t="s">
        <v>16</v>
      </c>
      <c r="K524" s="2" t="s">
        <v>17</v>
      </c>
      <c r="L524" s="3">
        <v>46137</v>
      </c>
    </row>
    <row r="525" spans="1:12">
      <c r="A525" s="2" t="s">
        <v>978</v>
      </c>
      <c r="B525" s="3">
        <v>46135</v>
      </c>
      <c r="C525" s="2" t="s">
        <v>979</v>
      </c>
      <c r="D525" s="2" t="s">
        <v>14</v>
      </c>
      <c r="E525" s="2" t="s">
        <v>43</v>
      </c>
      <c r="F525" s="2" t="s">
        <v>3</v>
      </c>
      <c r="G525" s="4">
        <v>113700</v>
      </c>
      <c r="H525" s="5">
        <v>7.4300000000000005E-2</v>
      </c>
      <c r="I525" s="2">
        <v>84</v>
      </c>
      <c r="J525" s="2" t="s">
        <v>48</v>
      </c>
      <c r="K525" s="2" t="s">
        <v>17</v>
      </c>
      <c r="L525" s="3">
        <v>46146</v>
      </c>
    </row>
    <row r="526" spans="1:12">
      <c r="A526" s="2" t="s">
        <v>980</v>
      </c>
      <c r="B526" s="3">
        <v>46136</v>
      </c>
      <c r="C526" s="2" t="s">
        <v>981</v>
      </c>
      <c r="D526" s="2" t="s">
        <v>20</v>
      </c>
      <c r="E526" s="2" t="s">
        <v>15</v>
      </c>
      <c r="F526" s="2" t="s">
        <v>31</v>
      </c>
      <c r="G526" s="4">
        <v>23600</v>
      </c>
      <c r="H526" s="5">
        <v>5.5300000000000002E-2</v>
      </c>
      <c r="I526" s="2">
        <v>60</v>
      </c>
      <c r="J526" s="2" t="s">
        <v>37</v>
      </c>
      <c r="K526" s="2" t="s">
        <v>45</v>
      </c>
      <c r="L526" s="3">
        <v>46138</v>
      </c>
    </row>
    <row r="527" spans="1:12">
      <c r="A527" s="2" t="s">
        <v>982</v>
      </c>
      <c r="B527" s="3">
        <v>46136</v>
      </c>
      <c r="C527" s="2" t="s">
        <v>983</v>
      </c>
      <c r="D527" s="2" t="s">
        <v>29</v>
      </c>
      <c r="E527" s="2" t="s">
        <v>151</v>
      </c>
      <c r="F527" s="2" t="s">
        <v>3</v>
      </c>
      <c r="G527" s="4">
        <v>72300</v>
      </c>
      <c r="H527" s="5">
        <v>6.1499999999999999E-2</v>
      </c>
      <c r="I527" s="2">
        <v>36</v>
      </c>
      <c r="J527" s="2" t="s">
        <v>61</v>
      </c>
      <c r="K527" s="2" t="s">
        <v>45</v>
      </c>
      <c r="L527" s="3">
        <v>46145</v>
      </c>
    </row>
    <row r="528" spans="1:12">
      <c r="A528" s="2" t="s">
        <v>984</v>
      </c>
      <c r="B528" s="3">
        <v>46136</v>
      </c>
      <c r="C528" s="2" t="s">
        <v>985</v>
      </c>
      <c r="D528" s="2" t="s">
        <v>14</v>
      </c>
      <c r="E528" s="2" t="s">
        <v>30</v>
      </c>
      <c r="F528" s="2" t="s">
        <v>31</v>
      </c>
      <c r="G528" s="4">
        <v>11400</v>
      </c>
      <c r="H528" s="5">
        <v>3.9199999999999999E-2</v>
      </c>
      <c r="I528" s="2">
        <v>36</v>
      </c>
      <c r="J528" s="2" t="s">
        <v>16</v>
      </c>
      <c r="K528" s="2" t="s">
        <v>45</v>
      </c>
      <c r="L528" s="3">
        <v>46139</v>
      </c>
    </row>
    <row r="529" spans="1:12">
      <c r="A529" s="2" t="s">
        <v>986</v>
      </c>
      <c r="B529" s="3">
        <v>46136</v>
      </c>
      <c r="C529" s="2" t="s">
        <v>404</v>
      </c>
      <c r="D529" s="2" t="s">
        <v>54</v>
      </c>
      <c r="E529" s="2" t="s">
        <v>43</v>
      </c>
      <c r="F529" s="2" t="s">
        <v>987</v>
      </c>
      <c r="G529" s="4">
        <v>125100</v>
      </c>
      <c r="H529" s="5">
        <v>6.1499999999999999E-2</v>
      </c>
      <c r="I529" s="2">
        <v>84</v>
      </c>
      <c r="J529" s="2" t="s">
        <v>186</v>
      </c>
      <c r="K529" s="2" t="s">
        <v>17</v>
      </c>
      <c r="L529" s="3">
        <v>46144</v>
      </c>
    </row>
    <row r="530" spans="1:12">
      <c r="A530" s="2" t="s">
        <v>988</v>
      </c>
      <c r="B530" s="3">
        <v>46136</v>
      </c>
      <c r="C530" s="2" t="s">
        <v>989</v>
      </c>
      <c r="D530" s="2" t="s">
        <v>14</v>
      </c>
      <c r="E530" s="2" t="s">
        <v>15</v>
      </c>
      <c r="F530" s="2" t="s">
        <v>3</v>
      </c>
      <c r="G530" s="4">
        <v>25000</v>
      </c>
      <c r="H530" s="5">
        <v>6.6600000000000006E-2</v>
      </c>
      <c r="I530" s="2">
        <v>12</v>
      </c>
      <c r="J530" s="2" t="s">
        <v>48</v>
      </c>
      <c r="K530" s="2" t="s">
        <v>17</v>
      </c>
      <c r="L530" s="3">
        <v>46141</v>
      </c>
    </row>
    <row r="531" spans="1:12">
      <c r="A531" s="2" t="s">
        <v>990</v>
      </c>
      <c r="B531" s="3">
        <v>46137</v>
      </c>
      <c r="C531" s="2" t="s">
        <v>991</v>
      </c>
      <c r="D531" s="2" t="s">
        <v>14</v>
      </c>
      <c r="E531" s="2" t="s">
        <v>15</v>
      </c>
      <c r="F531" s="2" t="s">
        <v>3</v>
      </c>
      <c r="G531" s="4">
        <v>22600</v>
      </c>
      <c r="H531" s="5">
        <v>6.2899999999999998E-2</v>
      </c>
      <c r="I531" s="2">
        <v>36</v>
      </c>
      <c r="J531" s="2" t="s">
        <v>16</v>
      </c>
      <c r="K531" s="2" t="s">
        <v>17</v>
      </c>
      <c r="L531" s="3">
        <v>46141</v>
      </c>
    </row>
    <row r="532" spans="1:12">
      <c r="A532" s="2" t="s">
        <v>992</v>
      </c>
      <c r="B532" s="3">
        <v>46137</v>
      </c>
      <c r="C532" s="2" t="s">
        <v>993</v>
      </c>
      <c r="D532" s="2" t="s">
        <v>14</v>
      </c>
      <c r="E532" s="2" t="s">
        <v>15</v>
      </c>
      <c r="F532" s="2" t="s">
        <v>55</v>
      </c>
      <c r="G532" s="4">
        <v>6400</v>
      </c>
      <c r="H532" s="5">
        <v>5.4600000000000003E-2</v>
      </c>
      <c r="I532" s="2">
        <v>48</v>
      </c>
      <c r="J532" s="2" t="s">
        <v>16</v>
      </c>
      <c r="K532" s="2" t="s">
        <v>17</v>
      </c>
      <c r="L532" s="3">
        <v>46142</v>
      </c>
    </row>
    <row r="533" spans="1:12">
      <c r="A533" s="2" t="s">
        <v>994</v>
      </c>
      <c r="B533" s="3">
        <v>46138</v>
      </c>
      <c r="C533" s="2" t="s">
        <v>109</v>
      </c>
      <c r="D533" s="2" t="s">
        <v>29</v>
      </c>
      <c r="E533" s="2" t="s">
        <v>340</v>
      </c>
      <c r="F533" s="2" t="s">
        <v>3</v>
      </c>
      <c r="G533" s="4">
        <v>14400</v>
      </c>
      <c r="H533" s="5">
        <v>5.04E-2</v>
      </c>
      <c r="I533" s="2">
        <v>36</v>
      </c>
      <c r="J533" s="2" t="s">
        <v>61</v>
      </c>
      <c r="K533" s="2" t="s">
        <v>17</v>
      </c>
      <c r="L533" s="3">
        <v>46145</v>
      </c>
    </row>
    <row r="534" spans="1:12">
      <c r="A534" s="2" t="s">
        <v>995</v>
      </c>
      <c r="B534" s="3">
        <v>46138</v>
      </c>
      <c r="C534" s="2" t="s">
        <v>996</v>
      </c>
      <c r="D534" s="2" t="s">
        <v>14</v>
      </c>
      <c r="E534" s="2" t="s">
        <v>15</v>
      </c>
      <c r="F534" s="2" t="s">
        <v>31</v>
      </c>
      <c r="G534" s="4">
        <v>6600</v>
      </c>
      <c r="H534" s="5">
        <v>6.4899999999999999E-2</v>
      </c>
      <c r="I534" s="2">
        <v>24</v>
      </c>
      <c r="J534" s="2" t="s">
        <v>16</v>
      </c>
      <c r="K534" s="2" t="s">
        <v>45</v>
      </c>
      <c r="L534" s="3">
        <v>46140</v>
      </c>
    </row>
    <row r="535" spans="1:12">
      <c r="A535" s="2" t="s">
        <v>997</v>
      </c>
      <c r="B535" s="3">
        <v>46138</v>
      </c>
      <c r="C535" s="2" t="s">
        <v>616</v>
      </c>
      <c r="D535" s="2" t="s">
        <v>20</v>
      </c>
      <c r="E535" s="2" t="s">
        <v>30</v>
      </c>
      <c r="F535" s="2" t="s">
        <v>3</v>
      </c>
      <c r="G535" s="4">
        <v>12300</v>
      </c>
      <c r="H535" s="5">
        <v>4.0300000000000002E-2</v>
      </c>
      <c r="I535" s="2">
        <v>48</v>
      </c>
      <c r="J535" s="2" t="s">
        <v>37</v>
      </c>
      <c r="K535" s="2" t="s">
        <v>17</v>
      </c>
      <c r="L535" s="3">
        <v>46142</v>
      </c>
    </row>
    <row r="536" spans="1:12">
      <c r="A536" s="2" t="s">
        <v>998</v>
      </c>
      <c r="B536" s="3">
        <v>46138</v>
      </c>
      <c r="C536" s="2" t="s">
        <v>928</v>
      </c>
      <c r="D536" s="2" t="s">
        <v>54</v>
      </c>
      <c r="E536" s="2" t="s">
        <v>30</v>
      </c>
      <c r="F536" s="2" t="s">
        <v>3</v>
      </c>
      <c r="G536" s="4">
        <v>8200</v>
      </c>
      <c r="H536" s="5">
        <v>4.7399999999999998E-2</v>
      </c>
      <c r="I536" s="2">
        <v>60</v>
      </c>
      <c r="J536" s="2" t="s">
        <v>186</v>
      </c>
      <c r="K536" s="2" t="s">
        <v>17</v>
      </c>
      <c r="L536" s="3">
        <v>46141</v>
      </c>
    </row>
    <row r="537" spans="1:12">
      <c r="A537" s="2" t="s">
        <v>999</v>
      </c>
      <c r="B537" s="3">
        <v>46138</v>
      </c>
      <c r="C537" s="2" t="s">
        <v>1000</v>
      </c>
      <c r="D537" s="2" t="s">
        <v>25</v>
      </c>
      <c r="E537" s="2" t="s">
        <v>15</v>
      </c>
      <c r="F537" s="2" t="s">
        <v>31</v>
      </c>
      <c r="G537" s="4">
        <v>21700</v>
      </c>
      <c r="H537" s="5">
        <v>6.8199999999999997E-2</v>
      </c>
      <c r="I537" s="2">
        <v>36</v>
      </c>
      <c r="J537" s="2" t="s">
        <v>26</v>
      </c>
      <c r="K537" s="2" t="s">
        <v>45</v>
      </c>
      <c r="L537" s="3">
        <v>46140</v>
      </c>
    </row>
    <row r="538" spans="1:12">
      <c r="A538" s="2" t="s">
        <v>1001</v>
      </c>
      <c r="B538" s="3">
        <v>46139</v>
      </c>
      <c r="C538" s="2" t="s">
        <v>1002</v>
      </c>
      <c r="D538" s="2" t="s">
        <v>14</v>
      </c>
      <c r="E538" s="2" t="s">
        <v>15</v>
      </c>
      <c r="F538" s="2" t="s">
        <v>3</v>
      </c>
      <c r="G538" s="4">
        <v>25000</v>
      </c>
      <c r="H538" s="5">
        <v>5.0200000000000002E-2</v>
      </c>
      <c r="I538" s="2">
        <v>48</v>
      </c>
      <c r="J538" s="2" t="s">
        <v>40</v>
      </c>
      <c r="K538" s="2" t="s">
        <v>17</v>
      </c>
      <c r="L538" s="3">
        <v>46145</v>
      </c>
    </row>
    <row r="539" spans="1:12">
      <c r="A539" s="2" t="s">
        <v>1003</v>
      </c>
      <c r="B539" s="3">
        <v>46140</v>
      </c>
      <c r="C539" s="2" t="s">
        <v>1004</v>
      </c>
      <c r="D539" s="2" t="s">
        <v>71</v>
      </c>
      <c r="E539" s="2" t="s">
        <v>15</v>
      </c>
      <c r="F539" s="2" t="s">
        <v>31</v>
      </c>
      <c r="G539" s="4">
        <v>11400</v>
      </c>
      <c r="H539" s="5">
        <v>6.1899999999999997E-2</v>
      </c>
      <c r="I539" s="2">
        <v>36</v>
      </c>
      <c r="J539" s="2" t="s">
        <v>94</v>
      </c>
      <c r="K539" s="2" t="s">
        <v>17</v>
      </c>
      <c r="L539" s="3">
        <v>46140</v>
      </c>
    </row>
    <row r="540" spans="1:12">
      <c r="A540" s="2" t="s">
        <v>1005</v>
      </c>
      <c r="B540" s="3">
        <v>46140</v>
      </c>
      <c r="C540" s="2" t="s">
        <v>1006</v>
      </c>
      <c r="D540" s="2" t="s">
        <v>25</v>
      </c>
      <c r="E540" s="2" t="s">
        <v>30</v>
      </c>
      <c r="F540" s="2" t="s">
        <v>3</v>
      </c>
      <c r="G540" s="4">
        <v>8200</v>
      </c>
      <c r="H540" s="5">
        <v>4.2000000000000003E-2</v>
      </c>
      <c r="I540" s="2">
        <v>48</v>
      </c>
      <c r="J540" s="2" t="s">
        <v>66</v>
      </c>
      <c r="K540" s="2" t="s">
        <v>17</v>
      </c>
      <c r="L540" s="3">
        <v>46142</v>
      </c>
    </row>
    <row r="541" spans="1:12">
      <c r="A541" s="2" t="s">
        <v>1007</v>
      </c>
      <c r="B541" s="3">
        <v>46140</v>
      </c>
      <c r="C541" s="2" t="s">
        <v>1008</v>
      </c>
      <c r="D541" s="2" t="s">
        <v>20</v>
      </c>
      <c r="E541" s="2" t="s">
        <v>15</v>
      </c>
      <c r="F541" s="2" t="s">
        <v>3</v>
      </c>
      <c r="G541" s="4">
        <v>18300</v>
      </c>
      <c r="H541" s="5">
        <v>5.9200000000000003E-2</v>
      </c>
      <c r="I541" s="2">
        <v>24</v>
      </c>
      <c r="J541" s="2" t="s">
        <v>22</v>
      </c>
      <c r="K541" s="2" t="s">
        <v>17</v>
      </c>
      <c r="L541" s="3">
        <v>46144</v>
      </c>
    </row>
    <row r="542" spans="1:12">
      <c r="A542" s="2" t="s">
        <v>1009</v>
      </c>
      <c r="B542" s="3">
        <v>46140</v>
      </c>
      <c r="C542" s="2" t="s">
        <v>120</v>
      </c>
      <c r="D542" s="2" t="s">
        <v>20</v>
      </c>
      <c r="E542" s="2" t="s">
        <v>15</v>
      </c>
      <c r="F542" s="2" t="s">
        <v>55</v>
      </c>
      <c r="G542" s="4">
        <v>10500</v>
      </c>
      <c r="H542" s="5">
        <v>6.08E-2</v>
      </c>
      <c r="I542" s="2">
        <v>36</v>
      </c>
      <c r="J542" s="2" t="s">
        <v>44</v>
      </c>
      <c r="K542" s="2" t="s">
        <v>17</v>
      </c>
      <c r="L542" s="3">
        <v>46144</v>
      </c>
    </row>
    <row r="543" spans="1:12">
      <c r="A543" s="2" t="s">
        <v>1010</v>
      </c>
      <c r="B543" s="3">
        <v>46141</v>
      </c>
      <c r="C543" s="2" t="s">
        <v>1011</v>
      </c>
      <c r="D543" s="2" t="s">
        <v>29</v>
      </c>
      <c r="E543" s="2" t="s">
        <v>43</v>
      </c>
      <c r="F543" s="2" t="s">
        <v>3</v>
      </c>
      <c r="G543" s="4">
        <v>93100</v>
      </c>
      <c r="H543" s="5">
        <v>7.2300000000000003E-2</v>
      </c>
      <c r="I543" s="2">
        <v>60</v>
      </c>
      <c r="J543" s="2" t="s">
        <v>61</v>
      </c>
      <c r="K543" s="2" t="s">
        <v>17</v>
      </c>
      <c r="L543" s="3">
        <v>46162</v>
      </c>
    </row>
    <row r="544" spans="1:12">
      <c r="A544" s="2" t="s">
        <v>1012</v>
      </c>
      <c r="B544" s="3">
        <v>46141</v>
      </c>
      <c r="C544" s="2" t="s">
        <v>374</v>
      </c>
      <c r="D544" s="2" t="s">
        <v>29</v>
      </c>
      <c r="E544" s="2" t="s">
        <v>15</v>
      </c>
      <c r="F544" s="2" t="s">
        <v>3</v>
      </c>
      <c r="G544" s="4">
        <v>22100</v>
      </c>
      <c r="H544" s="5">
        <v>6.8599999999999994E-2</v>
      </c>
      <c r="I544" s="2">
        <v>36</v>
      </c>
      <c r="J544" s="2" t="s">
        <v>123</v>
      </c>
      <c r="K544" s="2" t="s">
        <v>17</v>
      </c>
      <c r="L544" s="3">
        <v>46148</v>
      </c>
    </row>
    <row r="545" spans="1:12">
      <c r="A545" s="2" t="s">
        <v>1013</v>
      </c>
      <c r="B545" s="3">
        <v>46141</v>
      </c>
      <c r="C545" s="2" t="s">
        <v>748</v>
      </c>
      <c r="D545" s="2" t="s">
        <v>14</v>
      </c>
      <c r="E545" s="2" t="s">
        <v>15</v>
      </c>
      <c r="F545" s="2" t="s">
        <v>3</v>
      </c>
      <c r="G545" s="4">
        <v>22800</v>
      </c>
      <c r="H545" s="5">
        <v>5.7299999999999997E-2</v>
      </c>
      <c r="I545" s="2">
        <v>12</v>
      </c>
      <c r="J545" s="2" t="s">
        <v>40</v>
      </c>
      <c r="K545" s="2" t="s">
        <v>17</v>
      </c>
      <c r="L545" s="3">
        <v>46145</v>
      </c>
    </row>
    <row r="546" spans="1:12">
      <c r="A546" s="2" t="s">
        <v>1014</v>
      </c>
      <c r="B546" s="3">
        <v>46141</v>
      </c>
      <c r="C546" s="2" t="s">
        <v>1015</v>
      </c>
      <c r="D546" s="2" t="s">
        <v>29</v>
      </c>
      <c r="E546" s="2" t="s">
        <v>15</v>
      </c>
      <c r="F546" s="2" t="s">
        <v>31</v>
      </c>
      <c r="G546" s="4">
        <v>7300</v>
      </c>
      <c r="H546" s="5">
        <v>6.8900000000000003E-2</v>
      </c>
      <c r="I546" s="2">
        <v>48</v>
      </c>
      <c r="J546" s="2" t="s">
        <v>32</v>
      </c>
      <c r="K546" s="2" t="s">
        <v>17</v>
      </c>
      <c r="L546" s="3">
        <v>46146</v>
      </c>
    </row>
    <row r="547" spans="1:12">
      <c r="A547" s="2" t="s">
        <v>1016</v>
      </c>
      <c r="B547" s="3">
        <v>46141</v>
      </c>
      <c r="C547" s="2" t="s">
        <v>689</v>
      </c>
      <c r="D547" s="2" t="s">
        <v>20</v>
      </c>
      <c r="E547" s="2" t="s">
        <v>30</v>
      </c>
      <c r="F547" s="2" t="s">
        <v>31</v>
      </c>
      <c r="G547" s="4">
        <v>11500</v>
      </c>
      <c r="H547" s="5">
        <v>3.9100000000000003E-2</v>
      </c>
      <c r="I547" s="2">
        <v>36</v>
      </c>
      <c r="J547" s="2" t="s">
        <v>37</v>
      </c>
      <c r="K547" s="2" t="s">
        <v>17</v>
      </c>
      <c r="L547" s="3">
        <v>46143</v>
      </c>
    </row>
    <row r="548" spans="1:12">
      <c r="A548" s="2" t="s">
        <v>1017</v>
      </c>
      <c r="B548" s="3">
        <v>46142</v>
      </c>
      <c r="C548" s="2" t="s">
        <v>1018</v>
      </c>
      <c r="D548" s="2" t="s">
        <v>25</v>
      </c>
      <c r="E548" s="2" t="s">
        <v>340</v>
      </c>
      <c r="F548" s="2" t="s">
        <v>3</v>
      </c>
      <c r="G548" s="4">
        <v>18300</v>
      </c>
      <c r="H548" s="5">
        <v>5.0900000000000001E-2</v>
      </c>
      <c r="I548" s="2">
        <v>12</v>
      </c>
      <c r="J548" s="2" t="s">
        <v>66</v>
      </c>
      <c r="K548" s="2" t="s">
        <v>45</v>
      </c>
      <c r="L548" s="3">
        <v>46145</v>
      </c>
    </row>
    <row r="549" spans="1:12">
      <c r="A549" s="2" t="s">
        <v>1019</v>
      </c>
      <c r="B549" s="3">
        <v>46142</v>
      </c>
      <c r="C549" s="2" t="s">
        <v>1020</v>
      </c>
      <c r="D549" s="2" t="s">
        <v>20</v>
      </c>
      <c r="E549" s="2" t="s">
        <v>30</v>
      </c>
      <c r="F549" s="2" t="s">
        <v>3</v>
      </c>
      <c r="G549" s="4">
        <v>6700</v>
      </c>
      <c r="H549" s="5">
        <v>4.2299999999999997E-2</v>
      </c>
      <c r="I549" s="2">
        <v>36</v>
      </c>
      <c r="J549" s="2" t="s">
        <v>22</v>
      </c>
      <c r="K549" s="2" t="s">
        <v>17</v>
      </c>
      <c r="L549" s="3">
        <v>46144</v>
      </c>
    </row>
    <row r="550" spans="1:12">
      <c r="A550" s="2" t="s">
        <v>1021</v>
      </c>
      <c r="B550" s="3">
        <v>46142</v>
      </c>
      <c r="C550" s="2" t="s">
        <v>581</v>
      </c>
      <c r="D550" s="2" t="s">
        <v>14</v>
      </c>
      <c r="E550" s="2" t="s">
        <v>110</v>
      </c>
      <c r="F550" s="2" t="s">
        <v>3</v>
      </c>
      <c r="G550" s="4">
        <v>104600</v>
      </c>
      <c r="H550" s="5">
        <v>6.8599999999999994E-2</v>
      </c>
      <c r="I550" s="2">
        <v>24</v>
      </c>
      <c r="J550" s="2" t="s">
        <v>16</v>
      </c>
      <c r="K550" s="2" t="s">
        <v>17</v>
      </c>
      <c r="L550" s="3">
        <v>46160</v>
      </c>
    </row>
    <row r="551" spans="1:12">
      <c r="A551" s="2" t="s">
        <v>1022</v>
      </c>
      <c r="B551" s="3">
        <v>46142</v>
      </c>
      <c r="C551" s="2" t="s">
        <v>734</v>
      </c>
      <c r="D551" s="2" t="s">
        <v>29</v>
      </c>
      <c r="E551" s="2" t="s">
        <v>945</v>
      </c>
      <c r="F551" s="2" t="s">
        <v>3</v>
      </c>
      <c r="G551" s="4">
        <v>151100</v>
      </c>
      <c r="H551" s="5">
        <v>4.1000000000000002E-2</v>
      </c>
      <c r="I551" s="2">
        <v>120</v>
      </c>
      <c r="J551" s="2" t="s">
        <v>61</v>
      </c>
      <c r="K551" s="2" t="s">
        <v>17</v>
      </c>
      <c r="L551" s="3">
        <v>46152</v>
      </c>
    </row>
    <row r="552" spans="1:12">
      <c r="A552" s="2" t="s">
        <v>1023</v>
      </c>
      <c r="B552" s="3">
        <v>46142</v>
      </c>
      <c r="C552" s="2" t="s">
        <v>1024</v>
      </c>
      <c r="D552" s="2" t="s">
        <v>14</v>
      </c>
      <c r="E552" s="2" t="s">
        <v>51</v>
      </c>
      <c r="F552" s="2" t="s">
        <v>3</v>
      </c>
      <c r="G552" s="4">
        <v>19800</v>
      </c>
      <c r="H552" s="5">
        <v>4.7100000000000003E-2</v>
      </c>
      <c r="I552" s="2">
        <v>60</v>
      </c>
      <c r="J552" s="2" t="s">
        <v>48</v>
      </c>
      <c r="K552" s="2" t="s">
        <v>17</v>
      </c>
      <c r="L552" s="3">
        <v>46146</v>
      </c>
    </row>
    <row r="553" spans="1:12">
      <c r="A553" s="2" t="s">
        <v>1025</v>
      </c>
      <c r="B553" s="3">
        <v>46143</v>
      </c>
      <c r="C553" s="2" t="s">
        <v>1026</v>
      </c>
      <c r="D553" s="2" t="s">
        <v>54</v>
      </c>
      <c r="E553" s="2" t="s">
        <v>21</v>
      </c>
      <c r="F553" s="2" t="s">
        <v>3</v>
      </c>
      <c r="G553" s="4">
        <v>115800</v>
      </c>
      <c r="H553" s="5">
        <v>3.6799999999999999E-2</v>
      </c>
      <c r="I553" s="2">
        <v>300</v>
      </c>
      <c r="J553" s="2" t="s">
        <v>186</v>
      </c>
      <c r="K553" s="2" t="s">
        <v>45</v>
      </c>
      <c r="L553" s="3">
        <v>46167</v>
      </c>
    </row>
    <row r="554" spans="1:12">
      <c r="A554" s="2" t="s">
        <v>1027</v>
      </c>
      <c r="B554" s="3">
        <v>46143</v>
      </c>
      <c r="C554" s="2" t="s">
        <v>1028</v>
      </c>
      <c r="D554" s="2" t="s">
        <v>14</v>
      </c>
      <c r="E554" s="2" t="s">
        <v>43</v>
      </c>
      <c r="F554" s="2" t="s">
        <v>3</v>
      </c>
      <c r="G554" s="4">
        <v>45600</v>
      </c>
      <c r="H554" s="5">
        <v>7.3599999999999999E-2</v>
      </c>
      <c r="I554" s="2">
        <v>36</v>
      </c>
      <c r="J554" s="2" t="s">
        <v>48</v>
      </c>
      <c r="K554" s="2" t="s">
        <v>45</v>
      </c>
      <c r="L554" s="3">
        <v>46150</v>
      </c>
    </row>
    <row r="555" spans="1:12">
      <c r="A555" s="2" t="s">
        <v>1029</v>
      </c>
      <c r="B555" s="3">
        <v>46143</v>
      </c>
      <c r="C555" s="2" t="s">
        <v>1030</v>
      </c>
      <c r="D555" s="2" t="s">
        <v>20</v>
      </c>
      <c r="E555" s="2" t="s">
        <v>15</v>
      </c>
      <c r="F555" s="2" t="s">
        <v>3</v>
      </c>
      <c r="G555" s="4">
        <v>25000</v>
      </c>
      <c r="H555" s="5">
        <v>5.8900000000000001E-2</v>
      </c>
      <c r="I555" s="2">
        <v>60</v>
      </c>
      <c r="J555" s="2" t="s">
        <v>44</v>
      </c>
      <c r="K555" s="2" t="s">
        <v>45</v>
      </c>
      <c r="L555" s="3">
        <v>46147</v>
      </c>
    </row>
    <row r="556" spans="1:12">
      <c r="A556" s="2" t="s">
        <v>1031</v>
      </c>
      <c r="B556" s="3">
        <v>46143</v>
      </c>
      <c r="C556" s="2" t="s">
        <v>1032</v>
      </c>
      <c r="D556" s="2" t="s">
        <v>29</v>
      </c>
      <c r="E556" s="2" t="s">
        <v>15</v>
      </c>
      <c r="F556" s="2" t="s">
        <v>3</v>
      </c>
      <c r="G556" s="4">
        <v>22200</v>
      </c>
      <c r="H556" s="5">
        <v>6.3500000000000001E-2</v>
      </c>
      <c r="I556" s="2">
        <v>48</v>
      </c>
      <c r="J556" s="2" t="s">
        <v>32</v>
      </c>
      <c r="K556" s="2" t="s">
        <v>17</v>
      </c>
      <c r="L556" s="3">
        <v>46145</v>
      </c>
    </row>
    <row r="557" spans="1:12">
      <c r="A557" s="2" t="s">
        <v>1033</v>
      </c>
      <c r="B557" s="3">
        <v>46143</v>
      </c>
      <c r="C557" s="2" t="s">
        <v>1034</v>
      </c>
      <c r="D557" s="2" t="s">
        <v>54</v>
      </c>
      <c r="E557" s="2" t="s">
        <v>15</v>
      </c>
      <c r="F557" s="2" t="s">
        <v>3</v>
      </c>
      <c r="G557" s="4">
        <v>11800</v>
      </c>
      <c r="H557" s="5">
        <v>5.2400000000000002E-2</v>
      </c>
      <c r="I557" s="2">
        <v>36</v>
      </c>
      <c r="J557" s="2" t="s">
        <v>186</v>
      </c>
      <c r="K557" s="2" t="s">
        <v>45</v>
      </c>
      <c r="L557" s="3">
        <v>46148</v>
      </c>
    </row>
    <row r="558" spans="1:12">
      <c r="A558" s="2" t="s">
        <v>1035</v>
      </c>
      <c r="B558" s="3">
        <v>46144</v>
      </c>
      <c r="C558" s="2" t="s">
        <v>286</v>
      </c>
      <c r="D558" s="2" t="s">
        <v>14</v>
      </c>
      <c r="E558" s="2" t="s">
        <v>30</v>
      </c>
      <c r="F558" s="2" t="s">
        <v>3</v>
      </c>
      <c r="G558" s="4">
        <v>11900</v>
      </c>
      <c r="H558" s="5">
        <v>4.48E-2</v>
      </c>
      <c r="I558" s="2">
        <v>48</v>
      </c>
      <c r="J558" s="2" t="s">
        <v>40</v>
      </c>
      <c r="K558" s="2" t="s">
        <v>17</v>
      </c>
      <c r="L558" s="3">
        <v>46149</v>
      </c>
    </row>
    <row r="559" spans="1:12">
      <c r="A559" s="2" t="s">
        <v>1036</v>
      </c>
      <c r="B559" s="3">
        <v>46144</v>
      </c>
      <c r="C559" s="2" t="s">
        <v>390</v>
      </c>
      <c r="D559" s="2" t="s">
        <v>14</v>
      </c>
      <c r="E559" s="2" t="s">
        <v>15</v>
      </c>
      <c r="F559" s="2" t="s">
        <v>55</v>
      </c>
      <c r="G559" s="4">
        <v>12000</v>
      </c>
      <c r="H559" s="5">
        <v>6.1699999999999998E-2</v>
      </c>
      <c r="I559" s="2">
        <v>60</v>
      </c>
      <c r="J559" s="2" t="s">
        <v>48</v>
      </c>
      <c r="K559" s="2" t="s">
        <v>17</v>
      </c>
      <c r="L559" s="3">
        <v>46145</v>
      </c>
    </row>
    <row r="560" spans="1:12">
      <c r="A560" s="2" t="s">
        <v>1037</v>
      </c>
      <c r="B560" s="3">
        <v>46144</v>
      </c>
      <c r="C560" s="2" t="s">
        <v>1038</v>
      </c>
      <c r="D560" s="2" t="s">
        <v>29</v>
      </c>
      <c r="E560" s="2" t="s">
        <v>43</v>
      </c>
      <c r="F560" s="2" t="s">
        <v>3</v>
      </c>
      <c r="G560" s="4">
        <v>55000</v>
      </c>
      <c r="H560" s="5">
        <v>5.7299999999999997E-2</v>
      </c>
      <c r="I560" s="2">
        <v>24</v>
      </c>
      <c r="J560" s="2" t="s">
        <v>123</v>
      </c>
      <c r="K560" s="2" t="s">
        <v>17</v>
      </c>
      <c r="L560" s="3">
        <v>46155</v>
      </c>
    </row>
    <row r="561" spans="1:12">
      <c r="A561" s="2" t="s">
        <v>1039</v>
      </c>
      <c r="B561" s="3">
        <v>46144</v>
      </c>
      <c r="C561" s="2" t="s">
        <v>1040</v>
      </c>
      <c r="D561" s="2" t="s">
        <v>54</v>
      </c>
      <c r="E561" s="2" t="s">
        <v>15</v>
      </c>
      <c r="F561" s="2" t="s">
        <v>31</v>
      </c>
      <c r="G561" s="4">
        <v>17500</v>
      </c>
      <c r="H561" s="5">
        <v>6.6900000000000001E-2</v>
      </c>
      <c r="I561" s="2">
        <v>36</v>
      </c>
      <c r="J561" s="2" t="s">
        <v>186</v>
      </c>
      <c r="K561" s="2" t="s">
        <v>45</v>
      </c>
      <c r="L561" s="3">
        <v>46147</v>
      </c>
    </row>
    <row r="562" spans="1:12">
      <c r="A562" s="2" t="s">
        <v>1041</v>
      </c>
      <c r="B562" s="3">
        <v>46144</v>
      </c>
      <c r="C562" s="2" t="s">
        <v>1034</v>
      </c>
      <c r="D562" s="2" t="s">
        <v>20</v>
      </c>
      <c r="E562" s="2" t="s">
        <v>43</v>
      </c>
      <c r="F562" s="2" t="s">
        <v>3</v>
      </c>
      <c r="G562" s="4">
        <v>97900</v>
      </c>
      <c r="H562" s="5">
        <v>6.0499999999999998E-2</v>
      </c>
      <c r="I562" s="2">
        <v>24</v>
      </c>
      <c r="J562" s="2" t="s">
        <v>37</v>
      </c>
      <c r="K562" s="2" t="s">
        <v>17</v>
      </c>
      <c r="L562" s="3">
        <v>46162</v>
      </c>
    </row>
    <row r="563" spans="1:12">
      <c r="A563" s="2" t="s">
        <v>1042</v>
      </c>
      <c r="B563" s="3">
        <v>46145</v>
      </c>
      <c r="C563" s="2" t="s">
        <v>1043</v>
      </c>
      <c r="D563" s="2" t="s">
        <v>29</v>
      </c>
      <c r="E563" s="2" t="s">
        <v>30</v>
      </c>
      <c r="F563" s="2" t="s">
        <v>55</v>
      </c>
      <c r="G563" s="4">
        <v>8800</v>
      </c>
      <c r="H563" s="5">
        <v>4.1500000000000002E-2</v>
      </c>
      <c r="I563" s="2">
        <v>60</v>
      </c>
      <c r="J563" s="2" t="s">
        <v>32</v>
      </c>
      <c r="K563" s="2" t="s">
        <v>17</v>
      </c>
      <c r="L563" s="3">
        <v>46150</v>
      </c>
    </row>
    <row r="564" spans="1:12">
      <c r="A564" s="2" t="s">
        <v>1042</v>
      </c>
      <c r="B564" s="3">
        <v>46145</v>
      </c>
      <c r="C564" s="2" t="s">
        <v>1043</v>
      </c>
      <c r="D564" s="2" t="s">
        <v>29</v>
      </c>
      <c r="E564" s="2" t="s">
        <v>30</v>
      </c>
      <c r="F564" s="2" t="s">
        <v>55</v>
      </c>
      <c r="G564" s="4">
        <v>8800</v>
      </c>
      <c r="H564" s="5">
        <v>4.1500000000000002E-2</v>
      </c>
      <c r="I564" s="2">
        <v>60</v>
      </c>
      <c r="J564" s="2" t="s">
        <v>32</v>
      </c>
      <c r="K564" s="2" t="s">
        <v>17</v>
      </c>
      <c r="L564" s="3">
        <v>46150</v>
      </c>
    </row>
    <row r="565" spans="1:12">
      <c r="A565" s="2" t="s">
        <v>1044</v>
      </c>
      <c r="B565" s="3">
        <v>46145</v>
      </c>
      <c r="C565" s="2" t="s">
        <v>543</v>
      </c>
      <c r="D565" s="2" t="s">
        <v>71</v>
      </c>
      <c r="E565" s="2" t="s">
        <v>30</v>
      </c>
      <c r="F565" s="2" t="s">
        <v>3</v>
      </c>
      <c r="G565" s="4">
        <v>5800</v>
      </c>
      <c r="H565" s="5">
        <v>4.87E-2</v>
      </c>
      <c r="I565" s="2">
        <v>36</v>
      </c>
      <c r="J565" s="2" t="s">
        <v>101</v>
      </c>
      <c r="K565" s="2" t="s">
        <v>45</v>
      </c>
      <c r="L565" s="3">
        <v>46148</v>
      </c>
    </row>
    <row r="566" spans="1:12">
      <c r="A566" s="2" t="s">
        <v>1045</v>
      </c>
      <c r="B566" s="3">
        <v>46145</v>
      </c>
      <c r="C566" s="2" t="s">
        <v>1046</v>
      </c>
      <c r="D566" s="2" t="s">
        <v>54</v>
      </c>
      <c r="E566" s="2" t="s">
        <v>21</v>
      </c>
      <c r="F566" s="2" t="s">
        <v>3</v>
      </c>
      <c r="G566" s="4">
        <v>242100</v>
      </c>
      <c r="H566" s="5">
        <v>3.3500000000000002E-2</v>
      </c>
      <c r="I566" s="2">
        <v>180</v>
      </c>
      <c r="J566" s="2" t="s">
        <v>56</v>
      </c>
      <c r="K566" s="2" t="s">
        <v>17</v>
      </c>
      <c r="L566" s="3">
        <v>46163</v>
      </c>
    </row>
    <row r="567" spans="1:12">
      <c r="A567" s="2" t="s">
        <v>1047</v>
      </c>
      <c r="B567" s="3">
        <v>46145</v>
      </c>
      <c r="C567" s="2" t="s">
        <v>1048</v>
      </c>
      <c r="D567" s="2" t="s">
        <v>29</v>
      </c>
      <c r="E567" s="2" t="s">
        <v>15</v>
      </c>
      <c r="F567" s="2" t="s">
        <v>3</v>
      </c>
      <c r="G567" s="4">
        <v>13000</v>
      </c>
      <c r="H567" s="5">
        <v>6.7799999999999999E-2</v>
      </c>
      <c r="I567" s="2">
        <v>48</v>
      </c>
      <c r="J567" s="2" t="s">
        <v>123</v>
      </c>
      <c r="K567" s="2" t="s">
        <v>17</v>
      </c>
      <c r="L567" s="3">
        <v>46148</v>
      </c>
    </row>
    <row r="568" spans="1:12">
      <c r="A568" s="2" t="s">
        <v>1049</v>
      </c>
      <c r="B568" s="3">
        <v>46145</v>
      </c>
      <c r="C568" s="2" t="s">
        <v>1020</v>
      </c>
      <c r="D568" s="2" t="s">
        <v>29</v>
      </c>
      <c r="E568" s="2" t="s">
        <v>30</v>
      </c>
      <c r="F568" s="2" t="s">
        <v>31</v>
      </c>
      <c r="G568" s="4">
        <v>6800</v>
      </c>
      <c r="H568" s="5">
        <v>0.04</v>
      </c>
      <c r="I568" s="2">
        <v>48</v>
      </c>
      <c r="J568" s="2" t="s">
        <v>32</v>
      </c>
      <c r="K568" s="2" t="s">
        <v>17</v>
      </c>
      <c r="L568" s="3">
        <v>46148</v>
      </c>
    </row>
    <row r="569" spans="1:12">
      <c r="A569" s="2" t="s">
        <v>1050</v>
      </c>
      <c r="B569" s="3">
        <v>46146</v>
      </c>
      <c r="C569" s="2" t="s">
        <v>666</v>
      </c>
      <c r="D569" s="2" t="s">
        <v>20</v>
      </c>
      <c r="E569" s="2" t="s">
        <v>21</v>
      </c>
      <c r="F569" s="2" t="s">
        <v>3</v>
      </c>
      <c r="G569" s="4">
        <v>149300</v>
      </c>
      <c r="H569" s="5">
        <v>3.6600000000000001E-2</v>
      </c>
      <c r="I569" s="2">
        <v>180</v>
      </c>
      <c r="J569" s="2" t="s">
        <v>44</v>
      </c>
      <c r="K569" s="2" t="s">
        <v>45</v>
      </c>
      <c r="L569" s="3">
        <v>46165</v>
      </c>
    </row>
    <row r="570" spans="1:12">
      <c r="A570" s="2" t="s">
        <v>1051</v>
      </c>
      <c r="B570" s="3">
        <v>46146</v>
      </c>
      <c r="C570" s="2" t="s">
        <v>1052</v>
      </c>
      <c r="D570" s="2" t="s">
        <v>25</v>
      </c>
      <c r="E570" s="2" t="s">
        <v>30</v>
      </c>
      <c r="F570" s="2" t="s">
        <v>3</v>
      </c>
      <c r="G570" s="4">
        <v>5700</v>
      </c>
      <c r="H570" s="5">
        <v>4.4200000000000003E-2</v>
      </c>
      <c r="I570" s="2">
        <v>36</v>
      </c>
      <c r="J570" s="2" t="s">
        <v>181</v>
      </c>
      <c r="K570" s="2" t="s">
        <v>17</v>
      </c>
      <c r="L570" s="3">
        <v>46151</v>
      </c>
    </row>
    <row r="571" spans="1:12">
      <c r="A571" s="2" t="s">
        <v>1053</v>
      </c>
      <c r="B571" s="3">
        <v>46146</v>
      </c>
      <c r="C571" s="2" t="s">
        <v>793</v>
      </c>
      <c r="D571" s="2" t="s">
        <v>14</v>
      </c>
      <c r="E571" s="2" t="s">
        <v>15</v>
      </c>
      <c r="F571" s="2" t="s">
        <v>31</v>
      </c>
      <c r="G571" s="4">
        <v>6000</v>
      </c>
      <c r="H571" s="5">
        <v>6.4100000000000004E-2</v>
      </c>
      <c r="I571" s="2">
        <v>12</v>
      </c>
      <c r="J571" s="2" t="s">
        <v>40</v>
      </c>
      <c r="K571" s="2" t="s">
        <v>17</v>
      </c>
      <c r="L571" s="3">
        <v>46146</v>
      </c>
    </row>
    <row r="572" spans="1:12">
      <c r="A572" s="2" t="s">
        <v>1054</v>
      </c>
      <c r="B572" s="3">
        <v>46146</v>
      </c>
      <c r="C572" s="2" t="s">
        <v>1055</v>
      </c>
      <c r="D572" s="2" t="s">
        <v>71</v>
      </c>
      <c r="E572" s="2" t="s">
        <v>21</v>
      </c>
      <c r="F572" s="2" t="s">
        <v>3</v>
      </c>
      <c r="G572" s="4">
        <v>153000</v>
      </c>
      <c r="H572" s="5">
        <v>4.2200000000000001E-2</v>
      </c>
      <c r="I572" s="2">
        <v>120</v>
      </c>
      <c r="J572" s="2" t="s">
        <v>101</v>
      </c>
      <c r="K572" s="2" t="s">
        <v>17</v>
      </c>
      <c r="L572" s="3">
        <v>46167</v>
      </c>
    </row>
    <row r="573" spans="1:12">
      <c r="A573" s="2" t="s">
        <v>1056</v>
      </c>
      <c r="B573" s="3">
        <v>46146</v>
      </c>
      <c r="C573" s="2" t="s">
        <v>888</v>
      </c>
      <c r="D573" s="2" t="s">
        <v>54</v>
      </c>
      <c r="E573" s="2" t="s">
        <v>43</v>
      </c>
      <c r="F573" s="2" t="s">
        <v>3</v>
      </c>
      <c r="G573" s="4">
        <v>47900</v>
      </c>
      <c r="H573" s="5">
        <v>7.7399999999999997E-2</v>
      </c>
      <c r="I573" s="2">
        <v>24</v>
      </c>
      <c r="J573" s="2" t="s">
        <v>56</v>
      </c>
      <c r="K573" s="2" t="s">
        <v>17</v>
      </c>
      <c r="L573" s="3">
        <v>46160</v>
      </c>
    </row>
    <row r="574" spans="1:12">
      <c r="A574" s="2" t="s">
        <v>1057</v>
      </c>
      <c r="B574" s="3">
        <v>46146</v>
      </c>
      <c r="C574" s="2" t="s">
        <v>1058</v>
      </c>
      <c r="D574" s="2" t="s">
        <v>25</v>
      </c>
      <c r="E574" s="2" t="s">
        <v>30</v>
      </c>
      <c r="F574" s="2" t="s">
        <v>31</v>
      </c>
      <c r="G574" s="4">
        <v>6200</v>
      </c>
      <c r="H574" s="5">
        <v>4.0899999999999999E-2</v>
      </c>
      <c r="I574" s="2">
        <v>36</v>
      </c>
      <c r="J574" s="2" t="s">
        <v>66</v>
      </c>
      <c r="K574" s="2" t="s">
        <v>17</v>
      </c>
      <c r="L574" s="3">
        <v>46147</v>
      </c>
    </row>
    <row r="575" spans="1:12">
      <c r="A575" s="2" t="s">
        <v>1059</v>
      </c>
      <c r="B575" s="3">
        <v>46146</v>
      </c>
      <c r="C575" s="2" t="s">
        <v>1060</v>
      </c>
      <c r="D575" s="2" t="s">
        <v>20</v>
      </c>
      <c r="E575" s="2" t="s">
        <v>30</v>
      </c>
      <c r="F575" s="2" t="s">
        <v>31</v>
      </c>
      <c r="G575" s="4">
        <v>14100</v>
      </c>
      <c r="H575" s="5">
        <v>4.3900000000000002E-2</v>
      </c>
      <c r="I575" s="2">
        <v>36</v>
      </c>
      <c r="J575" s="2" t="s">
        <v>44</v>
      </c>
      <c r="K575" s="2" t="s">
        <v>17</v>
      </c>
      <c r="L575" s="3">
        <v>46149</v>
      </c>
    </row>
    <row r="576" spans="1:12">
      <c r="A576" s="2" t="s">
        <v>1061</v>
      </c>
      <c r="B576" s="3">
        <v>46146</v>
      </c>
      <c r="C576" s="2" t="s">
        <v>1060</v>
      </c>
      <c r="D576" s="2" t="s">
        <v>20</v>
      </c>
      <c r="E576" s="2" t="s">
        <v>21</v>
      </c>
      <c r="F576" s="2" t="s">
        <v>3</v>
      </c>
      <c r="G576" s="4">
        <v>224100</v>
      </c>
      <c r="H576" s="5">
        <v>3.3300000000000003E-2</v>
      </c>
      <c r="I576" s="2">
        <v>180</v>
      </c>
      <c r="J576" s="2" t="s">
        <v>44</v>
      </c>
      <c r="K576" s="2" t="s">
        <v>45</v>
      </c>
      <c r="L576" s="3">
        <v>46156</v>
      </c>
    </row>
    <row r="577" spans="1:12">
      <c r="A577" s="2" t="s">
        <v>1062</v>
      </c>
      <c r="B577" s="3">
        <v>46147</v>
      </c>
      <c r="C577" s="2" t="s">
        <v>1063</v>
      </c>
      <c r="D577" s="2" t="s">
        <v>29</v>
      </c>
      <c r="E577" s="2" t="s">
        <v>30</v>
      </c>
      <c r="F577" s="2" t="s">
        <v>31</v>
      </c>
      <c r="G577" s="4">
        <v>15500</v>
      </c>
      <c r="H577" s="5">
        <v>4.6600000000000003E-2</v>
      </c>
      <c r="I577" s="2">
        <v>36</v>
      </c>
      <c r="J577" s="2" t="s">
        <v>123</v>
      </c>
      <c r="K577" s="2" t="s">
        <v>17</v>
      </c>
      <c r="L577" s="3">
        <v>46148</v>
      </c>
    </row>
    <row r="578" spans="1:12">
      <c r="A578" s="2" t="s">
        <v>1064</v>
      </c>
      <c r="B578" s="3">
        <v>46147</v>
      </c>
      <c r="C578" s="2" t="s">
        <v>1065</v>
      </c>
      <c r="D578" s="2" t="s">
        <v>25</v>
      </c>
      <c r="E578" s="2" t="s">
        <v>30</v>
      </c>
      <c r="F578" s="2" t="s">
        <v>55</v>
      </c>
      <c r="G578" s="4">
        <v>13300</v>
      </c>
      <c r="H578" s="5">
        <v>4.6800000000000001E-2</v>
      </c>
      <c r="I578" s="2">
        <v>36</v>
      </c>
      <c r="J578" s="2" t="s">
        <v>66</v>
      </c>
      <c r="K578" s="2" t="s">
        <v>17</v>
      </c>
      <c r="L578" s="3">
        <v>46150</v>
      </c>
    </row>
    <row r="579" spans="1:12">
      <c r="A579" s="2" t="s">
        <v>1064</v>
      </c>
      <c r="B579" s="3">
        <v>46147</v>
      </c>
      <c r="C579" s="2" t="s">
        <v>1065</v>
      </c>
      <c r="D579" s="2" t="s">
        <v>25</v>
      </c>
      <c r="E579" s="2" t="s">
        <v>30</v>
      </c>
      <c r="F579" s="2" t="s">
        <v>55</v>
      </c>
      <c r="G579" s="4">
        <v>13300</v>
      </c>
      <c r="H579" s="5">
        <v>4.6800000000000001E-2</v>
      </c>
      <c r="I579" s="2">
        <v>36</v>
      </c>
      <c r="J579" s="2" t="s">
        <v>66</v>
      </c>
      <c r="K579" s="2" t="s">
        <v>17</v>
      </c>
      <c r="L579" s="3">
        <v>46150</v>
      </c>
    </row>
    <row r="580" spans="1:12">
      <c r="A580" s="2" t="s">
        <v>1066</v>
      </c>
      <c r="B580" s="3">
        <v>46148</v>
      </c>
      <c r="C580" s="2" t="s">
        <v>898</v>
      </c>
      <c r="D580" s="2" t="s">
        <v>54</v>
      </c>
      <c r="E580" s="2" t="s">
        <v>43</v>
      </c>
      <c r="F580" s="2" t="s">
        <v>31</v>
      </c>
      <c r="G580" s="2"/>
      <c r="H580" s="5">
        <v>7.5800000000000006E-2</v>
      </c>
      <c r="I580" s="2">
        <v>24</v>
      </c>
      <c r="J580" s="2" t="s">
        <v>186</v>
      </c>
      <c r="K580" s="2" t="s">
        <v>45</v>
      </c>
      <c r="L580" s="3">
        <v>46155</v>
      </c>
    </row>
    <row r="581" spans="1:12">
      <c r="A581" s="2" t="s">
        <v>1067</v>
      </c>
      <c r="B581" s="3">
        <v>46148</v>
      </c>
      <c r="C581" s="2" t="s">
        <v>1068</v>
      </c>
      <c r="D581" s="2" t="s">
        <v>14</v>
      </c>
      <c r="E581" s="2" t="s">
        <v>21</v>
      </c>
      <c r="F581" s="2" t="s">
        <v>3</v>
      </c>
      <c r="G581" s="4">
        <v>290400</v>
      </c>
      <c r="H581" s="5">
        <v>3.3500000000000002E-2</v>
      </c>
      <c r="I581" s="2">
        <v>300</v>
      </c>
      <c r="J581" s="2" t="s">
        <v>16</v>
      </c>
      <c r="K581" s="2" t="s">
        <v>17</v>
      </c>
      <c r="L581" s="3">
        <v>46167</v>
      </c>
    </row>
    <row r="582" spans="1:12">
      <c r="A582" s="2" t="s">
        <v>1069</v>
      </c>
      <c r="B582" s="3">
        <v>46148</v>
      </c>
      <c r="C582" s="2" t="s">
        <v>1070</v>
      </c>
      <c r="D582" s="2" t="s">
        <v>29</v>
      </c>
      <c r="E582" s="2" t="s">
        <v>15</v>
      </c>
      <c r="F582" s="2" t="s">
        <v>3</v>
      </c>
      <c r="G582" s="4">
        <v>11600</v>
      </c>
      <c r="H582" s="5">
        <v>5.0500000000000003E-2</v>
      </c>
      <c r="I582" s="2">
        <v>12</v>
      </c>
      <c r="J582" s="2" t="s">
        <v>32</v>
      </c>
      <c r="K582" s="2" t="s">
        <v>17</v>
      </c>
      <c r="L582" s="3">
        <v>46153</v>
      </c>
    </row>
    <row r="583" spans="1:12">
      <c r="A583" s="2" t="s">
        <v>1071</v>
      </c>
      <c r="B583" s="3">
        <v>46148</v>
      </c>
      <c r="C583" s="2" t="s">
        <v>1072</v>
      </c>
      <c r="D583" s="2" t="s">
        <v>29</v>
      </c>
      <c r="E583" s="2" t="s">
        <v>21</v>
      </c>
      <c r="F583" s="2" t="s">
        <v>3</v>
      </c>
      <c r="G583" s="4">
        <v>81700</v>
      </c>
      <c r="H583" s="5">
        <v>3.9E-2</v>
      </c>
      <c r="I583" s="2">
        <v>120</v>
      </c>
      <c r="J583" s="2" t="s">
        <v>32</v>
      </c>
      <c r="K583" s="2" t="s">
        <v>17</v>
      </c>
      <c r="L583" s="3">
        <v>46165</v>
      </c>
    </row>
    <row r="584" spans="1:12">
      <c r="A584" s="2" t="s">
        <v>1073</v>
      </c>
      <c r="B584" s="3">
        <v>46148</v>
      </c>
      <c r="C584" s="2" t="s">
        <v>131</v>
      </c>
      <c r="D584" s="2" t="s">
        <v>14</v>
      </c>
      <c r="E584" s="2" t="s">
        <v>15</v>
      </c>
      <c r="F584" s="2" t="s">
        <v>3</v>
      </c>
      <c r="G584" s="4">
        <v>25000</v>
      </c>
      <c r="H584" s="5">
        <v>6.2E-2</v>
      </c>
      <c r="I584" s="2">
        <v>24</v>
      </c>
      <c r="J584" s="2" t="s">
        <v>16</v>
      </c>
      <c r="K584" s="2" t="s">
        <v>17</v>
      </c>
      <c r="L584" s="3">
        <v>46152</v>
      </c>
    </row>
    <row r="585" spans="1:12">
      <c r="A585" s="2" t="s">
        <v>1074</v>
      </c>
      <c r="B585" s="3">
        <v>46148</v>
      </c>
      <c r="C585" s="2" t="s">
        <v>1075</v>
      </c>
      <c r="D585" s="2" t="s">
        <v>54</v>
      </c>
      <c r="E585" s="2" t="s">
        <v>30</v>
      </c>
      <c r="F585" s="2" t="s">
        <v>3</v>
      </c>
      <c r="G585" s="4">
        <v>7700</v>
      </c>
      <c r="H585" s="5">
        <v>4.3200000000000002E-2</v>
      </c>
      <c r="I585" s="2">
        <v>60</v>
      </c>
      <c r="J585" s="2" t="s">
        <v>56</v>
      </c>
      <c r="K585" s="2" t="s">
        <v>17</v>
      </c>
      <c r="L585" s="3">
        <v>46151</v>
      </c>
    </row>
    <row r="586" spans="1:12">
      <c r="A586" s="2" t="s">
        <v>1076</v>
      </c>
      <c r="B586" s="3">
        <v>46148</v>
      </c>
      <c r="C586" s="2" t="s">
        <v>1077</v>
      </c>
      <c r="D586" s="2" t="s">
        <v>54</v>
      </c>
      <c r="E586" s="2" t="s">
        <v>30</v>
      </c>
      <c r="F586" s="2" t="s">
        <v>31</v>
      </c>
      <c r="G586" s="4">
        <v>4800</v>
      </c>
      <c r="H586" s="5">
        <v>3.78E-2</v>
      </c>
      <c r="I586" s="2">
        <v>60</v>
      </c>
      <c r="J586" s="2" t="s">
        <v>186</v>
      </c>
      <c r="K586" s="2" t="s">
        <v>17</v>
      </c>
      <c r="L586" s="3">
        <v>46149</v>
      </c>
    </row>
    <row r="587" spans="1:12">
      <c r="A587" s="2" t="s">
        <v>1078</v>
      </c>
      <c r="B587" s="3">
        <v>46148</v>
      </c>
      <c r="C587" s="2" t="s">
        <v>1079</v>
      </c>
      <c r="D587" s="2" t="s">
        <v>54</v>
      </c>
      <c r="E587" s="2" t="s">
        <v>30</v>
      </c>
      <c r="F587" s="2" t="s">
        <v>31</v>
      </c>
      <c r="G587" s="4">
        <v>6700</v>
      </c>
      <c r="H587" s="5">
        <v>4.9200000000000001E-2</v>
      </c>
      <c r="I587" s="2">
        <v>36</v>
      </c>
      <c r="J587" s="2" t="s">
        <v>148</v>
      </c>
      <c r="K587" s="2" t="s">
        <v>17</v>
      </c>
      <c r="L587" s="3">
        <v>46152</v>
      </c>
    </row>
    <row r="588" spans="1:12">
      <c r="A588" s="2" t="s">
        <v>1080</v>
      </c>
      <c r="B588" s="3">
        <v>46149</v>
      </c>
      <c r="C588" s="2" t="s">
        <v>1081</v>
      </c>
      <c r="D588" s="2" t="s">
        <v>14</v>
      </c>
      <c r="E588" s="2" t="s">
        <v>43</v>
      </c>
      <c r="F588" s="2" t="s">
        <v>3</v>
      </c>
      <c r="G588" s="4">
        <v>85100</v>
      </c>
      <c r="H588" s="5">
        <v>5.7599999999999998E-2</v>
      </c>
      <c r="I588" s="2">
        <v>84</v>
      </c>
      <c r="J588" s="2" t="s">
        <v>48</v>
      </c>
      <c r="K588" s="2" t="s">
        <v>45</v>
      </c>
      <c r="L588" s="3">
        <v>46170</v>
      </c>
    </row>
    <row r="589" spans="1:12">
      <c r="A589" s="2" t="s">
        <v>1082</v>
      </c>
      <c r="B589" s="3">
        <v>46149</v>
      </c>
      <c r="C589" s="2" t="s">
        <v>1083</v>
      </c>
      <c r="D589" s="2" t="s">
        <v>20</v>
      </c>
      <c r="E589" s="2" t="s">
        <v>30</v>
      </c>
      <c r="F589" s="2" t="s">
        <v>3</v>
      </c>
      <c r="G589" s="4">
        <v>8200</v>
      </c>
      <c r="H589" s="5">
        <v>4.1799999999999997E-2</v>
      </c>
      <c r="I589" s="2">
        <v>60</v>
      </c>
      <c r="J589" s="2" t="s">
        <v>44</v>
      </c>
      <c r="K589" s="2" t="s">
        <v>45</v>
      </c>
      <c r="L589" s="3">
        <v>46153</v>
      </c>
    </row>
    <row r="590" spans="1:12">
      <c r="A590" s="2" t="s">
        <v>1084</v>
      </c>
      <c r="B590" s="3">
        <v>46149</v>
      </c>
      <c r="C590" s="2" t="s">
        <v>1085</v>
      </c>
      <c r="D590" s="2" t="s">
        <v>71</v>
      </c>
      <c r="E590" s="2" t="s">
        <v>43</v>
      </c>
      <c r="F590" s="2" t="s">
        <v>3</v>
      </c>
      <c r="G590" s="4">
        <v>168900</v>
      </c>
      <c r="H590" s="5">
        <v>7.7899999999999997E-2</v>
      </c>
      <c r="I590" s="2">
        <v>60</v>
      </c>
      <c r="J590" s="2" t="s">
        <v>94</v>
      </c>
      <c r="K590" s="2" t="s">
        <v>17</v>
      </c>
      <c r="L590" s="3">
        <v>46164</v>
      </c>
    </row>
    <row r="591" spans="1:12">
      <c r="A591" s="2" t="s">
        <v>1086</v>
      </c>
      <c r="B591" s="3">
        <v>46149</v>
      </c>
      <c r="C591" s="2" t="s">
        <v>1087</v>
      </c>
      <c r="D591" s="2" t="s">
        <v>71</v>
      </c>
      <c r="E591" s="2" t="s">
        <v>15</v>
      </c>
      <c r="F591" s="2" t="s">
        <v>55</v>
      </c>
      <c r="G591" s="4">
        <v>20500</v>
      </c>
      <c r="H591" s="5">
        <v>6.7299999999999999E-2</v>
      </c>
      <c r="I591" s="2">
        <v>24</v>
      </c>
      <c r="J591" s="2" t="s">
        <v>94</v>
      </c>
      <c r="K591" s="2" t="s">
        <v>17</v>
      </c>
      <c r="L591" s="3">
        <v>46152</v>
      </c>
    </row>
    <row r="592" spans="1:12">
      <c r="A592" s="2" t="s">
        <v>1088</v>
      </c>
      <c r="B592" s="3">
        <v>46149</v>
      </c>
      <c r="C592" s="2" t="s">
        <v>453</v>
      </c>
      <c r="D592" s="2" t="s">
        <v>71</v>
      </c>
      <c r="E592" s="2" t="s">
        <v>21</v>
      </c>
      <c r="F592" s="2" t="s">
        <v>3</v>
      </c>
      <c r="G592" s="4">
        <v>196000</v>
      </c>
      <c r="H592" s="5">
        <v>3.6900000000000002E-2</v>
      </c>
      <c r="I592" s="2">
        <v>180</v>
      </c>
      <c r="J592" s="2" t="s">
        <v>101</v>
      </c>
      <c r="K592" s="2" t="s">
        <v>17</v>
      </c>
      <c r="L592" s="3">
        <v>46170</v>
      </c>
    </row>
    <row r="593" spans="1:12">
      <c r="A593" s="2" t="s">
        <v>1089</v>
      </c>
      <c r="B593" s="3">
        <v>46149</v>
      </c>
      <c r="C593" s="2" t="s">
        <v>1090</v>
      </c>
      <c r="D593" s="2" t="s">
        <v>29</v>
      </c>
      <c r="E593" s="2" t="s">
        <v>15</v>
      </c>
      <c r="F593" s="2" t="s">
        <v>3</v>
      </c>
      <c r="G593" s="4">
        <v>22400</v>
      </c>
      <c r="H593" s="5">
        <v>5.8200000000000002E-2</v>
      </c>
      <c r="I593" s="2">
        <v>48</v>
      </c>
      <c r="J593" s="2" t="s">
        <v>61</v>
      </c>
      <c r="K593" s="2" t="s">
        <v>17</v>
      </c>
      <c r="L593" s="3">
        <v>46153</v>
      </c>
    </row>
    <row r="594" spans="1:12">
      <c r="A594" s="2" t="s">
        <v>1091</v>
      </c>
      <c r="B594" s="3">
        <v>46149</v>
      </c>
      <c r="C594" s="2" t="s">
        <v>541</v>
      </c>
      <c r="D594" s="2" t="s">
        <v>54</v>
      </c>
      <c r="E594" s="2" t="s">
        <v>21</v>
      </c>
      <c r="F594" s="2" t="s">
        <v>3</v>
      </c>
      <c r="G594" s="2"/>
      <c r="H594" s="5">
        <v>3.4099999999999998E-2</v>
      </c>
      <c r="I594" s="2">
        <v>180</v>
      </c>
      <c r="J594" s="2" t="s">
        <v>148</v>
      </c>
      <c r="K594" s="2" t="s">
        <v>45</v>
      </c>
      <c r="L594" s="3">
        <v>46161</v>
      </c>
    </row>
    <row r="595" spans="1:12">
      <c r="A595" s="2" t="s">
        <v>1092</v>
      </c>
      <c r="B595" s="3">
        <v>46149</v>
      </c>
      <c r="C595" s="2" t="s">
        <v>392</v>
      </c>
      <c r="D595" s="2" t="s">
        <v>29</v>
      </c>
      <c r="E595" s="2" t="s">
        <v>30</v>
      </c>
      <c r="F595" s="2" t="s">
        <v>329</v>
      </c>
      <c r="G595" s="4">
        <v>15000</v>
      </c>
      <c r="H595" s="5">
        <v>4.9399999999999999E-2</v>
      </c>
      <c r="I595" s="2">
        <v>36</v>
      </c>
      <c r="J595" s="2" t="s">
        <v>61</v>
      </c>
      <c r="K595" s="2" t="s">
        <v>17</v>
      </c>
      <c r="L595" s="3">
        <v>46151</v>
      </c>
    </row>
    <row r="596" spans="1:12">
      <c r="A596" s="2" t="s">
        <v>1093</v>
      </c>
      <c r="B596" s="3">
        <v>46149</v>
      </c>
      <c r="C596" s="2" t="s">
        <v>1094</v>
      </c>
      <c r="D596" s="2" t="s">
        <v>29</v>
      </c>
      <c r="E596" s="2" t="s">
        <v>30</v>
      </c>
      <c r="F596" s="2" t="s">
        <v>3</v>
      </c>
      <c r="G596" s="4">
        <v>14000</v>
      </c>
      <c r="H596" s="5">
        <v>4.6699999999999998E-2</v>
      </c>
      <c r="I596" s="2">
        <v>48</v>
      </c>
      <c r="J596" s="2" t="s">
        <v>61</v>
      </c>
      <c r="K596" s="2" t="s">
        <v>17</v>
      </c>
      <c r="L596" s="3">
        <v>46151</v>
      </c>
    </row>
    <row r="597" spans="1:12">
      <c r="A597" s="2" t="s">
        <v>1095</v>
      </c>
      <c r="B597" s="3">
        <v>46149</v>
      </c>
      <c r="C597" s="2" t="s">
        <v>1096</v>
      </c>
      <c r="D597" s="2" t="s">
        <v>54</v>
      </c>
      <c r="E597" s="2" t="s">
        <v>21</v>
      </c>
      <c r="F597" s="2" t="s">
        <v>3</v>
      </c>
      <c r="G597" s="4">
        <v>237700</v>
      </c>
      <c r="H597" s="5">
        <v>4.2099999999999999E-2</v>
      </c>
      <c r="I597" s="2">
        <v>300</v>
      </c>
      <c r="J597" s="2" t="s">
        <v>186</v>
      </c>
      <c r="K597" s="2" t="s">
        <v>17</v>
      </c>
      <c r="L597" s="3">
        <v>46171</v>
      </c>
    </row>
    <row r="598" spans="1:12">
      <c r="A598" s="2" t="s">
        <v>1097</v>
      </c>
      <c r="B598" s="3">
        <v>46149</v>
      </c>
      <c r="C598" s="2" t="s">
        <v>1098</v>
      </c>
      <c r="D598" s="2" t="s">
        <v>54</v>
      </c>
      <c r="E598" s="2" t="s">
        <v>21</v>
      </c>
      <c r="F598" s="2" t="s">
        <v>55</v>
      </c>
      <c r="G598" s="4">
        <v>80400</v>
      </c>
      <c r="H598" s="5">
        <v>3.7499999999999999E-2</v>
      </c>
      <c r="I598" s="2">
        <v>120</v>
      </c>
      <c r="J598" s="2" t="s">
        <v>56</v>
      </c>
      <c r="K598" s="2" t="s">
        <v>45</v>
      </c>
      <c r="L598" s="3">
        <v>46163</v>
      </c>
    </row>
    <row r="599" spans="1:12">
      <c r="A599" s="2" t="s">
        <v>1099</v>
      </c>
      <c r="B599" s="3">
        <v>46150</v>
      </c>
      <c r="C599" s="2" t="s">
        <v>1100</v>
      </c>
      <c r="D599" s="2" t="s">
        <v>14</v>
      </c>
      <c r="E599" s="2" t="s">
        <v>43</v>
      </c>
      <c r="F599" s="2" t="s">
        <v>31</v>
      </c>
      <c r="G599" s="4">
        <v>72100</v>
      </c>
      <c r="H599" s="5">
        <v>5.62E-2</v>
      </c>
      <c r="I599" s="2">
        <v>60</v>
      </c>
      <c r="J599" s="2" t="s">
        <v>48</v>
      </c>
      <c r="K599" s="2" t="s">
        <v>17</v>
      </c>
      <c r="L599" s="3">
        <v>46163</v>
      </c>
    </row>
    <row r="600" spans="1:12">
      <c r="A600" s="2" t="s">
        <v>1101</v>
      </c>
      <c r="B600" s="3">
        <v>46150</v>
      </c>
      <c r="C600" s="2" t="s">
        <v>80</v>
      </c>
      <c r="D600" s="2" t="s">
        <v>14</v>
      </c>
      <c r="E600" s="2" t="s">
        <v>15</v>
      </c>
      <c r="F600" s="2" t="s">
        <v>55</v>
      </c>
      <c r="G600" s="4">
        <v>5900</v>
      </c>
      <c r="H600" s="5">
        <v>5.1900000000000002E-2</v>
      </c>
      <c r="I600" s="2">
        <v>24</v>
      </c>
      <c r="J600" s="2" t="s">
        <v>16</v>
      </c>
      <c r="K600" s="2" t="s">
        <v>17</v>
      </c>
      <c r="L600" s="3">
        <v>46157</v>
      </c>
    </row>
    <row r="601" spans="1:12">
      <c r="A601" s="2" t="s">
        <v>1102</v>
      </c>
      <c r="B601" s="3">
        <v>46150</v>
      </c>
      <c r="C601" s="2" t="s">
        <v>1103</v>
      </c>
      <c r="D601" s="2" t="s">
        <v>14</v>
      </c>
      <c r="E601" s="2" t="s">
        <v>15</v>
      </c>
      <c r="F601" s="2" t="s">
        <v>3</v>
      </c>
      <c r="G601" s="4">
        <v>6000</v>
      </c>
      <c r="H601" s="5">
        <v>5.6099999999999997E-2</v>
      </c>
      <c r="I601" s="2">
        <v>48</v>
      </c>
      <c r="J601" s="2" t="s">
        <v>16</v>
      </c>
      <c r="K601" s="2" t="s">
        <v>17</v>
      </c>
      <c r="L601" s="3">
        <v>46154</v>
      </c>
    </row>
    <row r="602" spans="1:12">
      <c r="A602" s="2" t="s">
        <v>1104</v>
      </c>
      <c r="B602" s="3">
        <v>46150</v>
      </c>
      <c r="C602" s="2" t="s">
        <v>713</v>
      </c>
      <c r="D602" s="2" t="s">
        <v>71</v>
      </c>
      <c r="E602" s="2" t="s">
        <v>30</v>
      </c>
      <c r="F602" s="2" t="s">
        <v>3</v>
      </c>
      <c r="G602" s="4">
        <v>10600</v>
      </c>
      <c r="H602" s="5">
        <v>4.9000000000000002E-2</v>
      </c>
      <c r="I602" s="2">
        <v>36</v>
      </c>
      <c r="J602" s="2" t="s">
        <v>101</v>
      </c>
      <c r="K602" s="2" t="s">
        <v>17</v>
      </c>
      <c r="L602" s="3">
        <v>46154</v>
      </c>
    </row>
    <row r="603" spans="1:12">
      <c r="A603" s="2" t="s">
        <v>1105</v>
      </c>
      <c r="B603" s="3">
        <v>46150</v>
      </c>
      <c r="C603" s="2" t="s">
        <v>1106</v>
      </c>
      <c r="D603" s="2" t="s">
        <v>20</v>
      </c>
      <c r="E603" s="2" t="s">
        <v>30</v>
      </c>
      <c r="F603" s="2" t="s">
        <v>3</v>
      </c>
      <c r="G603" s="4">
        <v>10200</v>
      </c>
      <c r="H603" s="5">
        <v>4.8300000000000003E-2</v>
      </c>
      <c r="I603" s="2">
        <v>48</v>
      </c>
      <c r="J603" s="2" t="s">
        <v>22</v>
      </c>
      <c r="K603" s="2" t="s">
        <v>17</v>
      </c>
      <c r="L603" s="3">
        <v>46154</v>
      </c>
    </row>
    <row r="604" spans="1:12">
      <c r="A604" s="2" t="s">
        <v>1107</v>
      </c>
      <c r="B604" s="3">
        <v>46150</v>
      </c>
      <c r="C604" s="2" t="s">
        <v>842</v>
      </c>
      <c r="D604" s="2" t="s">
        <v>29</v>
      </c>
      <c r="E604" s="2" t="s">
        <v>43</v>
      </c>
      <c r="F604" s="2" t="s">
        <v>3</v>
      </c>
      <c r="G604" s="4">
        <v>28800</v>
      </c>
      <c r="H604" s="5">
        <v>7.9299999999999995E-2</v>
      </c>
      <c r="I604" s="2">
        <v>60</v>
      </c>
      <c r="J604" s="2" t="s">
        <v>61</v>
      </c>
      <c r="K604" s="2" t="s">
        <v>45</v>
      </c>
      <c r="L604" s="3">
        <v>46162</v>
      </c>
    </row>
    <row r="605" spans="1:12">
      <c r="A605" s="2" t="s">
        <v>1108</v>
      </c>
      <c r="B605" s="3">
        <v>46152</v>
      </c>
      <c r="C605" s="2" t="s">
        <v>1109</v>
      </c>
      <c r="D605" s="2" t="s">
        <v>25</v>
      </c>
      <c r="E605" s="2" t="s">
        <v>30</v>
      </c>
      <c r="F605" s="2" t="s">
        <v>3</v>
      </c>
      <c r="G605" s="4">
        <v>4600</v>
      </c>
      <c r="H605" s="5">
        <v>4.0599999999999997E-2</v>
      </c>
      <c r="I605" s="2">
        <v>60</v>
      </c>
      <c r="J605" s="2" t="s">
        <v>66</v>
      </c>
      <c r="K605" s="2" t="s">
        <v>17</v>
      </c>
      <c r="L605" s="3">
        <v>46154</v>
      </c>
    </row>
    <row r="606" spans="1:12">
      <c r="A606" s="2" t="s">
        <v>1110</v>
      </c>
      <c r="B606" s="3">
        <v>46152</v>
      </c>
      <c r="C606" s="2" t="s">
        <v>1111</v>
      </c>
      <c r="D606" s="2" t="s">
        <v>14</v>
      </c>
      <c r="E606" s="2" t="s">
        <v>30</v>
      </c>
      <c r="F606" s="2" t="s">
        <v>3</v>
      </c>
      <c r="G606" s="4">
        <v>5800</v>
      </c>
      <c r="H606" s="5">
        <v>3.8800000000000001E-2</v>
      </c>
      <c r="I606" s="2">
        <v>60</v>
      </c>
      <c r="J606" s="2" t="s">
        <v>40</v>
      </c>
      <c r="K606" s="2" t="s">
        <v>17</v>
      </c>
      <c r="L606" s="3">
        <v>46154</v>
      </c>
    </row>
    <row r="607" spans="1:12">
      <c r="A607" s="2" t="s">
        <v>1112</v>
      </c>
      <c r="B607" s="3">
        <v>46152</v>
      </c>
      <c r="C607" s="2" t="s">
        <v>1113</v>
      </c>
      <c r="D607" s="2" t="s">
        <v>20</v>
      </c>
      <c r="E607" s="2" t="s">
        <v>43</v>
      </c>
      <c r="F607" s="2" t="s">
        <v>55</v>
      </c>
      <c r="G607" s="4">
        <v>135800</v>
      </c>
      <c r="H607" s="5">
        <v>6.2199999999999998E-2</v>
      </c>
      <c r="I607" s="2">
        <v>36</v>
      </c>
      <c r="J607" s="2" t="s">
        <v>44</v>
      </c>
      <c r="K607" s="2" t="s">
        <v>17</v>
      </c>
      <c r="L607" s="3">
        <v>46162</v>
      </c>
    </row>
    <row r="608" spans="1:12">
      <c r="A608" s="2" t="s">
        <v>1114</v>
      </c>
      <c r="B608" s="3">
        <v>46153</v>
      </c>
      <c r="C608" s="2" t="s">
        <v>495</v>
      </c>
      <c r="D608" s="2" t="s">
        <v>25</v>
      </c>
      <c r="E608" s="2" t="s">
        <v>21</v>
      </c>
      <c r="F608" s="2" t="s">
        <v>31</v>
      </c>
      <c r="G608" s="4">
        <v>88000</v>
      </c>
      <c r="H608" s="5">
        <v>3.3500000000000002E-2</v>
      </c>
      <c r="I608" s="2">
        <v>120</v>
      </c>
      <c r="J608" s="2" t="s">
        <v>26</v>
      </c>
      <c r="K608" s="2" t="s">
        <v>45</v>
      </c>
      <c r="L608" s="3">
        <v>46164</v>
      </c>
    </row>
    <row r="609" spans="1:12">
      <c r="A609" s="2" t="s">
        <v>1115</v>
      </c>
      <c r="B609" s="3">
        <v>46153</v>
      </c>
      <c r="C609" s="2" t="s">
        <v>295</v>
      </c>
      <c r="D609" s="2" t="s">
        <v>54</v>
      </c>
      <c r="E609" s="2" t="s">
        <v>30</v>
      </c>
      <c r="F609" s="2" t="s">
        <v>3</v>
      </c>
      <c r="G609" s="4">
        <v>10800</v>
      </c>
      <c r="H609" s="5">
        <v>3.5900000000000001E-2</v>
      </c>
      <c r="I609" s="2">
        <v>36</v>
      </c>
      <c r="J609" s="2" t="s">
        <v>56</v>
      </c>
      <c r="K609" s="2" t="s">
        <v>45</v>
      </c>
      <c r="L609" s="3">
        <v>46155</v>
      </c>
    </row>
    <row r="610" spans="1:12">
      <c r="A610" s="2" t="s">
        <v>1116</v>
      </c>
      <c r="B610" s="3">
        <v>46153</v>
      </c>
      <c r="C610" s="2" t="s">
        <v>1117</v>
      </c>
      <c r="D610" s="2" t="s">
        <v>54</v>
      </c>
      <c r="E610" s="2" t="s">
        <v>21</v>
      </c>
      <c r="F610" s="2" t="s">
        <v>3</v>
      </c>
      <c r="G610" s="4">
        <v>169100</v>
      </c>
      <c r="H610" s="5">
        <v>3.0499999999999999E-2</v>
      </c>
      <c r="I610" s="2">
        <v>120</v>
      </c>
      <c r="J610" s="2" t="s">
        <v>56</v>
      </c>
      <c r="K610" s="2" t="s">
        <v>17</v>
      </c>
      <c r="L610" s="3">
        <v>46174</v>
      </c>
    </row>
    <row r="611" spans="1:12">
      <c r="A611" s="2" t="s">
        <v>1118</v>
      </c>
      <c r="B611" s="3">
        <v>46154</v>
      </c>
      <c r="C611" s="2" t="s">
        <v>13</v>
      </c>
      <c r="D611" s="2" t="s">
        <v>25</v>
      </c>
      <c r="E611" s="2" t="s">
        <v>43</v>
      </c>
      <c r="F611" s="2" t="s">
        <v>3</v>
      </c>
      <c r="G611" s="4">
        <v>107100</v>
      </c>
      <c r="H611" s="5">
        <v>5.79E-2</v>
      </c>
      <c r="I611" s="2">
        <v>36</v>
      </c>
      <c r="J611" s="2" t="s">
        <v>26</v>
      </c>
      <c r="K611" s="2" t="s">
        <v>17</v>
      </c>
      <c r="L611" s="3">
        <v>46165</v>
      </c>
    </row>
    <row r="612" spans="1:12">
      <c r="A612" s="2" t="s">
        <v>1119</v>
      </c>
      <c r="B612" s="3">
        <v>46154</v>
      </c>
      <c r="C612" s="2" t="s">
        <v>658</v>
      </c>
      <c r="D612" s="2" t="s">
        <v>29</v>
      </c>
      <c r="E612" s="2" t="s">
        <v>15</v>
      </c>
      <c r="F612" s="2" t="s">
        <v>3</v>
      </c>
      <c r="G612" s="4">
        <v>25000</v>
      </c>
      <c r="H612" s="5">
        <v>5.5500000000000001E-2</v>
      </c>
      <c r="I612" s="2">
        <v>60</v>
      </c>
      <c r="J612" s="2" t="s">
        <v>123</v>
      </c>
      <c r="K612" s="2" t="s">
        <v>45</v>
      </c>
      <c r="L612" s="3">
        <v>46156</v>
      </c>
    </row>
    <row r="613" spans="1:12">
      <c r="A613" s="2" t="s">
        <v>1120</v>
      </c>
      <c r="B613" s="3">
        <v>46154</v>
      </c>
      <c r="C613" s="2" t="s">
        <v>1121</v>
      </c>
      <c r="D613" s="2" t="s">
        <v>25</v>
      </c>
      <c r="E613" s="2" t="s">
        <v>15</v>
      </c>
      <c r="F613" s="2" t="s">
        <v>55</v>
      </c>
      <c r="G613" s="4">
        <v>20200</v>
      </c>
      <c r="H613" s="5">
        <v>5.8200000000000002E-2</v>
      </c>
      <c r="I613" s="2">
        <v>24</v>
      </c>
      <c r="J613" s="2" t="s">
        <v>66</v>
      </c>
      <c r="K613" s="2" t="s">
        <v>17</v>
      </c>
      <c r="L613" s="3">
        <v>46158</v>
      </c>
    </row>
    <row r="614" spans="1:12">
      <c r="A614" s="2" t="s">
        <v>1122</v>
      </c>
      <c r="B614" s="3">
        <v>46155</v>
      </c>
      <c r="C614" s="2" t="s">
        <v>116</v>
      </c>
      <c r="D614" s="2" t="s">
        <v>71</v>
      </c>
      <c r="E614" s="2" t="s">
        <v>15</v>
      </c>
      <c r="F614" s="2" t="s">
        <v>31</v>
      </c>
      <c r="G614" s="4">
        <v>10200</v>
      </c>
      <c r="H614" s="5">
        <v>6.4799999999999996E-2</v>
      </c>
      <c r="I614" s="2">
        <v>60</v>
      </c>
      <c r="J614" s="2" t="s">
        <v>94</v>
      </c>
      <c r="K614" s="2" t="s">
        <v>17</v>
      </c>
      <c r="L614" s="3">
        <v>46162</v>
      </c>
    </row>
    <row r="615" spans="1:12">
      <c r="A615" s="2" t="s">
        <v>1123</v>
      </c>
      <c r="B615" s="3">
        <v>46155</v>
      </c>
      <c r="C615" s="2" t="s">
        <v>1124</v>
      </c>
      <c r="D615" s="2" t="s">
        <v>14</v>
      </c>
      <c r="E615" s="2" t="s">
        <v>15</v>
      </c>
      <c r="F615" s="2" t="s">
        <v>3</v>
      </c>
      <c r="G615" s="4">
        <v>16400</v>
      </c>
      <c r="H615" s="5">
        <v>5.5599999999999997E-2</v>
      </c>
      <c r="I615" s="2">
        <v>36</v>
      </c>
      <c r="J615" s="2" t="s">
        <v>40</v>
      </c>
      <c r="K615" s="2" t="s">
        <v>17</v>
      </c>
      <c r="L615" s="3">
        <v>46159</v>
      </c>
    </row>
    <row r="616" spans="1:12">
      <c r="A616" s="2" t="s">
        <v>1125</v>
      </c>
      <c r="B616" s="3">
        <v>46156</v>
      </c>
      <c r="C616" s="2" t="s">
        <v>742</v>
      </c>
      <c r="D616" s="2" t="s">
        <v>25</v>
      </c>
      <c r="E616" s="2" t="s">
        <v>43</v>
      </c>
      <c r="F616" s="2" t="s">
        <v>3</v>
      </c>
      <c r="G616" s="4">
        <v>78600</v>
      </c>
      <c r="H616" s="5">
        <v>7.7299999999999994E-2</v>
      </c>
      <c r="I616" s="2">
        <v>60</v>
      </c>
      <c r="J616" s="2" t="s">
        <v>181</v>
      </c>
      <c r="K616" s="2" t="s">
        <v>45</v>
      </c>
      <c r="L616" s="3">
        <v>46174</v>
      </c>
    </row>
    <row r="617" spans="1:12">
      <c r="A617" s="2" t="s">
        <v>1126</v>
      </c>
      <c r="B617" s="3">
        <v>46156</v>
      </c>
      <c r="C617" s="2" t="s">
        <v>278</v>
      </c>
      <c r="D617" s="2" t="s">
        <v>14</v>
      </c>
      <c r="E617" s="2" t="s">
        <v>15</v>
      </c>
      <c r="F617" s="2" t="s">
        <v>3</v>
      </c>
      <c r="G617" s="4">
        <v>6100</v>
      </c>
      <c r="H617" s="5">
        <v>5.4199999999999998E-2</v>
      </c>
      <c r="I617" s="2">
        <v>60</v>
      </c>
      <c r="J617" s="2" t="s">
        <v>16</v>
      </c>
      <c r="K617" s="2" t="s">
        <v>17</v>
      </c>
      <c r="L617" s="3">
        <v>46157</v>
      </c>
    </row>
    <row r="618" spans="1:12">
      <c r="A618" s="2" t="s">
        <v>1127</v>
      </c>
      <c r="B618" s="3">
        <v>46156</v>
      </c>
      <c r="C618" s="2" t="s">
        <v>636</v>
      </c>
      <c r="D618" s="2" t="s">
        <v>20</v>
      </c>
      <c r="E618" s="2" t="s">
        <v>43</v>
      </c>
      <c r="F618" s="2" t="s">
        <v>3</v>
      </c>
      <c r="G618" s="4">
        <v>53200</v>
      </c>
      <c r="H618" s="5">
        <v>7.3099999999999998E-2</v>
      </c>
      <c r="I618" s="2">
        <v>24</v>
      </c>
      <c r="J618" s="2" t="s">
        <v>44</v>
      </c>
      <c r="K618" s="2" t="s">
        <v>45</v>
      </c>
      <c r="L618" s="3">
        <v>46173</v>
      </c>
    </row>
    <row r="619" spans="1:12">
      <c r="A619" s="2" t="s">
        <v>1128</v>
      </c>
      <c r="B619" s="3">
        <v>46157</v>
      </c>
      <c r="C619" s="2" t="s">
        <v>1129</v>
      </c>
      <c r="D619" s="2" t="s">
        <v>29</v>
      </c>
      <c r="E619" s="2" t="s">
        <v>30</v>
      </c>
      <c r="F619" s="2" t="s">
        <v>31</v>
      </c>
      <c r="G619" s="4">
        <v>15300</v>
      </c>
      <c r="H619" s="5">
        <v>4.9599999999999998E-2</v>
      </c>
      <c r="I619" s="2">
        <v>48</v>
      </c>
      <c r="J619" s="2" t="s">
        <v>32</v>
      </c>
      <c r="K619" s="2" t="s">
        <v>17</v>
      </c>
      <c r="L619" s="3">
        <v>46161</v>
      </c>
    </row>
    <row r="620" spans="1:12">
      <c r="A620" s="2" t="s">
        <v>1130</v>
      </c>
      <c r="B620" s="3">
        <v>46157</v>
      </c>
      <c r="C620" s="2" t="s">
        <v>1131</v>
      </c>
      <c r="D620" s="2" t="s">
        <v>25</v>
      </c>
      <c r="E620" s="2" t="s">
        <v>43</v>
      </c>
      <c r="F620" s="2" t="s">
        <v>31</v>
      </c>
      <c r="G620" s="4">
        <v>119500</v>
      </c>
      <c r="H620" s="5">
        <v>7.0999999999999994E-2</v>
      </c>
      <c r="I620" s="2">
        <v>84</v>
      </c>
      <c r="J620" s="2" t="s">
        <v>66</v>
      </c>
      <c r="K620" s="2" t="s">
        <v>45</v>
      </c>
      <c r="L620" s="3">
        <v>46165</v>
      </c>
    </row>
    <row r="621" spans="1:12">
      <c r="A621" s="2" t="s">
        <v>1132</v>
      </c>
      <c r="B621" s="3">
        <v>46157</v>
      </c>
      <c r="C621" s="2" t="s">
        <v>1117</v>
      </c>
      <c r="D621" s="2" t="s">
        <v>14</v>
      </c>
      <c r="E621" s="2" t="s">
        <v>15</v>
      </c>
      <c r="F621" s="2" t="s">
        <v>55</v>
      </c>
      <c r="G621" s="4">
        <v>3200</v>
      </c>
      <c r="H621" s="5">
        <v>5.3699999999999998E-2</v>
      </c>
      <c r="I621" s="2">
        <v>12</v>
      </c>
      <c r="J621" s="2" t="s">
        <v>16</v>
      </c>
      <c r="K621" s="2" t="s">
        <v>45</v>
      </c>
      <c r="L621" s="3">
        <v>46161</v>
      </c>
    </row>
    <row r="622" spans="1:12">
      <c r="A622" s="2" t="s">
        <v>1133</v>
      </c>
      <c r="B622" s="3">
        <v>46157</v>
      </c>
      <c r="C622" s="2" t="s">
        <v>1134</v>
      </c>
      <c r="D622" s="2" t="s">
        <v>71</v>
      </c>
      <c r="E622" s="2" t="s">
        <v>30</v>
      </c>
      <c r="F622" s="2" t="s">
        <v>31</v>
      </c>
      <c r="G622" s="4">
        <v>10900</v>
      </c>
      <c r="H622" s="5">
        <v>4.3700000000000003E-2</v>
      </c>
      <c r="I622" s="2">
        <v>36</v>
      </c>
      <c r="J622" s="2" t="s">
        <v>72</v>
      </c>
      <c r="K622" s="2" t="s">
        <v>17</v>
      </c>
      <c r="L622" s="3">
        <v>46157</v>
      </c>
    </row>
    <row r="623" spans="1:12">
      <c r="A623" s="2" t="s">
        <v>1135</v>
      </c>
      <c r="B623" s="3">
        <v>46157</v>
      </c>
      <c r="C623" s="2" t="s">
        <v>1136</v>
      </c>
      <c r="D623" s="2" t="s">
        <v>14</v>
      </c>
      <c r="E623" s="2" t="s">
        <v>43</v>
      </c>
      <c r="F623" s="2" t="s">
        <v>55</v>
      </c>
      <c r="G623" s="4">
        <v>112000</v>
      </c>
      <c r="H623" s="5">
        <v>6.5100000000000005E-2</v>
      </c>
      <c r="I623" s="2">
        <v>24</v>
      </c>
      <c r="J623" s="2" t="s">
        <v>40</v>
      </c>
      <c r="K623" s="2" t="s">
        <v>45</v>
      </c>
      <c r="L623" s="3">
        <v>46177</v>
      </c>
    </row>
    <row r="624" spans="1:12">
      <c r="A624" s="2" t="s">
        <v>1137</v>
      </c>
      <c r="B624" s="3">
        <v>46157</v>
      </c>
      <c r="C624" s="2" t="s">
        <v>858</v>
      </c>
      <c r="D624" s="2" t="s">
        <v>14</v>
      </c>
      <c r="E624" s="2" t="s">
        <v>43</v>
      </c>
      <c r="F624" s="2" t="s">
        <v>55</v>
      </c>
      <c r="G624" s="4">
        <v>104300</v>
      </c>
      <c r="H624" s="5">
        <v>7.9500000000000001E-2</v>
      </c>
      <c r="I624" s="2">
        <v>84</v>
      </c>
      <c r="J624" s="2" t="s">
        <v>16</v>
      </c>
      <c r="K624" s="2" t="s">
        <v>17</v>
      </c>
      <c r="L624" s="3">
        <v>46169</v>
      </c>
    </row>
    <row r="625" spans="1:12">
      <c r="A625" s="2" t="s">
        <v>1138</v>
      </c>
      <c r="B625" s="3">
        <v>46157</v>
      </c>
      <c r="C625" s="2" t="s">
        <v>190</v>
      </c>
      <c r="D625" s="2" t="s">
        <v>71</v>
      </c>
      <c r="E625" s="2" t="s">
        <v>15</v>
      </c>
      <c r="F625" s="2" t="s">
        <v>31</v>
      </c>
      <c r="G625" s="2" t="s">
        <v>1139</v>
      </c>
      <c r="H625" s="5">
        <v>5.2200000000000003E-2</v>
      </c>
      <c r="I625" s="2">
        <v>36</v>
      </c>
      <c r="J625" s="2" t="s">
        <v>101</v>
      </c>
      <c r="K625" s="2" t="s">
        <v>17</v>
      </c>
      <c r="L625" s="3">
        <v>46161</v>
      </c>
    </row>
    <row r="626" spans="1:12">
      <c r="A626" s="2" t="s">
        <v>1140</v>
      </c>
      <c r="B626" s="3">
        <v>46157</v>
      </c>
      <c r="C626" s="2" t="s">
        <v>86</v>
      </c>
      <c r="D626" s="2" t="s">
        <v>54</v>
      </c>
      <c r="E626" s="2" t="s">
        <v>15</v>
      </c>
      <c r="F626" s="2" t="s">
        <v>3</v>
      </c>
      <c r="G626" s="4">
        <v>16600</v>
      </c>
      <c r="H626" s="5">
        <v>6.0900000000000003E-2</v>
      </c>
      <c r="I626" s="2">
        <v>60</v>
      </c>
      <c r="J626" s="2" t="s">
        <v>186</v>
      </c>
      <c r="K626" s="2" t="s">
        <v>17</v>
      </c>
      <c r="L626" s="3">
        <v>46160</v>
      </c>
    </row>
    <row r="627" spans="1:12">
      <c r="A627" s="2" t="s">
        <v>1141</v>
      </c>
      <c r="B627" s="3">
        <v>46157</v>
      </c>
      <c r="C627" s="2" t="s">
        <v>588</v>
      </c>
      <c r="D627" s="2" t="s">
        <v>71</v>
      </c>
      <c r="E627" s="2" t="s">
        <v>15</v>
      </c>
      <c r="F627" s="2" t="s">
        <v>55</v>
      </c>
      <c r="G627" s="4">
        <v>25000</v>
      </c>
      <c r="H627" s="5">
        <v>5.8000000000000003E-2</v>
      </c>
      <c r="I627" s="2">
        <v>24</v>
      </c>
      <c r="J627" s="2" t="s">
        <v>94</v>
      </c>
      <c r="K627" s="2" t="s">
        <v>17</v>
      </c>
      <c r="L627" s="3">
        <v>46164</v>
      </c>
    </row>
    <row r="628" spans="1:12">
      <c r="A628" s="2" t="s">
        <v>1142</v>
      </c>
      <c r="B628" s="3">
        <v>46158</v>
      </c>
      <c r="C628" s="2" t="s">
        <v>1143</v>
      </c>
      <c r="D628" s="2" t="s">
        <v>54</v>
      </c>
      <c r="E628" s="2" t="s">
        <v>30</v>
      </c>
      <c r="F628" s="2" t="s">
        <v>3</v>
      </c>
      <c r="G628" s="4">
        <v>8500</v>
      </c>
      <c r="H628" s="5">
        <v>4.0300000000000002E-2</v>
      </c>
      <c r="I628" s="2">
        <v>36</v>
      </c>
      <c r="J628" s="2" t="s">
        <v>56</v>
      </c>
      <c r="K628" s="2" t="s">
        <v>17</v>
      </c>
      <c r="L628" s="3">
        <v>46160</v>
      </c>
    </row>
    <row r="629" spans="1:12">
      <c r="A629" s="2" t="s">
        <v>1144</v>
      </c>
      <c r="B629" s="3">
        <v>46158</v>
      </c>
      <c r="C629" s="2" t="s">
        <v>1145</v>
      </c>
      <c r="D629" s="2" t="s">
        <v>25</v>
      </c>
      <c r="E629" s="2" t="s">
        <v>15</v>
      </c>
      <c r="F629" s="2" t="s">
        <v>3</v>
      </c>
      <c r="G629" s="4">
        <v>3500</v>
      </c>
      <c r="H629" s="5">
        <v>5.2999999999999999E-2</v>
      </c>
      <c r="I629" s="2">
        <v>36</v>
      </c>
      <c r="J629" s="2" t="s">
        <v>26</v>
      </c>
      <c r="K629" s="2" t="s">
        <v>17</v>
      </c>
      <c r="L629" s="3">
        <v>46162</v>
      </c>
    </row>
    <row r="630" spans="1:12">
      <c r="A630" s="2" t="s">
        <v>1146</v>
      </c>
      <c r="B630" s="3">
        <v>46158</v>
      </c>
      <c r="C630" s="2" t="s">
        <v>1147</v>
      </c>
      <c r="D630" s="2" t="s">
        <v>14</v>
      </c>
      <c r="E630" s="2" t="s">
        <v>21</v>
      </c>
      <c r="F630" s="2" t="s">
        <v>55</v>
      </c>
      <c r="G630" s="4">
        <v>132300</v>
      </c>
      <c r="H630" s="5">
        <v>3.8100000000000002E-2</v>
      </c>
      <c r="I630" s="2">
        <v>300</v>
      </c>
      <c r="J630" s="2" t="s">
        <v>16</v>
      </c>
      <c r="K630" s="2" t="s">
        <v>45</v>
      </c>
      <c r="L630" s="3">
        <v>46173</v>
      </c>
    </row>
    <row r="631" spans="1:12">
      <c r="A631" s="2" t="s">
        <v>1148</v>
      </c>
      <c r="B631" s="3">
        <v>46158</v>
      </c>
      <c r="C631" s="2" t="s">
        <v>282</v>
      </c>
      <c r="D631" s="2" t="s">
        <v>71</v>
      </c>
      <c r="E631" s="2" t="s">
        <v>15</v>
      </c>
      <c r="F631" s="2" t="s">
        <v>31</v>
      </c>
      <c r="G631" s="4">
        <v>10900</v>
      </c>
      <c r="H631" s="5">
        <v>6.7000000000000004E-2</v>
      </c>
      <c r="I631" s="2">
        <v>12</v>
      </c>
      <c r="J631" s="2" t="s">
        <v>94</v>
      </c>
      <c r="K631" s="2" t="s">
        <v>45</v>
      </c>
      <c r="L631" s="3">
        <v>46162</v>
      </c>
    </row>
    <row r="632" spans="1:12">
      <c r="A632" s="2" t="s">
        <v>1149</v>
      </c>
      <c r="B632" s="3">
        <v>46159</v>
      </c>
      <c r="C632" s="2" t="s">
        <v>290</v>
      </c>
      <c r="D632" s="2" t="s">
        <v>25</v>
      </c>
      <c r="E632" s="2" t="s">
        <v>15</v>
      </c>
      <c r="F632" s="2" t="s">
        <v>3</v>
      </c>
      <c r="G632" s="2" t="s">
        <v>1150</v>
      </c>
      <c r="H632" s="5">
        <v>5.8400000000000001E-2</v>
      </c>
      <c r="I632" s="2">
        <v>24</v>
      </c>
      <c r="J632" s="2" t="s">
        <v>26</v>
      </c>
      <c r="K632" s="2" t="s">
        <v>45</v>
      </c>
      <c r="L632" s="3">
        <v>46161</v>
      </c>
    </row>
    <row r="633" spans="1:12">
      <c r="A633" s="2" t="s">
        <v>1151</v>
      </c>
      <c r="B633" s="3">
        <v>46159</v>
      </c>
      <c r="C633" s="2" t="s">
        <v>1152</v>
      </c>
      <c r="D633" s="2" t="s">
        <v>54</v>
      </c>
      <c r="E633" s="2" t="s">
        <v>30</v>
      </c>
      <c r="F633" s="2" t="s">
        <v>31</v>
      </c>
      <c r="G633" s="4">
        <v>6500</v>
      </c>
      <c r="H633" s="5">
        <v>4.5600000000000002E-2</v>
      </c>
      <c r="I633" s="2">
        <v>60</v>
      </c>
      <c r="J633" s="2" t="s">
        <v>186</v>
      </c>
      <c r="K633" s="2" t="s">
        <v>17</v>
      </c>
      <c r="L633" s="3">
        <v>46163</v>
      </c>
    </row>
    <row r="634" spans="1:12">
      <c r="A634" s="2" t="s">
        <v>1153</v>
      </c>
      <c r="B634" s="3">
        <v>46159</v>
      </c>
      <c r="C634" s="2" t="s">
        <v>1154</v>
      </c>
      <c r="D634" s="2" t="s">
        <v>20</v>
      </c>
      <c r="E634" s="2" t="s">
        <v>30</v>
      </c>
      <c r="F634" s="2" t="s">
        <v>55</v>
      </c>
      <c r="G634" s="4">
        <v>14500</v>
      </c>
      <c r="H634" s="5">
        <v>4.0800000000000003E-2</v>
      </c>
      <c r="I634" s="2">
        <v>48</v>
      </c>
      <c r="J634" s="2" t="s">
        <v>22</v>
      </c>
      <c r="K634" s="2" t="s">
        <v>17</v>
      </c>
      <c r="L634" s="3">
        <v>46163</v>
      </c>
    </row>
    <row r="635" spans="1:12">
      <c r="A635" s="2" t="s">
        <v>1155</v>
      </c>
      <c r="B635" s="3">
        <v>46159</v>
      </c>
      <c r="C635" s="2" t="s">
        <v>1156</v>
      </c>
      <c r="D635" s="2" t="s">
        <v>25</v>
      </c>
      <c r="E635" s="2" t="s">
        <v>43</v>
      </c>
      <c r="F635" s="2" t="s">
        <v>31</v>
      </c>
      <c r="G635" s="4">
        <v>92300</v>
      </c>
      <c r="H635" s="5">
        <v>7.9500000000000001E-2</v>
      </c>
      <c r="I635" s="2">
        <v>84</v>
      </c>
      <c r="J635" s="2" t="s">
        <v>26</v>
      </c>
      <c r="K635" s="2" t="s">
        <v>45</v>
      </c>
      <c r="L635" s="3">
        <v>46180</v>
      </c>
    </row>
    <row r="636" spans="1:12">
      <c r="A636" s="2" t="s">
        <v>1157</v>
      </c>
      <c r="B636" s="3">
        <v>46159</v>
      </c>
      <c r="C636" s="2" t="s">
        <v>1015</v>
      </c>
      <c r="D636" s="2" t="s">
        <v>25</v>
      </c>
      <c r="E636" s="2" t="s">
        <v>30</v>
      </c>
      <c r="F636" s="2" t="s">
        <v>31</v>
      </c>
      <c r="G636" s="4">
        <v>12500</v>
      </c>
      <c r="H636" s="5">
        <v>4.9700000000000001E-2</v>
      </c>
      <c r="I636" s="2">
        <v>36</v>
      </c>
      <c r="J636" s="2" t="s">
        <v>66</v>
      </c>
      <c r="K636" s="2" t="s">
        <v>17</v>
      </c>
      <c r="L636" s="3">
        <v>46161</v>
      </c>
    </row>
    <row r="637" spans="1:12">
      <c r="A637" s="2" t="s">
        <v>1158</v>
      </c>
      <c r="B637" s="3">
        <v>46159</v>
      </c>
      <c r="C637" s="2" t="s">
        <v>677</v>
      </c>
      <c r="D637" s="2" t="s">
        <v>71</v>
      </c>
      <c r="E637" s="2" t="s">
        <v>30</v>
      </c>
      <c r="F637" s="2" t="s">
        <v>31</v>
      </c>
      <c r="G637" s="4">
        <v>10900</v>
      </c>
      <c r="H637" s="5">
        <v>3.7600000000000001E-2</v>
      </c>
      <c r="I637" s="2">
        <v>48</v>
      </c>
      <c r="J637" s="2" t="s">
        <v>101</v>
      </c>
      <c r="K637" s="2" t="s">
        <v>17</v>
      </c>
      <c r="L637" s="3">
        <v>46159</v>
      </c>
    </row>
    <row r="638" spans="1:12">
      <c r="A638" s="2" t="s">
        <v>1159</v>
      </c>
      <c r="B638" s="3">
        <v>46159</v>
      </c>
      <c r="C638" s="2" t="s">
        <v>991</v>
      </c>
      <c r="D638" s="2" t="s">
        <v>25</v>
      </c>
      <c r="E638" s="2" t="s">
        <v>43</v>
      </c>
      <c r="F638" s="2" t="s">
        <v>3</v>
      </c>
      <c r="G638" s="4">
        <v>41400</v>
      </c>
      <c r="H638" s="5">
        <v>5.8099999999999999E-2</v>
      </c>
      <c r="I638" s="2">
        <v>24</v>
      </c>
      <c r="J638" s="2" t="s">
        <v>26</v>
      </c>
      <c r="K638" s="2" t="s">
        <v>45</v>
      </c>
      <c r="L638" s="3">
        <v>46176</v>
      </c>
    </row>
    <row r="639" spans="1:12">
      <c r="A639" s="2" t="s">
        <v>1160</v>
      </c>
      <c r="B639" s="3">
        <v>46159</v>
      </c>
      <c r="C639" s="2" t="s">
        <v>195</v>
      </c>
      <c r="D639" s="2" t="s">
        <v>29</v>
      </c>
      <c r="E639" s="2" t="s">
        <v>15</v>
      </c>
      <c r="F639" s="2" t="s">
        <v>3</v>
      </c>
      <c r="G639" s="4">
        <v>8900</v>
      </c>
      <c r="H639" s="5">
        <v>6.4199999999999993E-2</v>
      </c>
      <c r="I639" s="2">
        <v>24</v>
      </c>
      <c r="J639" s="2" t="s">
        <v>32</v>
      </c>
      <c r="K639" s="2" t="s">
        <v>45</v>
      </c>
      <c r="L639" s="3">
        <v>46166</v>
      </c>
    </row>
    <row r="640" spans="1:12">
      <c r="A640" s="2" t="s">
        <v>1161</v>
      </c>
      <c r="B640" s="3">
        <v>46159</v>
      </c>
      <c r="C640" s="2" t="s">
        <v>1034</v>
      </c>
      <c r="D640" s="2" t="s">
        <v>14</v>
      </c>
      <c r="E640" s="2" t="s">
        <v>30</v>
      </c>
      <c r="F640" s="2" t="s">
        <v>3</v>
      </c>
      <c r="G640" s="4">
        <v>7300</v>
      </c>
      <c r="H640" s="5">
        <v>4.3700000000000003E-2</v>
      </c>
      <c r="I640" s="2">
        <v>48</v>
      </c>
      <c r="J640" s="2" t="s">
        <v>48</v>
      </c>
      <c r="K640" s="2" t="s">
        <v>17</v>
      </c>
      <c r="L640" s="3">
        <v>46160</v>
      </c>
    </row>
    <row r="641" spans="1:12">
      <c r="A641" s="2" t="s">
        <v>1162</v>
      </c>
      <c r="B641" s="3">
        <v>46159</v>
      </c>
      <c r="C641" s="2" t="s">
        <v>1163</v>
      </c>
      <c r="D641" s="2" t="s">
        <v>14</v>
      </c>
      <c r="E641" s="2" t="s">
        <v>30</v>
      </c>
      <c r="F641" s="2" t="s">
        <v>3</v>
      </c>
      <c r="G641" s="4">
        <v>6200</v>
      </c>
      <c r="H641" s="5">
        <v>3.7499999999999999E-2</v>
      </c>
      <c r="I641" s="2">
        <v>48</v>
      </c>
      <c r="J641" s="2" t="s">
        <v>48</v>
      </c>
      <c r="K641" s="2" t="s">
        <v>17</v>
      </c>
      <c r="L641" s="3">
        <v>46163</v>
      </c>
    </row>
    <row r="642" spans="1:12">
      <c r="A642" s="2" t="s">
        <v>1164</v>
      </c>
      <c r="B642" s="3">
        <v>46160</v>
      </c>
      <c r="C642" s="2" t="s">
        <v>1165</v>
      </c>
      <c r="D642" s="2" t="s">
        <v>54</v>
      </c>
      <c r="E642" s="2" t="s">
        <v>30</v>
      </c>
      <c r="F642" s="2" t="s">
        <v>31</v>
      </c>
      <c r="G642" s="4">
        <v>11900</v>
      </c>
      <c r="H642" s="5">
        <v>4.0099999999999997E-2</v>
      </c>
      <c r="I642" s="2">
        <v>48</v>
      </c>
      <c r="J642" s="2" t="s">
        <v>148</v>
      </c>
      <c r="K642" s="2" t="s">
        <v>17</v>
      </c>
      <c r="L642" s="3">
        <v>46163</v>
      </c>
    </row>
    <row r="643" spans="1:12">
      <c r="A643" s="2" t="s">
        <v>1166</v>
      </c>
      <c r="B643" s="3">
        <v>46160</v>
      </c>
      <c r="C643" s="2" t="s">
        <v>685</v>
      </c>
      <c r="D643" s="2" t="s">
        <v>14</v>
      </c>
      <c r="E643" s="2" t="s">
        <v>21</v>
      </c>
      <c r="F643" s="2" t="s">
        <v>55</v>
      </c>
      <c r="G643" s="4">
        <v>156500</v>
      </c>
      <c r="H643" s="5">
        <v>3.2399999999999998E-2</v>
      </c>
      <c r="I643" s="2">
        <v>180</v>
      </c>
      <c r="J643" s="2" t="s">
        <v>40</v>
      </c>
      <c r="K643" s="2" t="s">
        <v>45</v>
      </c>
      <c r="L643" s="3">
        <v>46185</v>
      </c>
    </row>
    <row r="644" spans="1:12">
      <c r="A644" s="2" t="s">
        <v>1167</v>
      </c>
      <c r="B644" s="3">
        <v>46160</v>
      </c>
      <c r="C644" s="2" t="s">
        <v>1168</v>
      </c>
      <c r="D644" s="2" t="s">
        <v>20</v>
      </c>
      <c r="E644" s="2" t="s">
        <v>15</v>
      </c>
      <c r="F644" s="2" t="s">
        <v>55</v>
      </c>
      <c r="G644" s="4">
        <v>2200</v>
      </c>
      <c r="H644" s="5">
        <v>5.91E-2</v>
      </c>
      <c r="I644" s="2">
        <v>36</v>
      </c>
      <c r="J644" s="2" t="s">
        <v>44</v>
      </c>
      <c r="K644" s="2" t="s">
        <v>17</v>
      </c>
      <c r="L644" s="3">
        <v>46167</v>
      </c>
    </row>
    <row r="645" spans="1:12">
      <c r="A645" s="2" t="s">
        <v>1169</v>
      </c>
      <c r="B645" s="3">
        <v>46161</v>
      </c>
      <c r="C645" s="2" t="s">
        <v>623</v>
      </c>
      <c r="D645" s="2" t="s">
        <v>29</v>
      </c>
      <c r="E645" s="2" t="s">
        <v>30</v>
      </c>
      <c r="F645" s="2" t="s">
        <v>3</v>
      </c>
      <c r="G645" s="4">
        <v>5600</v>
      </c>
      <c r="H645" s="5">
        <v>4.7800000000000002E-2</v>
      </c>
      <c r="I645" s="2">
        <v>36</v>
      </c>
      <c r="J645" s="2" t="s">
        <v>32</v>
      </c>
      <c r="K645" s="2" t="s">
        <v>17</v>
      </c>
      <c r="L645" s="3">
        <v>46163</v>
      </c>
    </row>
    <row r="646" spans="1:12">
      <c r="A646" s="2" t="s">
        <v>1170</v>
      </c>
      <c r="B646" s="3">
        <v>46161</v>
      </c>
      <c r="C646" s="2" t="s">
        <v>1171</v>
      </c>
      <c r="D646" s="2" t="s">
        <v>20</v>
      </c>
      <c r="E646" s="2" t="s">
        <v>30</v>
      </c>
      <c r="F646" s="2" t="s">
        <v>3</v>
      </c>
      <c r="G646" s="4">
        <v>13000</v>
      </c>
      <c r="H646" s="5">
        <v>4.4499999999999998E-2</v>
      </c>
      <c r="I646" s="2">
        <v>36</v>
      </c>
      <c r="J646" s="2" t="s">
        <v>37</v>
      </c>
      <c r="K646" s="2" t="s">
        <v>17</v>
      </c>
      <c r="L646" s="3">
        <v>46166</v>
      </c>
    </row>
    <row r="647" spans="1:12">
      <c r="A647" s="2" t="s">
        <v>1172</v>
      </c>
      <c r="B647" s="3">
        <v>46161</v>
      </c>
      <c r="C647" s="2" t="s">
        <v>1173</v>
      </c>
      <c r="D647" s="2" t="s">
        <v>20</v>
      </c>
      <c r="E647" s="2" t="s">
        <v>15</v>
      </c>
      <c r="F647" s="2" t="s">
        <v>55</v>
      </c>
      <c r="G647" s="4">
        <v>11200</v>
      </c>
      <c r="H647" s="5">
        <v>6.3399999999999998E-2</v>
      </c>
      <c r="I647" s="2">
        <v>60</v>
      </c>
      <c r="J647" s="2" t="s">
        <v>22</v>
      </c>
      <c r="K647" s="2" t="s">
        <v>17</v>
      </c>
      <c r="L647" s="3">
        <v>46166</v>
      </c>
    </row>
    <row r="648" spans="1:12">
      <c r="A648" s="2" t="s">
        <v>1174</v>
      </c>
      <c r="B648" s="3">
        <v>46162</v>
      </c>
      <c r="C648" s="2" t="s">
        <v>401</v>
      </c>
      <c r="D648" s="2" t="s">
        <v>71</v>
      </c>
      <c r="E648" s="2" t="s">
        <v>15</v>
      </c>
      <c r="F648" s="2" t="s">
        <v>3</v>
      </c>
      <c r="G648" s="4">
        <v>6900</v>
      </c>
      <c r="H648" s="5">
        <v>5.1999999999999998E-2</v>
      </c>
      <c r="I648" s="2">
        <v>48</v>
      </c>
      <c r="J648" s="2" t="s">
        <v>94</v>
      </c>
      <c r="K648" s="2" t="s">
        <v>17</v>
      </c>
      <c r="L648" s="3">
        <v>46165</v>
      </c>
    </row>
    <row r="649" spans="1:12">
      <c r="A649" s="2" t="s">
        <v>1175</v>
      </c>
      <c r="B649" s="3">
        <v>46162</v>
      </c>
      <c r="C649" s="2" t="s">
        <v>445</v>
      </c>
      <c r="D649" s="2" t="s">
        <v>71</v>
      </c>
      <c r="E649" s="2" t="s">
        <v>15</v>
      </c>
      <c r="F649" s="2" t="s">
        <v>55</v>
      </c>
      <c r="G649" s="4">
        <v>14200</v>
      </c>
      <c r="H649" s="5">
        <v>5.3699999999999998E-2</v>
      </c>
      <c r="I649" s="2">
        <v>12</v>
      </c>
      <c r="J649" s="2" t="s">
        <v>101</v>
      </c>
      <c r="K649" s="2" t="s">
        <v>17</v>
      </c>
      <c r="L649" s="3">
        <v>46165</v>
      </c>
    </row>
    <row r="650" spans="1:12">
      <c r="A650" s="2" t="s">
        <v>1176</v>
      </c>
      <c r="B650" s="3">
        <v>46162</v>
      </c>
      <c r="C650" s="2" t="s">
        <v>441</v>
      </c>
      <c r="D650" s="2" t="s">
        <v>29</v>
      </c>
      <c r="E650" s="2" t="s">
        <v>30</v>
      </c>
      <c r="F650" s="2" t="s">
        <v>3</v>
      </c>
      <c r="G650" s="4">
        <v>14600</v>
      </c>
      <c r="H650" s="5">
        <v>3.9199999999999999E-2</v>
      </c>
      <c r="I650" s="2">
        <v>48</v>
      </c>
      <c r="J650" s="2" t="s">
        <v>32</v>
      </c>
      <c r="K650" s="2" t="s">
        <v>17</v>
      </c>
      <c r="L650" s="3">
        <v>46167</v>
      </c>
    </row>
    <row r="651" spans="1:12">
      <c r="A651" s="2" t="s">
        <v>1177</v>
      </c>
      <c r="B651" s="3">
        <v>46162</v>
      </c>
      <c r="C651" s="2" t="s">
        <v>1040</v>
      </c>
      <c r="D651" s="2" t="s">
        <v>14</v>
      </c>
      <c r="E651" s="2" t="s">
        <v>30</v>
      </c>
      <c r="F651" s="2" t="s">
        <v>147</v>
      </c>
      <c r="G651" s="4">
        <v>4400</v>
      </c>
      <c r="H651" s="5">
        <v>3.7999999999999999E-2</v>
      </c>
      <c r="I651" s="2">
        <v>48</v>
      </c>
      <c r="J651" s="2" t="s">
        <v>16</v>
      </c>
      <c r="K651" s="2" t="s">
        <v>17</v>
      </c>
      <c r="L651" s="3">
        <v>46166</v>
      </c>
    </row>
    <row r="652" spans="1:12">
      <c r="A652" s="2" t="s">
        <v>1178</v>
      </c>
      <c r="B652" s="3">
        <v>46163</v>
      </c>
      <c r="C652" s="2" t="s">
        <v>346</v>
      </c>
      <c r="D652" s="2" t="s">
        <v>29</v>
      </c>
      <c r="E652" s="2" t="s">
        <v>21</v>
      </c>
      <c r="F652" s="2" t="s">
        <v>31</v>
      </c>
      <c r="G652" s="4">
        <v>60600</v>
      </c>
      <c r="H652" s="5">
        <v>3.1E-2</v>
      </c>
      <c r="I652" s="2">
        <v>120</v>
      </c>
      <c r="J652" s="2" t="s">
        <v>61</v>
      </c>
      <c r="K652" s="2" t="s">
        <v>17</v>
      </c>
      <c r="L652" s="3">
        <v>46182</v>
      </c>
    </row>
    <row r="653" spans="1:12">
      <c r="A653" s="2" t="s">
        <v>1179</v>
      </c>
      <c r="B653" s="3">
        <v>46163</v>
      </c>
      <c r="C653" s="2" t="s">
        <v>1030</v>
      </c>
      <c r="D653" s="2" t="s">
        <v>71</v>
      </c>
      <c r="E653" s="2" t="s">
        <v>30</v>
      </c>
      <c r="F653" s="2" t="s">
        <v>3</v>
      </c>
      <c r="G653" s="4">
        <v>12500</v>
      </c>
      <c r="H653" s="5">
        <v>3.8300000000000001E-2</v>
      </c>
      <c r="I653" s="2">
        <v>48</v>
      </c>
      <c r="J653" s="2" t="s">
        <v>94</v>
      </c>
      <c r="K653" s="2" t="s">
        <v>17</v>
      </c>
      <c r="L653" s="3">
        <v>46165</v>
      </c>
    </row>
    <row r="654" spans="1:12">
      <c r="A654" s="2" t="s">
        <v>1180</v>
      </c>
      <c r="B654" s="3">
        <v>46163</v>
      </c>
      <c r="C654" s="2" t="s">
        <v>1181</v>
      </c>
      <c r="D654" s="2" t="s">
        <v>29</v>
      </c>
      <c r="E654" s="2" t="s">
        <v>15</v>
      </c>
      <c r="F654" s="2" t="s">
        <v>3</v>
      </c>
      <c r="G654" s="4">
        <v>24100</v>
      </c>
      <c r="H654" s="5">
        <v>5.2299999999999999E-2</v>
      </c>
      <c r="I654" s="2">
        <v>12</v>
      </c>
      <c r="J654" s="2" t="s">
        <v>32</v>
      </c>
      <c r="K654" s="2" t="s">
        <v>17</v>
      </c>
      <c r="L654" s="3">
        <v>46169</v>
      </c>
    </row>
    <row r="655" spans="1:12">
      <c r="A655" s="2" t="s">
        <v>1182</v>
      </c>
      <c r="B655" s="3">
        <v>46164</v>
      </c>
      <c r="C655" s="2" t="s">
        <v>1183</v>
      </c>
      <c r="D655" s="2" t="s">
        <v>20</v>
      </c>
      <c r="E655" s="2" t="s">
        <v>43</v>
      </c>
      <c r="F655" s="2" t="s">
        <v>55</v>
      </c>
      <c r="G655" s="4">
        <v>48900</v>
      </c>
      <c r="H655" s="5">
        <v>7.1800000000000003E-2</v>
      </c>
      <c r="I655" s="2">
        <v>24</v>
      </c>
      <c r="J655" s="2" t="s">
        <v>44</v>
      </c>
      <c r="K655" s="2" t="s">
        <v>17</v>
      </c>
      <c r="L655" s="3">
        <v>46174</v>
      </c>
    </row>
    <row r="656" spans="1:12">
      <c r="A656" s="2" t="s">
        <v>1184</v>
      </c>
      <c r="B656" s="3">
        <v>46164</v>
      </c>
      <c r="C656" s="2" t="s">
        <v>1185</v>
      </c>
      <c r="D656" s="2" t="s">
        <v>14</v>
      </c>
      <c r="E656" s="2" t="s">
        <v>15</v>
      </c>
      <c r="F656" s="2" t="s">
        <v>3</v>
      </c>
      <c r="G656" s="4">
        <v>16600</v>
      </c>
      <c r="H656" s="5">
        <v>5.28E-2</v>
      </c>
      <c r="I656" s="2">
        <v>24</v>
      </c>
      <c r="J656" s="2" t="s">
        <v>40</v>
      </c>
      <c r="K656" s="2" t="s">
        <v>17</v>
      </c>
      <c r="L656" s="3">
        <v>46171</v>
      </c>
    </row>
    <row r="657" spans="1:12">
      <c r="A657" s="2" t="s">
        <v>1186</v>
      </c>
      <c r="B657" s="3">
        <v>46164</v>
      </c>
      <c r="C657" s="2" t="s">
        <v>1187</v>
      </c>
      <c r="D657" s="2" t="s">
        <v>25</v>
      </c>
      <c r="E657" s="2" t="s">
        <v>30</v>
      </c>
      <c r="F657" s="2" t="s">
        <v>31</v>
      </c>
      <c r="G657" s="4">
        <v>11500</v>
      </c>
      <c r="H657" s="5">
        <v>4.7300000000000002E-2</v>
      </c>
      <c r="I657" s="2">
        <v>36</v>
      </c>
      <c r="J657" s="2" t="s">
        <v>66</v>
      </c>
      <c r="K657" s="2" t="s">
        <v>17</v>
      </c>
      <c r="L657" s="3">
        <v>46165</v>
      </c>
    </row>
    <row r="658" spans="1:12">
      <c r="A658" s="2" t="s">
        <v>1188</v>
      </c>
      <c r="B658" s="3">
        <v>46164</v>
      </c>
      <c r="C658" s="2" t="s">
        <v>1094</v>
      </c>
      <c r="D658" s="2" t="s">
        <v>20</v>
      </c>
      <c r="E658" s="2" t="s">
        <v>30</v>
      </c>
      <c r="F658" s="2" t="s">
        <v>31</v>
      </c>
      <c r="G658" s="4">
        <v>11200</v>
      </c>
      <c r="H658" s="5">
        <v>4.4699999999999997E-2</v>
      </c>
      <c r="I658" s="2">
        <v>36</v>
      </c>
      <c r="J658" s="2" t="s">
        <v>37</v>
      </c>
      <c r="K658" s="2" t="s">
        <v>45</v>
      </c>
      <c r="L658" s="3">
        <v>46165</v>
      </c>
    </row>
    <row r="659" spans="1:12">
      <c r="A659" s="2" t="s">
        <v>1189</v>
      </c>
      <c r="B659" s="3">
        <v>46164</v>
      </c>
      <c r="C659" s="2" t="s">
        <v>1190</v>
      </c>
      <c r="D659" s="2" t="s">
        <v>20</v>
      </c>
      <c r="E659" s="2" t="s">
        <v>15</v>
      </c>
      <c r="F659" s="2" t="s">
        <v>31</v>
      </c>
      <c r="G659" s="4">
        <v>22400</v>
      </c>
      <c r="H659" s="5">
        <v>6.7699999999999996E-2</v>
      </c>
      <c r="I659" s="2">
        <v>60</v>
      </c>
      <c r="J659" s="2" t="s">
        <v>37</v>
      </c>
      <c r="K659" s="2" t="s">
        <v>45</v>
      </c>
      <c r="L659" s="3">
        <v>46171</v>
      </c>
    </row>
    <row r="660" spans="1:12">
      <c r="A660" s="2" t="s">
        <v>1191</v>
      </c>
      <c r="B660" s="3">
        <v>46164</v>
      </c>
      <c r="C660" s="2" t="s">
        <v>238</v>
      </c>
      <c r="D660" s="2" t="s">
        <v>14</v>
      </c>
      <c r="E660" s="2" t="s">
        <v>15</v>
      </c>
      <c r="F660" s="2" t="s">
        <v>3</v>
      </c>
      <c r="G660" s="4">
        <v>19600</v>
      </c>
      <c r="H660" s="5">
        <v>6.6500000000000004E-2</v>
      </c>
      <c r="I660" s="2">
        <v>12</v>
      </c>
      <c r="J660" s="2" t="s">
        <v>48</v>
      </c>
      <c r="K660" s="2" t="s">
        <v>17</v>
      </c>
      <c r="L660" s="3">
        <v>46171</v>
      </c>
    </row>
    <row r="661" spans="1:12">
      <c r="A661" s="2" t="s">
        <v>1192</v>
      </c>
      <c r="B661" s="3">
        <v>46164</v>
      </c>
      <c r="C661" s="2" t="s">
        <v>877</v>
      </c>
      <c r="D661" s="2" t="s">
        <v>71</v>
      </c>
      <c r="E661" s="2" t="s">
        <v>43</v>
      </c>
      <c r="F661" s="2" t="s">
        <v>31</v>
      </c>
      <c r="G661" s="4">
        <v>59700</v>
      </c>
      <c r="H661" s="5">
        <v>7.3499999999999996E-2</v>
      </c>
      <c r="I661" s="2">
        <v>84</v>
      </c>
      <c r="J661" s="2" t="s">
        <v>101</v>
      </c>
      <c r="K661" s="2" t="s">
        <v>45</v>
      </c>
      <c r="L661" s="3">
        <v>46183</v>
      </c>
    </row>
    <row r="662" spans="1:12">
      <c r="A662" s="2" t="s">
        <v>1193</v>
      </c>
      <c r="B662" s="3">
        <v>46164</v>
      </c>
      <c r="C662" s="2" t="s">
        <v>1194</v>
      </c>
      <c r="D662" s="2" t="s">
        <v>71</v>
      </c>
      <c r="E662" s="2" t="s">
        <v>21</v>
      </c>
      <c r="F662" s="2" t="s">
        <v>55</v>
      </c>
      <c r="G662" s="4">
        <v>106400</v>
      </c>
      <c r="H662" s="5">
        <v>4.0099999999999997E-2</v>
      </c>
      <c r="I662" s="2">
        <v>240</v>
      </c>
      <c r="J662" s="2" t="s">
        <v>72</v>
      </c>
      <c r="K662" s="2" t="s">
        <v>17</v>
      </c>
      <c r="L662" s="3">
        <v>46177</v>
      </c>
    </row>
    <row r="663" spans="1:12">
      <c r="A663" s="2" t="s">
        <v>1195</v>
      </c>
      <c r="B663" s="3">
        <v>46164</v>
      </c>
      <c r="C663" s="2" t="s">
        <v>677</v>
      </c>
      <c r="D663" s="2" t="s">
        <v>54</v>
      </c>
      <c r="E663" s="2" t="s">
        <v>43</v>
      </c>
      <c r="F663" s="2" t="s">
        <v>31</v>
      </c>
      <c r="G663" s="4">
        <v>73300</v>
      </c>
      <c r="H663" s="5">
        <v>7.3499999999999996E-2</v>
      </c>
      <c r="I663" s="2">
        <v>60</v>
      </c>
      <c r="J663" s="2" t="s">
        <v>148</v>
      </c>
      <c r="K663" s="2" t="s">
        <v>17</v>
      </c>
      <c r="L663" s="3">
        <v>46171</v>
      </c>
    </row>
    <row r="664" spans="1:12">
      <c r="A664" s="2" t="s">
        <v>1196</v>
      </c>
      <c r="B664" s="3">
        <v>46165</v>
      </c>
      <c r="C664" s="2" t="s">
        <v>1048</v>
      </c>
      <c r="D664" s="2" t="s">
        <v>25</v>
      </c>
      <c r="E664" s="2" t="s">
        <v>30</v>
      </c>
      <c r="F664" s="2" t="s">
        <v>31</v>
      </c>
      <c r="G664" s="4">
        <v>10400</v>
      </c>
      <c r="H664" s="5">
        <v>4.7899999999999998E-2</v>
      </c>
      <c r="I664" s="2">
        <v>60</v>
      </c>
      <c r="J664" s="2" t="s">
        <v>26</v>
      </c>
      <c r="K664" s="2" t="s">
        <v>17</v>
      </c>
      <c r="L664" s="3">
        <v>46168</v>
      </c>
    </row>
    <row r="665" spans="1:12">
      <c r="A665" s="2" t="s">
        <v>1197</v>
      </c>
      <c r="B665" s="3">
        <v>46165</v>
      </c>
      <c r="C665" s="2" t="s">
        <v>599</v>
      </c>
      <c r="D665" s="2" t="s">
        <v>20</v>
      </c>
      <c r="E665" s="2" t="s">
        <v>30</v>
      </c>
      <c r="F665" s="2" t="s">
        <v>3</v>
      </c>
      <c r="G665" s="4">
        <v>16000</v>
      </c>
      <c r="H665" s="5">
        <v>3.8899999999999997E-2</v>
      </c>
      <c r="I665" s="2">
        <v>36</v>
      </c>
      <c r="J665" s="2" t="s">
        <v>37</v>
      </c>
      <c r="K665" s="2" t="s">
        <v>17</v>
      </c>
      <c r="L665" s="3">
        <v>46169</v>
      </c>
    </row>
    <row r="666" spans="1:12">
      <c r="A666" s="2" t="s">
        <v>1198</v>
      </c>
      <c r="B666" s="3">
        <v>46165</v>
      </c>
      <c r="C666" s="2" t="s">
        <v>1199</v>
      </c>
      <c r="D666" s="2" t="s">
        <v>14</v>
      </c>
      <c r="E666" s="2" t="s">
        <v>15</v>
      </c>
      <c r="F666" s="2" t="s">
        <v>3</v>
      </c>
      <c r="G666" s="4">
        <v>2700</v>
      </c>
      <c r="H666" s="5">
        <v>6.5199999999999994E-2</v>
      </c>
      <c r="I666" s="2">
        <v>24</v>
      </c>
      <c r="J666" s="2" t="s">
        <v>16</v>
      </c>
      <c r="K666" s="2" t="s">
        <v>17</v>
      </c>
      <c r="L666" s="3">
        <v>46166</v>
      </c>
    </row>
    <row r="667" spans="1:12">
      <c r="A667" s="2" t="s">
        <v>1200</v>
      </c>
      <c r="B667" s="3">
        <v>46165</v>
      </c>
      <c r="C667" s="2" t="s">
        <v>286</v>
      </c>
      <c r="D667" s="2" t="s">
        <v>29</v>
      </c>
      <c r="E667" s="2" t="s">
        <v>15</v>
      </c>
      <c r="F667" s="2" t="s">
        <v>55</v>
      </c>
      <c r="G667" s="4">
        <v>11500</v>
      </c>
      <c r="H667" s="5">
        <v>5.6000000000000001E-2</v>
      </c>
      <c r="I667" s="2">
        <v>12</v>
      </c>
      <c r="J667" s="2" t="s">
        <v>32</v>
      </c>
      <c r="K667" s="2" t="s">
        <v>45</v>
      </c>
      <c r="L667" s="3">
        <v>46172</v>
      </c>
    </row>
    <row r="668" spans="1:12">
      <c r="A668" s="2" t="s">
        <v>1201</v>
      </c>
      <c r="B668" s="3">
        <v>46166</v>
      </c>
      <c r="C668" s="2" t="s">
        <v>715</v>
      </c>
      <c r="D668" s="2" t="s">
        <v>14</v>
      </c>
      <c r="E668" s="2" t="s">
        <v>21</v>
      </c>
      <c r="F668" s="2" t="s">
        <v>3</v>
      </c>
      <c r="G668" s="4">
        <v>227000</v>
      </c>
      <c r="H668" s="5">
        <v>3.5999999999999997E-2</v>
      </c>
      <c r="I668" s="2">
        <v>180</v>
      </c>
      <c r="J668" s="2" t="s">
        <v>16</v>
      </c>
      <c r="K668" s="2" t="s">
        <v>45</v>
      </c>
      <c r="L668" s="3">
        <v>46196</v>
      </c>
    </row>
    <row r="669" spans="1:12">
      <c r="A669" s="2" t="s">
        <v>1202</v>
      </c>
      <c r="B669" s="3">
        <v>46166</v>
      </c>
      <c r="C669" s="2" t="s">
        <v>1203</v>
      </c>
      <c r="D669" s="2" t="s">
        <v>20</v>
      </c>
      <c r="E669" s="2" t="s">
        <v>30</v>
      </c>
      <c r="F669" s="2" t="s">
        <v>3</v>
      </c>
      <c r="G669" s="4">
        <v>18900</v>
      </c>
      <c r="H669" s="5">
        <v>4.1399999999999999E-2</v>
      </c>
      <c r="I669" s="2">
        <v>60</v>
      </c>
      <c r="J669" s="2" t="s">
        <v>44</v>
      </c>
      <c r="K669" s="2" t="s">
        <v>17</v>
      </c>
      <c r="L669" s="3">
        <v>46167</v>
      </c>
    </row>
    <row r="670" spans="1:12">
      <c r="A670" s="2" t="s">
        <v>1204</v>
      </c>
      <c r="B670" s="3">
        <v>46166</v>
      </c>
      <c r="C670" s="2" t="s">
        <v>204</v>
      </c>
      <c r="D670" s="2" t="s">
        <v>25</v>
      </c>
      <c r="E670" s="2" t="s">
        <v>15</v>
      </c>
      <c r="F670" s="2" t="s">
        <v>3</v>
      </c>
      <c r="G670" s="4">
        <v>14600</v>
      </c>
      <c r="H670" s="5">
        <v>5.4899999999999997E-2</v>
      </c>
      <c r="I670" s="2">
        <v>12</v>
      </c>
      <c r="J670" s="2" t="s">
        <v>181</v>
      </c>
      <c r="K670" s="2" t="s">
        <v>17</v>
      </c>
      <c r="L670" s="3">
        <v>46169</v>
      </c>
    </row>
    <row r="671" spans="1:12">
      <c r="A671" s="2" t="s">
        <v>1205</v>
      </c>
      <c r="B671" s="3">
        <v>46166</v>
      </c>
      <c r="C671" s="2" t="s">
        <v>1206</v>
      </c>
      <c r="D671" s="2" t="s">
        <v>20</v>
      </c>
      <c r="E671" s="2" t="s">
        <v>30</v>
      </c>
      <c r="F671" s="2" t="s">
        <v>31</v>
      </c>
      <c r="G671" s="2"/>
      <c r="H671" s="5">
        <v>3.6299999999999999E-2</v>
      </c>
      <c r="I671" s="2">
        <v>60</v>
      </c>
      <c r="J671" s="2" t="s">
        <v>37</v>
      </c>
      <c r="K671" s="2" t="s">
        <v>17</v>
      </c>
      <c r="L671" s="3">
        <v>46169</v>
      </c>
    </row>
    <row r="672" spans="1:12">
      <c r="A672" s="2" t="s">
        <v>1207</v>
      </c>
      <c r="B672" s="3">
        <v>46166</v>
      </c>
      <c r="C672" s="2" t="s">
        <v>720</v>
      </c>
      <c r="D672" s="2" t="s">
        <v>14</v>
      </c>
      <c r="E672" s="2" t="s">
        <v>43</v>
      </c>
      <c r="F672" s="2" t="s">
        <v>3</v>
      </c>
      <c r="G672" s="4">
        <v>152800</v>
      </c>
      <c r="H672" s="5">
        <v>6.9599999999999995E-2</v>
      </c>
      <c r="I672" s="2">
        <v>36</v>
      </c>
      <c r="J672" s="2" t="s">
        <v>16</v>
      </c>
      <c r="K672" s="2" t="s">
        <v>17</v>
      </c>
      <c r="L672" s="3">
        <v>46182</v>
      </c>
    </row>
    <row r="673" spans="1:12">
      <c r="A673" s="2" t="s">
        <v>1208</v>
      </c>
      <c r="B673" s="3">
        <v>46166</v>
      </c>
      <c r="C673" s="2" t="s">
        <v>1209</v>
      </c>
      <c r="D673" s="2" t="s">
        <v>54</v>
      </c>
      <c r="E673" s="2" t="s">
        <v>15</v>
      </c>
      <c r="F673" s="2" t="s">
        <v>31</v>
      </c>
      <c r="G673" s="4">
        <v>14500</v>
      </c>
      <c r="H673" s="5">
        <v>5.8799999999999998E-2</v>
      </c>
      <c r="I673" s="2">
        <v>24</v>
      </c>
      <c r="J673" s="2" t="s">
        <v>148</v>
      </c>
      <c r="K673" s="2" t="s">
        <v>17</v>
      </c>
      <c r="L673" s="3">
        <v>46166</v>
      </c>
    </row>
    <row r="674" spans="1:12">
      <c r="A674" s="2" t="s">
        <v>1210</v>
      </c>
      <c r="B674" s="3">
        <v>46167</v>
      </c>
      <c r="C674" s="2" t="s">
        <v>1211</v>
      </c>
      <c r="D674" s="2" t="s">
        <v>20</v>
      </c>
      <c r="E674" s="2" t="s">
        <v>51</v>
      </c>
      <c r="F674" s="2" t="s">
        <v>55</v>
      </c>
      <c r="G674" s="4">
        <v>7300</v>
      </c>
      <c r="H674" s="5">
        <v>3.9399999999999998E-2</v>
      </c>
      <c r="I674" s="2">
        <v>60</v>
      </c>
      <c r="J674" s="2" t="s">
        <v>22</v>
      </c>
      <c r="K674" s="2" t="s">
        <v>17</v>
      </c>
      <c r="L674" s="3">
        <v>46168</v>
      </c>
    </row>
    <row r="675" spans="1:12">
      <c r="A675" s="2" t="s">
        <v>1212</v>
      </c>
      <c r="B675" s="3">
        <v>46167</v>
      </c>
      <c r="C675" s="2" t="s">
        <v>1213</v>
      </c>
      <c r="D675" s="2" t="s">
        <v>54</v>
      </c>
      <c r="E675" s="2" t="s">
        <v>15</v>
      </c>
      <c r="F675" s="2" t="s">
        <v>3</v>
      </c>
      <c r="G675" s="4">
        <v>13500</v>
      </c>
      <c r="H675" s="5">
        <v>5.4800000000000001E-2</v>
      </c>
      <c r="I675" s="2">
        <v>48</v>
      </c>
      <c r="J675" s="2" t="s">
        <v>186</v>
      </c>
      <c r="K675" s="2" t="s">
        <v>17</v>
      </c>
      <c r="L675" s="3">
        <v>46169</v>
      </c>
    </row>
    <row r="676" spans="1:12">
      <c r="A676" s="2" t="s">
        <v>1214</v>
      </c>
      <c r="B676" s="3">
        <v>46167</v>
      </c>
      <c r="C676" s="2" t="s">
        <v>1215</v>
      </c>
      <c r="D676" s="2" t="s">
        <v>54</v>
      </c>
      <c r="E676" s="2" t="s">
        <v>15</v>
      </c>
      <c r="F676" s="2" t="s">
        <v>31</v>
      </c>
      <c r="G676" s="4">
        <v>2700</v>
      </c>
      <c r="H676" s="5">
        <v>6.9599999999999995E-2</v>
      </c>
      <c r="I676" s="2">
        <v>36</v>
      </c>
      <c r="J676" s="2" t="s">
        <v>148</v>
      </c>
      <c r="K676" s="2" t="s">
        <v>45</v>
      </c>
      <c r="L676" s="3">
        <v>46168</v>
      </c>
    </row>
    <row r="677" spans="1:12">
      <c r="A677" s="2" t="s">
        <v>1216</v>
      </c>
      <c r="B677" s="3">
        <v>46167</v>
      </c>
      <c r="C677" s="2" t="s">
        <v>1217</v>
      </c>
      <c r="D677" s="2" t="s">
        <v>25</v>
      </c>
      <c r="E677" s="2" t="s">
        <v>30</v>
      </c>
      <c r="F677" s="2" t="s">
        <v>3</v>
      </c>
      <c r="G677" s="4">
        <v>5800</v>
      </c>
      <c r="H677" s="5">
        <v>3.85E-2</v>
      </c>
      <c r="I677" s="2">
        <v>60</v>
      </c>
      <c r="J677" s="2" t="s">
        <v>181</v>
      </c>
      <c r="K677" s="2" t="s">
        <v>17</v>
      </c>
      <c r="L677" s="3">
        <v>46168</v>
      </c>
    </row>
    <row r="678" spans="1:12">
      <c r="A678" s="2" t="s">
        <v>1218</v>
      </c>
      <c r="B678" s="3">
        <v>46168</v>
      </c>
      <c r="C678" s="2" t="s">
        <v>1219</v>
      </c>
      <c r="D678" s="2" t="s">
        <v>25</v>
      </c>
      <c r="E678" s="2" t="s">
        <v>43</v>
      </c>
      <c r="F678" s="2" t="s">
        <v>3</v>
      </c>
      <c r="G678" s="2"/>
      <c r="H678" s="5">
        <v>6.9900000000000004E-2</v>
      </c>
      <c r="I678" s="2">
        <v>36</v>
      </c>
      <c r="J678" s="2" t="s">
        <v>181</v>
      </c>
      <c r="K678" s="2" t="s">
        <v>17</v>
      </c>
      <c r="L678" s="3">
        <v>46181</v>
      </c>
    </row>
    <row r="679" spans="1:12">
      <c r="A679" s="2" t="s">
        <v>1220</v>
      </c>
      <c r="B679" s="3">
        <v>46168</v>
      </c>
      <c r="C679" s="2" t="s">
        <v>638</v>
      </c>
      <c r="D679" s="2" t="s">
        <v>20</v>
      </c>
      <c r="E679" s="2" t="s">
        <v>340</v>
      </c>
      <c r="F679" s="2" t="s">
        <v>3</v>
      </c>
      <c r="G679" s="4">
        <v>12400</v>
      </c>
      <c r="H679" s="5">
        <v>6.6799999999999998E-2</v>
      </c>
      <c r="I679" s="2">
        <v>60</v>
      </c>
      <c r="J679" s="2" t="s">
        <v>37</v>
      </c>
      <c r="K679" s="2" t="s">
        <v>17</v>
      </c>
      <c r="L679" s="3">
        <v>46173</v>
      </c>
    </row>
    <row r="680" spans="1:12">
      <c r="A680" s="2" t="s">
        <v>1221</v>
      </c>
      <c r="B680" s="3">
        <v>46168</v>
      </c>
      <c r="C680" s="2" t="s">
        <v>519</v>
      </c>
      <c r="D680" s="2" t="s">
        <v>14</v>
      </c>
      <c r="E680" s="2" t="s">
        <v>30</v>
      </c>
      <c r="F680" s="2" t="s">
        <v>31</v>
      </c>
      <c r="G680" s="4">
        <v>4600</v>
      </c>
      <c r="H680" s="5">
        <v>4.2700000000000002E-2</v>
      </c>
      <c r="I680" s="2">
        <v>48</v>
      </c>
      <c r="J680" s="2" t="s">
        <v>40</v>
      </c>
      <c r="K680" s="2" t="s">
        <v>17</v>
      </c>
      <c r="L680" s="3">
        <v>46170</v>
      </c>
    </row>
    <row r="681" spans="1:12">
      <c r="A681" s="2" t="s">
        <v>1222</v>
      </c>
      <c r="B681" s="3">
        <v>46168</v>
      </c>
      <c r="C681" s="2" t="s">
        <v>284</v>
      </c>
      <c r="D681" s="2" t="s">
        <v>20</v>
      </c>
      <c r="E681" s="2" t="s">
        <v>30</v>
      </c>
      <c r="F681" s="2" t="s">
        <v>3</v>
      </c>
      <c r="G681" s="4">
        <v>9300</v>
      </c>
      <c r="H681" s="5">
        <v>3.7900000000000003E-2</v>
      </c>
      <c r="I681" s="2">
        <v>60</v>
      </c>
      <c r="J681" s="2" t="s">
        <v>44</v>
      </c>
      <c r="K681" s="2" t="s">
        <v>17</v>
      </c>
      <c r="L681" s="3">
        <v>46170</v>
      </c>
    </row>
    <row r="682" spans="1:12">
      <c r="A682" s="2" t="s">
        <v>1223</v>
      </c>
      <c r="B682" s="3">
        <v>46169</v>
      </c>
      <c r="C682" s="2" t="s">
        <v>1224</v>
      </c>
      <c r="D682" s="2" t="s">
        <v>25</v>
      </c>
      <c r="E682" s="2" t="s">
        <v>15</v>
      </c>
      <c r="F682" s="2" t="s">
        <v>31</v>
      </c>
      <c r="G682" s="4">
        <v>8900</v>
      </c>
      <c r="H682" s="5">
        <v>5.1200000000000002E-2</v>
      </c>
      <c r="I682" s="2">
        <v>60</v>
      </c>
      <c r="J682" s="2" t="s">
        <v>181</v>
      </c>
      <c r="K682" s="2" t="s">
        <v>45</v>
      </c>
      <c r="L682" s="3">
        <v>46170</v>
      </c>
    </row>
    <row r="683" spans="1:12">
      <c r="A683" s="2" t="s">
        <v>1225</v>
      </c>
      <c r="B683" s="3">
        <v>46169</v>
      </c>
      <c r="C683" s="2" t="s">
        <v>1154</v>
      </c>
      <c r="D683" s="2" t="s">
        <v>14</v>
      </c>
      <c r="E683" s="2" t="s">
        <v>15</v>
      </c>
      <c r="F683" s="2" t="s">
        <v>3</v>
      </c>
      <c r="G683" s="4">
        <v>25000</v>
      </c>
      <c r="H683" s="5">
        <v>5.8799999999999998E-2</v>
      </c>
      <c r="I683" s="2">
        <v>48</v>
      </c>
      <c r="J683" s="2" t="s">
        <v>40</v>
      </c>
      <c r="K683" s="2" t="s">
        <v>45</v>
      </c>
      <c r="L683" s="3">
        <v>46176</v>
      </c>
    </row>
    <row r="684" spans="1:12">
      <c r="A684" s="2" t="s">
        <v>1226</v>
      </c>
      <c r="B684" s="3">
        <v>46169</v>
      </c>
      <c r="C684" s="2" t="s">
        <v>335</v>
      </c>
      <c r="D684" s="2" t="s">
        <v>71</v>
      </c>
      <c r="E684" s="2" t="s">
        <v>30</v>
      </c>
      <c r="F684" s="2" t="s">
        <v>3</v>
      </c>
      <c r="G684" s="4">
        <v>6600</v>
      </c>
      <c r="H684" s="5">
        <v>4.2700000000000002E-2</v>
      </c>
      <c r="I684" s="2">
        <v>48</v>
      </c>
      <c r="J684" s="2" t="s">
        <v>94</v>
      </c>
      <c r="K684" s="2" t="s">
        <v>45</v>
      </c>
      <c r="L684" s="3">
        <v>46174</v>
      </c>
    </row>
    <row r="685" spans="1:12">
      <c r="A685" s="2" t="s">
        <v>1227</v>
      </c>
      <c r="B685" s="3">
        <v>46169</v>
      </c>
      <c r="C685" s="2" t="s">
        <v>280</v>
      </c>
      <c r="D685" s="2" t="s">
        <v>14</v>
      </c>
      <c r="E685" s="2" t="s">
        <v>30</v>
      </c>
      <c r="F685" s="2" t="s">
        <v>31</v>
      </c>
      <c r="G685" s="4">
        <v>13400</v>
      </c>
      <c r="H685" s="5">
        <v>3.7499999999999999E-2</v>
      </c>
      <c r="I685" s="2">
        <v>36</v>
      </c>
      <c r="J685" s="2" t="s">
        <v>40</v>
      </c>
      <c r="K685" s="2" t="s">
        <v>17</v>
      </c>
      <c r="L685" s="3">
        <v>46173</v>
      </c>
    </row>
    <row r="686" spans="1:12">
      <c r="A686" s="2" t="s">
        <v>1228</v>
      </c>
      <c r="B686" s="3">
        <v>46169</v>
      </c>
      <c r="C686" s="2" t="s">
        <v>1229</v>
      </c>
      <c r="D686" s="2" t="s">
        <v>71</v>
      </c>
      <c r="E686" s="2" t="s">
        <v>15</v>
      </c>
      <c r="F686" s="2" t="s">
        <v>3</v>
      </c>
      <c r="G686" s="4">
        <v>20900</v>
      </c>
      <c r="H686" s="5">
        <v>5.4800000000000001E-2</v>
      </c>
      <c r="I686" s="2">
        <v>48</v>
      </c>
      <c r="J686" s="2" t="s">
        <v>101</v>
      </c>
      <c r="K686" s="2" t="s">
        <v>45</v>
      </c>
      <c r="L686" s="3">
        <v>46174</v>
      </c>
    </row>
    <row r="687" spans="1:12">
      <c r="A687" s="2" t="s">
        <v>1230</v>
      </c>
      <c r="B687" s="3">
        <v>46170</v>
      </c>
      <c r="C687" s="2" t="s">
        <v>1231</v>
      </c>
      <c r="D687" s="2" t="s">
        <v>14</v>
      </c>
      <c r="E687" s="2" t="s">
        <v>15</v>
      </c>
      <c r="F687" s="2" t="s">
        <v>3</v>
      </c>
      <c r="G687" s="4">
        <v>22200</v>
      </c>
      <c r="H687" s="5">
        <v>6.3600000000000004E-2</v>
      </c>
      <c r="I687" s="2">
        <v>36</v>
      </c>
      <c r="J687" s="2" t="s">
        <v>16</v>
      </c>
      <c r="K687" s="2" t="s">
        <v>17</v>
      </c>
      <c r="L687" s="3">
        <v>46176</v>
      </c>
    </row>
    <row r="688" spans="1:12">
      <c r="A688" s="2" t="s">
        <v>1232</v>
      </c>
      <c r="B688" s="3">
        <v>46170</v>
      </c>
      <c r="C688" s="2" t="s">
        <v>498</v>
      </c>
      <c r="D688" s="2" t="s">
        <v>71</v>
      </c>
      <c r="E688" s="2" t="s">
        <v>15</v>
      </c>
      <c r="F688" s="2" t="s">
        <v>3</v>
      </c>
      <c r="G688" s="4">
        <v>9100</v>
      </c>
      <c r="H688" s="5">
        <v>6.7900000000000002E-2</v>
      </c>
      <c r="I688" s="2">
        <v>60</v>
      </c>
      <c r="J688" s="2" t="s">
        <v>72</v>
      </c>
      <c r="K688" s="2" t="s">
        <v>17</v>
      </c>
      <c r="L688" s="3">
        <v>46176</v>
      </c>
    </row>
    <row r="689" spans="1:12">
      <c r="A689" s="2" t="s">
        <v>1233</v>
      </c>
      <c r="B689" s="3">
        <v>46170</v>
      </c>
      <c r="C689" s="2" t="s">
        <v>1234</v>
      </c>
      <c r="D689" s="2" t="s">
        <v>29</v>
      </c>
      <c r="E689" s="2" t="s">
        <v>43</v>
      </c>
      <c r="F689" s="2" t="s">
        <v>3</v>
      </c>
      <c r="G689" s="4">
        <v>39400</v>
      </c>
      <c r="H689" s="5">
        <v>5.5500000000000001E-2</v>
      </c>
      <c r="I689" s="2">
        <v>36</v>
      </c>
      <c r="J689" s="2" t="s">
        <v>61</v>
      </c>
      <c r="K689" s="2" t="s">
        <v>45</v>
      </c>
      <c r="L689" s="3">
        <v>46185</v>
      </c>
    </row>
    <row r="690" spans="1:12">
      <c r="A690" s="2" t="s">
        <v>1235</v>
      </c>
      <c r="B690" s="3">
        <v>46171</v>
      </c>
      <c r="C690" s="2" t="s">
        <v>1236</v>
      </c>
      <c r="D690" s="2" t="s">
        <v>20</v>
      </c>
      <c r="E690" s="2" t="s">
        <v>30</v>
      </c>
      <c r="F690" s="2" t="s">
        <v>31</v>
      </c>
      <c r="G690" s="4">
        <v>15000</v>
      </c>
      <c r="H690" s="5">
        <v>4.4299999999999999E-2</v>
      </c>
      <c r="I690" s="2">
        <v>48</v>
      </c>
      <c r="J690" s="2" t="s">
        <v>22</v>
      </c>
      <c r="K690" s="2" t="s">
        <v>17</v>
      </c>
      <c r="L690" s="3">
        <v>46175</v>
      </c>
    </row>
    <row r="691" spans="1:12">
      <c r="A691" s="2" t="s">
        <v>1237</v>
      </c>
      <c r="B691" s="3">
        <v>46171</v>
      </c>
      <c r="C691" s="2" t="s">
        <v>1238</v>
      </c>
      <c r="D691" s="2" t="s">
        <v>54</v>
      </c>
      <c r="E691" s="2" t="s">
        <v>30</v>
      </c>
      <c r="F691" s="2" t="s">
        <v>31</v>
      </c>
      <c r="G691" s="4">
        <v>11100</v>
      </c>
      <c r="H691" s="5">
        <v>4.8300000000000003E-2</v>
      </c>
      <c r="I691" s="2">
        <v>36</v>
      </c>
      <c r="J691" s="2" t="s">
        <v>56</v>
      </c>
      <c r="K691" s="2" t="s">
        <v>45</v>
      </c>
      <c r="L691" s="3">
        <v>46172</v>
      </c>
    </row>
    <row r="692" spans="1:12">
      <c r="A692" s="2" t="s">
        <v>1239</v>
      </c>
      <c r="B692" s="3">
        <v>46171</v>
      </c>
      <c r="C692" s="2" t="s">
        <v>344</v>
      </c>
      <c r="D692" s="2" t="s">
        <v>25</v>
      </c>
      <c r="E692" s="2" t="s">
        <v>30</v>
      </c>
      <c r="F692" s="2" t="s">
        <v>31</v>
      </c>
      <c r="G692" s="4">
        <v>7100</v>
      </c>
      <c r="H692" s="5">
        <v>4.0899999999999999E-2</v>
      </c>
      <c r="I692" s="2">
        <v>36</v>
      </c>
      <c r="J692" s="2" t="s">
        <v>181</v>
      </c>
      <c r="K692" s="2" t="s">
        <v>17</v>
      </c>
      <c r="L692" s="3">
        <v>46172</v>
      </c>
    </row>
    <row r="693" spans="1:12">
      <c r="A693" s="2" t="s">
        <v>1240</v>
      </c>
      <c r="B693" s="3">
        <v>46171</v>
      </c>
      <c r="C693" s="2" t="s">
        <v>1241</v>
      </c>
      <c r="D693" s="2" t="s">
        <v>29</v>
      </c>
      <c r="E693" s="2" t="s">
        <v>43</v>
      </c>
      <c r="F693" s="2" t="s">
        <v>3</v>
      </c>
      <c r="G693" s="4">
        <v>22800</v>
      </c>
      <c r="H693" s="5">
        <v>5.8400000000000001E-2</v>
      </c>
      <c r="I693" s="2">
        <v>24</v>
      </c>
      <c r="J693" s="2" t="s">
        <v>61</v>
      </c>
      <c r="K693" s="2" t="s">
        <v>45</v>
      </c>
      <c r="L693" s="3">
        <v>46187</v>
      </c>
    </row>
    <row r="694" spans="1:12">
      <c r="A694" s="2" t="s">
        <v>1242</v>
      </c>
      <c r="B694" s="3">
        <v>46171</v>
      </c>
      <c r="C694" s="2" t="s">
        <v>1243</v>
      </c>
      <c r="D694" s="2" t="s">
        <v>14</v>
      </c>
      <c r="E694" s="2" t="s">
        <v>15</v>
      </c>
      <c r="F694" s="2" t="s">
        <v>3</v>
      </c>
      <c r="G694" s="4">
        <v>7600</v>
      </c>
      <c r="H694" s="5">
        <v>5.1900000000000002E-2</v>
      </c>
      <c r="I694" s="2">
        <v>36</v>
      </c>
      <c r="J694" s="2" t="s">
        <v>40</v>
      </c>
      <c r="K694" s="2" t="s">
        <v>45</v>
      </c>
      <c r="L694" s="3">
        <v>46176</v>
      </c>
    </row>
    <row r="695" spans="1:12">
      <c r="A695" s="2" t="s">
        <v>1244</v>
      </c>
      <c r="B695" s="3">
        <v>46171</v>
      </c>
      <c r="C695" s="2" t="s">
        <v>1043</v>
      </c>
      <c r="D695" s="2" t="s">
        <v>25</v>
      </c>
      <c r="E695" s="2" t="s">
        <v>21</v>
      </c>
      <c r="F695" s="2" t="s">
        <v>956</v>
      </c>
      <c r="G695" s="4">
        <v>58100</v>
      </c>
      <c r="H695" s="5">
        <v>3.2099999999999997E-2</v>
      </c>
      <c r="I695" s="2">
        <v>300</v>
      </c>
      <c r="J695" s="2" t="s">
        <v>26</v>
      </c>
      <c r="K695" s="2" t="s">
        <v>17</v>
      </c>
      <c r="L695" s="3">
        <v>46199</v>
      </c>
    </row>
    <row r="696" spans="1:12">
      <c r="A696" s="2" t="s">
        <v>1245</v>
      </c>
      <c r="B696" s="3">
        <v>46171</v>
      </c>
      <c r="C696" s="2" t="s">
        <v>1246</v>
      </c>
      <c r="D696" s="2" t="s">
        <v>25</v>
      </c>
      <c r="E696" s="2" t="s">
        <v>15</v>
      </c>
      <c r="F696" s="2" t="s">
        <v>3</v>
      </c>
      <c r="G696" s="4">
        <v>13000</v>
      </c>
      <c r="H696" s="5">
        <v>5.8599999999999999E-2</v>
      </c>
      <c r="I696" s="2">
        <v>12</v>
      </c>
      <c r="J696" s="2" t="s">
        <v>181</v>
      </c>
      <c r="K696" s="2" t="s">
        <v>17</v>
      </c>
      <c r="L696" s="3">
        <v>46174</v>
      </c>
    </row>
    <row r="697" spans="1:12">
      <c r="A697" s="2" t="s">
        <v>1247</v>
      </c>
      <c r="B697" s="3">
        <v>46171</v>
      </c>
      <c r="C697" s="2" t="s">
        <v>1248</v>
      </c>
      <c r="D697" s="2" t="s">
        <v>54</v>
      </c>
      <c r="E697" s="2" t="s">
        <v>30</v>
      </c>
      <c r="F697" s="2" t="s">
        <v>3</v>
      </c>
      <c r="G697" s="4">
        <v>13400</v>
      </c>
      <c r="H697" s="5">
        <v>3.7400000000000003E-2</v>
      </c>
      <c r="I697" s="2">
        <v>60</v>
      </c>
      <c r="J697" s="2" t="s">
        <v>186</v>
      </c>
      <c r="K697" s="2" t="s">
        <v>17</v>
      </c>
      <c r="L697" s="3">
        <v>46175</v>
      </c>
    </row>
    <row r="698" spans="1:12">
      <c r="A698" s="2" t="s">
        <v>1249</v>
      </c>
      <c r="B698" s="3">
        <v>46171</v>
      </c>
      <c r="C698" s="2" t="s">
        <v>1250</v>
      </c>
      <c r="D698" s="2" t="s">
        <v>25</v>
      </c>
      <c r="E698" s="2" t="s">
        <v>945</v>
      </c>
      <c r="F698" s="2" t="s">
        <v>3</v>
      </c>
      <c r="G698" s="4">
        <v>119100</v>
      </c>
      <c r="H698" s="5">
        <v>3.2800000000000003E-2</v>
      </c>
      <c r="I698" s="2">
        <v>180</v>
      </c>
      <c r="J698" s="2" t="s">
        <v>26</v>
      </c>
      <c r="K698" s="2" t="s">
        <v>17</v>
      </c>
      <c r="L698" s="3">
        <v>46198</v>
      </c>
    </row>
    <row r="699" spans="1:12">
      <c r="A699" s="2" t="s">
        <v>1251</v>
      </c>
      <c r="B699" s="3">
        <v>46172</v>
      </c>
      <c r="C699" s="2" t="s">
        <v>1252</v>
      </c>
      <c r="D699" s="2" t="s">
        <v>14</v>
      </c>
      <c r="E699" s="2" t="s">
        <v>43</v>
      </c>
      <c r="F699" s="2" t="s">
        <v>3</v>
      </c>
      <c r="G699" s="4">
        <v>133100</v>
      </c>
      <c r="H699" s="5">
        <v>6.4399999999999999E-2</v>
      </c>
      <c r="I699" s="2">
        <v>84</v>
      </c>
      <c r="J699" s="2" t="s">
        <v>40</v>
      </c>
      <c r="K699" s="2" t="s">
        <v>17</v>
      </c>
      <c r="L699" s="3">
        <v>46181</v>
      </c>
    </row>
    <row r="700" spans="1:12">
      <c r="A700" s="2" t="s">
        <v>1253</v>
      </c>
      <c r="B700" s="3">
        <v>46172</v>
      </c>
      <c r="C700" s="2" t="s">
        <v>1254</v>
      </c>
      <c r="D700" s="2" t="s">
        <v>20</v>
      </c>
      <c r="E700" s="2" t="s">
        <v>15</v>
      </c>
      <c r="F700" s="2" t="s">
        <v>31</v>
      </c>
      <c r="G700" s="4">
        <v>5600</v>
      </c>
      <c r="H700" s="5">
        <v>6.7900000000000002E-2</v>
      </c>
      <c r="I700" s="2">
        <v>60</v>
      </c>
      <c r="J700" s="2" t="s">
        <v>44</v>
      </c>
      <c r="K700" s="2" t="s">
        <v>17</v>
      </c>
      <c r="L700" s="3">
        <v>46177</v>
      </c>
    </row>
    <row r="701" spans="1:12">
      <c r="A701" s="2" t="s">
        <v>1255</v>
      </c>
      <c r="B701" s="3">
        <v>46172</v>
      </c>
      <c r="C701" s="2" t="s">
        <v>1256</v>
      </c>
      <c r="D701" s="2" t="s">
        <v>20</v>
      </c>
      <c r="E701" s="2" t="s">
        <v>15</v>
      </c>
      <c r="F701" s="2" t="s">
        <v>3</v>
      </c>
      <c r="G701" s="4">
        <v>18900</v>
      </c>
      <c r="H701" s="5">
        <v>5.2999999999999999E-2</v>
      </c>
      <c r="I701" s="2">
        <v>36</v>
      </c>
      <c r="J701" s="2" t="s">
        <v>44</v>
      </c>
      <c r="K701" s="2" t="s">
        <v>17</v>
      </c>
      <c r="L701" s="3">
        <v>46174</v>
      </c>
    </row>
    <row r="702" spans="1:12">
      <c r="A702" s="2" t="s">
        <v>1255</v>
      </c>
      <c r="B702" s="3">
        <v>46172</v>
      </c>
      <c r="C702" s="2" t="s">
        <v>1256</v>
      </c>
      <c r="D702" s="2" t="s">
        <v>20</v>
      </c>
      <c r="E702" s="2" t="s">
        <v>15</v>
      </c>
      <c r="F702" s="2" t="s">
        <v>3</v>
      </c>
      <c r="G702" s="4">
        <v>18900</v>
      </c>
      <c r="H702" s="5">
        <v>5.2999999999999999E-2</v>
      </c>
      <c r="I702" s="2">
        <v>36</v>
      </c>
      <c r="J702" s="2" t="s">
        <v>44</v>
      </c>
      <c r="K702" s="2" t="s">
        <v>17</v>
      </c>
      <c r="L702" s="3">
        <v>46174</v>
      </c>
    </row>
    <row r="703" spans="1:12">
      <c r="A703" s="2" t="s">
        <v>1257</v>
      </c>
      <c r="B703" s="3">
        <v>46172</v>
      </c>
      <c r="C703" s="2" t="s">
        <v>677</v>
      </c>
      <c r="D703" s="2" t="s">
        <v>25</v>
      </c>
      <c r="E703" s="2" t="s">
        <v>30</v>
      </c>
      <c r="F703" s="2" t="s">
        <v>31</v>
      </c>
      <c r="G703" s="4">
        <v>6600</v>
      </c>
      <c r="H703" s="5">
        <v>4.3499999999999997E-2</v>
      </c>
      <c r="I703" s="2">
        <v>60</v>
      </c>
      <c r="J703" s="2" t="s">
        <v>66</v>
      </c>
      <c r="K703" s="2" t="s">
        <v>17</v>
      </c>
      <c r="L703" s="3">
        <v>46172</v>
      </c>
    </row>
    <row r="704" spans="1:12">
      <c r="A704" s="2" t="s">
        <v>1258</v>
      </c>
      <c r="B704" s="3">
        <v>46172</v>
      </c>
      <c r="C704" s="2" t="s">
        <v>1259</v>
      </c>
      <c r="D704" s="2" t="s">
        <v>29</v>
      </c>
      <c r="E704" s="2" t="s">
        <v>15</v>
      </c>
      <c r="F704" s="2" t="s">
        <v>3</v>
      </c>
      <c r="G704" s="4">
        <v>13400</v>
      </c>
      <c r="H704" s="5">
        <v>6.8400000000000002E-2</v>
      </c>
      <c r="I704" s="2">
        <v>60</v>
      </c>
      <c r="J704" s="2" t="s">
        <v>61</v>
      </c>
      <c r="K704" s="2" t="s">
        <v>17</v>
      </c>
      <c r="L704" s="3">
        <v>46174</v>
      </c>
    </row>
    <row r="705" spans="1:12">
      <c r="A705" s="2" t="s">
        <v>1260</v>
      </c>
      <c r="B705" s="3">
        <v>46173</v>
      </c>
      <c r="C705" s="2" t="s">
        <v>1261</v>
      </c>
      <c r="D705" s="2" t="s">
        <v>20</v>
      </c>
      <c r="E705" s="2" t="s">
        <v>15</v>
      </c>
      <c r="F705" s="2" t="s">
        <v>55</v>
      </c>
      <c r="G705" s="4">
        <v>25000</v>
      </c>
      <c r="H705" s="5">
        <v>6.5100000000000005E-2</v>
      </c>
      <c r="I705" s="2">
        <v>12</v>
      </c>
      <c r="J705" s="2" t="s">
        <v>22</v>
      </c>
      <c r="K705" s="2" t="s">
        <v>17</v>
      </c>
      <c r="L705" s="3">
        <v>46180</v>
      </c>
    </row>
    <row r="706" spans="1:12">
      <c r="A706" s="2" t="s">
        <v>1262</v>
      </c>
      <c r="B706" s="3">
        <v>46174</v>
      </c>
      <c r="C706" s="2" t="s">
        <v>1263</v>
      </c>
      <c r="D706" s="2" t="s">
        <v>29</v>
      </c>
      <c r="E706" s="2" t="s">
        <v>21</v>
      </c>
      <c r="F706" s="2" t="s">
        <v>31</v>
      </c>
      <c r="G706" s="4">
        <v>171000</v>
      </c>
      <c r="H706" s="5">
        <v>3.0700000000000002E-2</v>
      </c>
      <c r="I706" s="2">
        <v>300</v>
      </c>
      <c r="J706" s="2" t="s">
        <v>61</v>
      </c>
      <c r="K706" s="2" t="s">
        <v>45</v>
      </c>
      <c r="L706" s="3">
        <v>46203</v>
      </c>
    </row>
    <row r="707" spans="1:12">
      <c r="A707" s="2" t="s">
        <v>1264</v>
      </c>
      <c r="B707" s="3">
        <v>46174</v>
      </c>
      <c r="C707" s="2" t="s">
        <v>1265</v>
      </c>
      <c r="D707" s="2" t="s">
        <v>20</v>
      </c>
      <c r="E707" s="2" t="s">
        <v>43</v>
      </c>
      <c r="F707" s="2" t="s">
        <v>31</v>
      </c>
      <c r="G707" s="4">
        <v>50600</v>
      </c>
      <c r="H707" s="5">
        <v>6.1699999999999998E-2</v>
      </c>
      <c r="I707" s="2">
        <v>24</v>
      </c>
      <c r="J707" s="2" t="s">
        <v>22</v>
      </c>
      <c r="K707" s="2" t="s">
        <v>45</v>
      </c>
      <c r="L707" s="3">
        <v>46188</v>
      </c>
    </row>
    <row r="708" spans="1:12">
      <c r="A708" s="2" t="s">
        <v>1266</v>
      </c>
      <c r="B708" s="3">
        <v>46174</v>
      </c>
      <c r="C708" s="2" t="s">
        <v>276</v>
      </c>
      <c r="D708" s="2" t="s">
        <v>25</v>
      </c>
      <c r="E708" s="2" t="s">
        <v>30</v>
      </c>
      <c r="F708" s="2" t="s">
        <v>3</v>
      </c>
      <c r="G708" s="4">
        <v>10100</v>
      </c>
      <c r="H708" s="5">
        <v>3.78E-2</v>
      </c>
      <c r="I708" s="2">
        <v>60</v>
      </c>
      <c r="J708" s="2" t="s">
        <v>181</v>
      </c>
      <c r="K708" s="2" t="s">
        <v>17</v>
      </c>
      <c r="L708" s="3">
        <v>46179</v>
      </c>
    </row>
    <row r="709" spans="1:12">
      <c r="A709" s="2" t="s">
        <v>1267</v>
      </c>
      <c r="B709" s="3">
        <v>46174</v>
      </c>
      <c r="C709" s="2" t="s">
        <v>613</v>
      </c>
      <c r="D709" s="2" t="s">
        <v>14</v>
      </c>
      <c r="E709" s="2" t="s">
        <v>30</v>
      </c>
      <c r="F709" s="2" t="s">
        <v>3</v>
      </c>
      <c r="G709" s="4">
        <v>8600</v>
      </c>
      <c r="H709" s="5">
        <v>4.4900000000000002E-2</v>
      </c>
      <c r="I709" s="2">
        <v>60</v>
      </c>
      <c r="J709" s="2" t="s">
        <v>16</v>
      </c>
      <c r="K709" s="2" t="s">
        <v>17</v>
      </c>
      <c r="L709" s="3">
        <v>46178</v>
      </c>
    </row>
    <row r="710" spans="1:12">
      <c r="A710" s="2" t="s">
        <v>1268</v>
      </c>
      <c r="B710" s="3">
        <v>46175</v>
      </c>
      <c r="C710" s="2" t="s">
        <v>70</v>
      </c>
      <c r="D710" s="2" t="s">
        <v>25</v>
      </c>
      <c r="E710" s="2" t="s">
        <v>43</v>
      </c>
      <c r="F710" s="2" t="s">
        <v>31</v>
      </c>
      <c r="G710" s="4">
        <v>45000</v>
      </c>
      <c r="H710" s="5">
        <v>6.0100000000000001E-2</v>
      </c>
      <c r="I710" s="2">
        <v>24</v>
      </c>
      <c r="J710" s="2" t="s">
        <v>181</v>
      </c>
      <c r="K710" s="2" t="s">
        <v>45</v>
      </c>
      <c r="L710" s="3">
        <v>46183</v>
      </c>
    </row>
    <row r="711" spans="1:12">
      <c r="A711" s="2" t="s">
        <v>1269</v>
      </c>
      <c r="B711" s="3">
        <v>46175</v>
      </c>
      <c r="C711" s="2" t="s">
        <v>1270</v>
      </c>
      <c r="D711" s="2" t="s">
        <v>54</v>
      </c>
      <c r="E711" s="2" t="s">
        <v>15</v>
      </c>
      <c r="F711" s="2" t="s">
        <v>3</v>
      </c>
      <c r="G711" s="4">
        <v>23400</v>
      </c>
      <c r="H711" s="5">
        <v>6.7799999999999999E-2</v>
      </c>
      <c r="I711" s="2">
        <v>48</v>
      </c>
      <c r="J711" s="2" t="s">
        <v>56</v>
      </c>
      <c r="K711" s="2" t="s">
        <v>17</v>
      </c>
      <c r="L711" s="3">
        <v>46181</v>
      </c>
    </row>
    <row r="712" spans="1:12">
      <c r="A712" s="2" t="s">
        <v>1271</v>
      </c>
      <c r="B712" s="3">
        <v>46175</v>
      </c>
      <c r="C712" s="2" t="s">
        <v>1272</v>
      </c>
      <c r="D712" s="2" t="s">
        <v>20</v>
      </c>
      <c r="E712" s="2" t="s">
        <v>15</v>
      </c>
      <c r="F712" s="2" t="s">
        <v>147</v>
      </c>
      <c r="G712" s="4">
        <v>25000</v>
      </c>
      <c r="H712" s="5">
        <v>5.3499999999999999E-2</v>
      </c>
      <c r="I712" s="2">
        <v>24</v>
      </c>
      <c r="J712" s="2" t="s">
        <v>44</v>
      </c>
      <c r="K712" s="2" t="s">
        <v>17</v>
      </c>
      <c r="L712" s="3">
        <v>46176</v>
      </c>
    </row>
    <row r="713" spans="1:12">
      <c r="A713" s="2" t="s">
        <v>1273</v>
      </c>
      <c r="B713" s="3">
        <v>46175</v>
      </c>
      <c r="C713" s="2" t="s">
        <v>944</v>
      </c>
      <c r="D713" s="2" t="s">
        <v>14</v>
      </c>
      <c r="E713" s="2" t="s">
        <v>15</v>
      </c>
      <c r="F713" s="2" t="s">
        <v>31</v>
      </c>
      <c r="G713" s="4">
        <v>22900</v>
      </c>
      <c r="H713" s="5">
        <v>5.0299999999999997E-2</v>
      </c>
      <c r="I713" s="2">
        <v>48</v>
      </c>
      <c r="J713" s="2" t="s">
        <v>16</v>
      </c>
      <c r="K713" s="2" t="s">
        <v>17</v>
      </c>
      <c r="L713" s="3">
        <v>46175</v>
      </c>
    </row>
    <row r="714" spans="1:12">
      <c r="A714" s="2" t="s">
        <v>1274</v>
      </c>
      <c r="B714" s="3">
        <v>46175</v>
      </c>
      <c r="C714" s="2" t="s">
        <v>1275</v>
      </c>
      <c r="D714" s="2" t="s">
        <v>25</v>
      </c>
      <c r="E714" s="2" t="s">
        <v>21</v>
      </c>
      <c r="F714" s="2" t="s">
        <v>31</v>
      </c>
      <c r="G714" s="4">
        <v>108600</v>
      </c>
      <c r="H714" s="5">
        <v>3.5700000000000003E-2</v>
      </c>
      <c r="I714" s="2">
        <v>120</v>
      </c>
      <c r="J714" s="2" t="s">
        <v>181</v>
      </c>
      <c r="K714" s="2" t="s">
        <v>45</v>
      </c>
      <c r="L714" s="3">
        <v>46204</v>
      </c>
    </row>
    <row r="715" spans="1:12">
      <c r="A715" s="2" t="s">
        <v>1276</v>
      </c>
      <c r="B715" s="3">
        <v>46176</v>
      </c>
      <c r="C715" s="2" t="s">
        <v>1277</v>
      </c>
      <c r="D715" s="2" t="s">
        <v>14</v>
      </c>
      <c r="E715" s="2" t="s">
        <v>30</v>
      </c>
      <c r="F715" s="2" t="s">
        <v>31</v>
      </c>
      <c r="G715" s="4">
        <v>12400</v>
      </c>
      <c r="H715" s="5">
        <v>4.5400000000000003E-2</v>
      </c>
      <c r="I715" s="2">
        <v>48</v>
      </c>
      <c r="J715" s="2" t="s">
        <v>16</v>
      </c>
      <c r="K715" s="2" t="s">
        <v>17</v>
      </c>
      <c r="L715" s="3">
        <v>46177</v>
      </c>
    </row>
    <row r="716" spans="1:12">
      <c r="A716" s="2" t="s">
        <v>1278</v>
      </c>
      <c r="B716" s="3">
        <v>46176</v>
      </c>
      <c r="C716" s="2" t="s">
        <v>292</v>
      </c>
      <c r="D716" s="2" t="s">
        <v>29</v>
      </c>
      <c r="E716" s="2" t="s">
        <v>43</v>
      </c>
      <c r="F716" s="2" t="s">
        <v>3</v>
      </c>
      <c r="G716" s="4">
        <v>71000</v>
      </c>
      <c r="H716" s="5">
        <v>5.6500000000000002E-2</v>
      </c>
      <c r="I716" s="2">
        <v>24</v>
      </c>
      <c r="J716" s="2" t="s">
        <v>123</v>
      </c>
      <c r="K716" s="2" t="s">
        <v>45</v>
      </c>
      <c r="L716" s="3">
        <v>46194</v>
      </c>
    </row>
    <row r="717" spans="1:12">
      <c r="A717" s="2" t="s">
        <v>1279</v>
      </c>
      <c r="B717" s="3">
        <v>46177</v>
      </c>
      <c r="C717" s="2" t="s">
        <v>458</v>
      </c>
      <c r="D717" s="2" t="s">
        <v>25</v>
      </c>
      <c r="E717" s="2" t="s">
        <v>30</v>
      </c>
      <c r="F717" s="2" t="s">
        <v>3</v>
      </c>
      <c r="G717" s="4">
        <v>7300</v>
      </c>
      <c r="H717" s="5">
        <v>4.2999999999999997E-2</v>
      </c>
      <c r="I717" s="2">
        <v>48</v>
      </c>
      <c r="J717" s="2" t="s">
        <v>26</v>
      </c>
      <c r="K717" s="2" t="s">
        <v>17</v>
      </c>
      <c r="L717" s="3">
        <v>46182</v>
      </c>
    </row>
    <row r="718" spans="1:12">
      <c r="A718" s="2" t="s">
        <v>1280</v>
      </c>
      <c r="B718" s="3">
        <v>46177</v>
      </c>
      <c r="C718" s="2" t="s">
        <v>326</v>
      </c>
      <c r="D718" s="2" t="s">
        <v>25</v>
      </c>
      <c r="E718" s="2" t="s">
        <v>110</v>
      </c>
      <c r="F718" s="2" t="s">
        <v>3</v>
      </c>
      <c r="G718" s="4">
        <v>133700</v>
      </c>
      <c r="H718" s="5">
        <v>6.6199999999999995E-2</v>
      </c>
      <c r="I718" s="2">
        <v>84</v>
      </c>
      <c r="J718" s="2" t="s">
        <v>181</v>
      </c>
      <c r="K718" s="2" t="s">
        <v>45</v>
      </c>
      <c r="L718" s="3">
        <v>46191</v>
      </c>
    </row>
    <row r="719" spans="1:12">
      <c r="A719" s="2" t="s">
        <v>1281</v>
      </c>
      <c r="B719" s="3">
        <v>46177</v>
      </c>
      <c r="C719" s="2" t="s">
        <v>625</v>
      </c>
      <c r="D719" s="2" t="s">
        <v>14</v>
      </c>
      <c r="E719" s="2" t="s">
        <v>151</v>
      </c>
      <c r="F719" s="2" t="s">
        <v>31</v>
      </c>
      <c r="G719" s="4">
        <v>120800</v>
      </c>
      <c r="H719" s="5">
        <v>5.6099999999999997E-2</v>
      </c>
      <c r="I719" s="2">
        <v>36</v>
      </c>
      <c r="J719" s="2" t="s">
        <v>40</v>
      </c>
      <c r="K719" s="2" t="s">
        <v>45</v>
      </c>
      <c r="L719" s="3">
        <v>46192</v>
      </c>
    </row>
    <row r="720" spans="1:12">
      <c r="A720" s="2" t="s">
        <v>1282</v>
      </c>
      <c r="B720" s="3">
        <v>46177</v>
      </c>
      <c r="C720" s="2" t="s">
        <v>1283</v>
      </c>
      <c r="D720" s="2" t="s">
        <v>14</v>
      </c>
      <c r="E720" s="2" t="s">
        <v>30</v>
      </c>
      <c r="F720" s="2" t="s">
        <v>31</v>
      </c>
      <c r="G720" s="4">
        <v>9000</v>
      </c>
      <c r="H720" s="5">
        <v>4.9099999999999998E-2</v>
      </c>
      <c r="I720" s="2">
        <v>48</v>
      </c>
      <c r="J720" s="2" t="s">
        <v>48</v>
      </c>
      <c r="K720" s="2" t="s">
        <v>17</v>
      </c>
      <c r="L720" s="3">
        <v>46177</v>
      </c>
    </row>
    <row r="721" spans="1:12">
      <c r="A721" s="2" t="s">
        <v>1284</v>
      </c>
      <c r="B721" s="3">
        <v>46177</v>
      </c>
      <c r="C721" s="2" t="s">
        <v>1285</v>
      </c>
      <c r="D721" s="2" t="s">
        <v>20</v>
      </c>
      <c r="E721" s="2" t="s">
        <v>340</v>
      </c>
      <c r="F721" s="2" t="s">
        <v>3</v>
      </c>
      <c r="G721" s="4">
        <v>14300</v>
      </c>
      <c r="H721" s="5">
        <v>6.4699999999999994E-2</v>
      </c>
      <c r="I721" s="2">
        <v>36</v>
      </c>
      <c r="J721" s="2" t="s">
        <v>37</v>
      </c>
      <c r="K721" s="2" t="s">
        <v>17</v>
      </c>
      <c r="L721" s="3">
        <v>46183</v>
      </c>
    </row>
    <row r="722" spans="1:12">
      <c r="A722" s="2" t="s">
        <v>1286</v>
      </c>
      <c r="B722" s="3">
        <v>46178</v>
      </c>
      <c r="C722" s="2" t="s">
        <v>1287</v>
      </c>
      <c r="D722" s="2" t="s">
        <v>14</v>
      </c>
      <c r="E722" s="2" t="s">
        <v>15</v>
      </c>
      <c r="F722" s="2" t="s">
        <v>55</v>
      </c>
      <c r="G722" s="4">
        <v>3600</v>
      </c>
      <c r="H722" s="5">
        <v>6.8000000000000005E-2</v>
      </c>
      <c r="I722" s="2">
        <v>12</v>
      </c>
      <c r="J722" s="2" t="s">
        <v>48</v>
      </c>
      <c r="K722" s="2" t="s">
        <v>17</v>
      </c>
      <c r="L722" s="3">
        <v>46181</v>
      </c>
    </row>
    <row r="723" spans="1:12">
      <c r="A723" s="2" t="s">
        <v>1288</v>
      </c>
      <c r="B723" s="3">
        <v>46178</v>
      </c>
      <c r="C723" s="2" t="s">
        <v>1289</v>
      </c>
      <c r="D723" s="2" t="s">
        <v>25</v>
      </c>
      <c r="E723" s="2" t="s">
        <v>15</v>
      </c>
      <c r="F723" s="2" t="s">
        <v>55</v>
      </c>
      <c r="G723" s="4">
        <v>8400</v>
      </c>
      <c r="H723" s="5">
        <v>6.9099999999999995E-2</v>
      </c>
      <c r="I723" s="2">
        <v>12</v>
      </c>
      <c r="J723" s="2" t="s">
        <v>66</v>
      </c>
      <c r="K723" s="2" t="s">
        <v>17</v>
      </c>
      <c r="L723" s="3">
        <v>46180</v>
      </c>
    </row>
    <row r="724" spans="1:12">
      <c r="A724" s="2" t="s">
        <v>1290</v>
      </c>
      <c r="B724" s="3">
        <v>46178</v>
      </c>
      <c r="C724" s="2" t="s">
        <v>230</v>
      </c>
      <c r="D724" s="2" t="s">
        <v>71</v>
      </c>
      <c r="E724" s="2" t="s">
        <v>21</v>
      </c>
      <c r="F724" s="2" t="s">
        <v>3</v>
      </c>
      <c r="G724" s="4">
        <v>263000</v>
      </c>
      <c r="H724" s="5">
        <v>4.48E-2</v>
      </c>
      <c r="I724" s="2">
        <v>240</v>
      </c>
      <c r="J724" s="2" t="s">
        <v>101</v>
      </c>
      <c r="K724" s="2" t="s">
        <v>17</v>
      </c>
      <c r="L724" s="3">
        <v>46209</v>
      </c>
    </row>
    <row r="725" spans="1:12">
      <c r="A725" s="2" t="s">
        <v>1291</v>
      </c>
      <c r="B725" s="3">
        <v>46178</v>
      </c>
      <c r="C725" s="2" t="s">
        <v>1292</v>
      </c>
      <c r="D725" s="2" t="s">
        <v>71</v>
      </c>
      <c r="E725" s="2" t="s">
        <v>15</v>
      </c>
      <c r="F725" s="2" t="s">
        <v>3</v>
      </c>
      <c r="G725" s="4">
        <v>24800</v>
      </c>
      <c r="H725" s="5">
        <v>5.3199999999999997E-2</v>
      </c>
      <c r="I725" s="2">
        <v>24</v>
      </c>
      <c r="J725" s="2" t="s">
        <v>72</v>
      </c>
      <c r="K725" s="2" t="s">
        <v>45</v>
      </c>
      <c r="L725" s="3">
        <v>46188</v>
      </c>
    </row>
    <row r="726" spans="1:12">
      <c r="A726" s="2" t="s">
        <v>1293</v>
      </c>
      <c r="B726" s="3">
        <v>46179</v>
      </c>
      <c r="C726" s="2" t="s">
        <v>1294</v>
      </c>
      <c r="D726" s="2" t="s">
        <v>14</v>
      </c>
      <c r="E726" s="2" t="s">
        <v>15</v>
      </c>
      <c r="F726" s="2" t="s">
        <v>31</v>
      </c>
      <c r="G726" s="4">
        <v>25000</v>
      </c>
      <c r="H726" s="5">
        <v>6.4000000000000001E-2</v>
      </c>
      <c r="I726" s="2">
        <v>24</v>
      </c>
      <c r="J726" s="2" t="s">
        <v>48</v>
      </c>
      <c r="K726" s="2" t="s">
        <v>45</v>
      </c>
      <c r="L726" s="3">
        <v>46180</v>
      </c>
    </row>
    <row r="727" spans="1:12">
      <c r="A727" s="2" t="s">
        <v>1295</v>
      </c>
      <c r="B727" s="3">
        <v>46179</v>
      </c>
      <c r="C727" s="2" t="s">
        <v>460</v>
      </c>
      <c r="D727" s="2" t="s">
        <v>25</v>
      </c>
      <c r="E727" s="2" t="s">
        <v>15</v>
      </c>
      <c r="F727" s="2" t="s">
        <v>3</v>
      </c>
      <c r="G727" s="4">
        <v>13800</v>
      </c>
      <c r="H727" s="5">
        <v>6.0999999999999999E-2</v>
      </c>
      <c r="I727" s="2">
        <v>36</v>
      </c>
      <c r="J727" s="2" t="s">
        <v>181</v>
      </c>
      <c r="K727" s="2" t="s">
        <v>17</v>
      </c>
      <c r="L727" s="3">
        <v>46182</v>
      </c>
    </row>
    <row r="728" spans="1:12">
      <c r="A728" s="2" t="s">
        <v>1296</v>
      </c>
      <c r="B728" s="3">
        <v>46179</v>
      </c>
      <c r="C728" s="2" t="s">
        <v>1297</v>
      </c>
      <c r="D728" s="2" t="s">
        <v>25</v>
      </c>
      <c r="E728" s="2" t="s">
        <v>43</v>
      </c>
      <c r="F728" s="2" t="s">
        <v>31</v>
      </c>
      <c r="G728" s="4">
        <v>153500</v>
      </c>
      <c r="H728" s="5">
        <v>7.3599999999999999E-2</v>
      </c>
      <c r="I728" s="2">
        <v>84</v>
      </c>
      <c r="J728" s="2" t="s">
        <v>66</v>
      </c>
      <c r="K728" s="2" t="s">
        <v>17</v>
      </c>
      <c r="L728" s="3">
        <v>46197</v>
      </c>
    </row>
    <row r="729" spans="1:12">
      <c r="A729" s="2" t="s">
        <v>1298</v>
      </c>
      <c r="B729" s="3">
        <v>46179</v>
      </c>
      <c r="C729" s="2" t="s">
        <v>156</v>
      </c>
      <c r="D729" s="2" t="s">
        <v>29</v>
      </c>
      <c r="E729" s="2" t="s">
        <v>15</v>
      </c>
      <c r="F729" s="2" t="s">
        <v>31</v>
      </c>
      <c r="G729" s="4">
        <v>8500</v>
      </c>
      <c r="H729" s="5">
        <v>6.3500000000000001E-2</v>
      </c>
      <c r="I729" s="2">
        <v>60</v>
      </c>
      <c r="J729" s="2" t="s">
        <v>61</v>
      </c>
      <c r="K729" s="2" t="s">
        <v>45</v>
      </c>
      <c r="L729" s="3">
        <v>46181</v>
      </c>
    </row>
    <row r="730" spans="1:12">
      <c r="A730" s="2" t="s">
        <v>1299</v>
      </c>
      <c r="B730" s="3">
        <v>46179</v>
      </c>
      <c r="C730" s="2" t="s">
        <v>1300</v>
      </c>
      <c r="D730" s="2" t="s">
        <v>14</v>
      </c>
      <c r="E730" s="2" t="s">
        <v>15</v>
      </c>
      <c r="F730" s="2" t="s">
        <v>31</v>
      </c>
      <c r="G730" s="4">
        <v>23100</v>
      </c>
      <c r="H730" s="5">
        <v>6.83E-2</v>
      </c>
      <c r="I730" s="2">
        <v>12</v>
      </c>
      <c r="J730" s="2" t="s">
        <v>40</v>
      </c>
      <c r="K730" s="2" t="s">
        <v>17</v>
      </c>
      <c r="L730" s="3">
        <v>46184</v>
      </c>
    </row>
    <row r="731" spans="1:12">
      <c r="A731" s="2" t="s">
        <v>1301</v>
      </c>
      <c r="B731" s="3">
        <v>46179</v>
      </c>
      <c r="C731" s="2" t="s">
        <v>1302</v>
      </c>
      <c r="D731" s="2" t="s">
        <v>20</v>
      </c>
      <c r="E731" s="2" t="s">
        <v>30</v>
      </c>
      <c r="F731" s="2" t="s">
        <v>3</v>
      </c>
      <c r="G731" s="4">
        <v>10100</v>
      </c>
      <c r="H731" s="5">
        <v>4.2000000000000003E-2</v>
      </c>
      <c r="I731" s="2">
        <v>48</v>
      </c>
      <c r="J731" s="2" t="s">
        <v>44</v>
      </c>
      <c r="K731" s="2" t="s">
        <v>45</v>
      </c>
      <c r="L731" s="3">
        <v>46181</v>
      </c>
    </row>
    <row r="732" spans="1:12">
      <c r="A732" s="2" t="s">
        <v>1303</v>
      </c>
      <c r="B732" s="3">
        <v>46179</v>
      </c>
      <c r="C732" s="2" t="s">
        <v>127</v>
      </c>
      <c r="D732" s="2" t="s">
        <v>20</v>
      </c>
      <c r="E732" s="2" t="s">
        <v>15</v>
      </c>
      <c r="F732" s="2" t="s">
        <v>55</v>
      </c>
      <c r="G732" s="4">
        <v>25000</v>
      </c>
      <c r="H732" s="5">
        <v>5.0799999999999998E-2</v>
      </c>
      <c r="I732" s="2">
        <v>36</v>
      </c>
      <c r="J732" s="2" t="s">
        <v>22</v>
      </c>
      <c r="K732" s="2" t="s">
        <v>17</v>
      </c>
      <c r="L732" s="3">
        <v>46182</v>
      </c>
    </row>
    <row r="733" spans="1:12">
      <c r="A733" s="2" t="s">
        <v>1304</v>
      </c>
      <c r="B733" s="3">
        <v>46179</v>
      </c>
      <c r="C733" s="2" t="s">
        <v>1305</v>
      </c>
      <c r="D733" s="2" t="s">
        <v>25</v>
      </c>
      <c r="E733" s="2" t="s">
        <v>43</v>
      </c>
      <c r="F733" s="2" t="s">
        <v>55</v>
      </c>
      <c r="G733" s="4">
        <v>57900</v>
      </c>
      <c r="H733" s="5">
        <v>6.2899999999999998E-2</v>
      </c>
      <c r="I733" s="2">
        <v>36</v>
      </c>
      <c r="J733" s="2" t="s">
        <v>26</v>
      </c>
      <c r="K733" s="2" t="s">
        <v>45</v>
      </c>
      <c r="L733" s="3">
        <v>46196</v>
      </c>
    </row>
    <row r="734" spans="1:12">
      <c r="A734" s="2" t="s">
        <v>1306</v>
      </c>
      <c r="B734" s="3">
        <v>46179</v>
      </c>
      <c r="C734" s="2" t="s">
        <v>940</v>
      </c>
      <c r="D734" s="2" t="s">
        <v>71</v>
      </c>
      <c r="E734" s="2" t="s">
        <v>30</v>
      </c>
      <c r="F734" s="2" t="s">
        <v>3</v>
      </c>
      <c r="G734" s="4">
        <v>13400</v>
      </c>
      <c r="H734" s="5">
        <v>4.6399999999999997E-2</v>
      </c>
      <c r="I734" s="2">
        <v>36</v>
      </c>
      <c r="J734" s="2" t="s">
        <v>94</v>
      </c>
      <c r="K734" s="2" t="s">
        <v>17</v>
      </c>
      <c r="L734" s="3">
        <v>46184</v>
      </c>
    </row>
    <row r="735" spans="1:12">
      <c r="A735" s="2" t="s">
        <v>1307</v>
      </c>
      <c r="B735" s="3">
        <v>46180</v>
      </c>
      <c r="C735" s="2" t="s">
        <v>1308</v>
      </c>
      <c r="D735" s="2" t="s">
        <v>20</v>
      </c>
      <c r="E735" s="2" t="s">
        <v>15</v>
      </c>
      <c r="F735" s="2" t="s">
        <v>55</v>
      </c>
      <c r="G735" s="4">
        <v>16200</v>
      </c>
      <c r="H735" s="5">
        <v>5.1999999999999998E-2</v>
      </c>
      <c r="I735" s="2">
        <v>60</v>
      </c>
      <c r="J735" s="2" t="s">
        <v>44</v>
      </c>
      <c r="K735" s="2" t="s">
        <v>17</v>
      </c>
      <c r="L735" s="3">
        <v>46181</v>
      </c>
    </row>
    <row r="736" spans="1:12">
      <c r="A736" s="2" t="s">
        <v>1309</v>
      </c>
      <c r="B736" s="3">
        <v>46180</v>
      </c>
      <c r="C736" s="2" t="s">
        <v>1310</v>
      </c>
      <c r="D736" s="2" t="s">
        <v>20</v>
      </c>
      <c r="E736" s="2" t="s">
        <v>15</v>
      </c>
      <c r="F736" s="2" t="s">
        <v>55</v>
      </c>
      <c r="G736" s="4">
        <v>10600</v>
      </c>
      <c r="H736" s="5">
        <v>5.79E-2</v>
      </c>
      <c r="I736" s="2">
        <v>48</v>
      </c>
      <c r="J736" s="2" t="s">
        <v>37</v>
      </c>
      <c r="K736" s="2" t="s">
        <v>45</v>
      </c>
      <c r="L736" s="3">
        <v>46181</v>
      </c>
    </row>
    <row r="737" spans="1:12">
      <c r="A737" s="2" t="s">
        <v>1311</v>
      </c>
      <c r="B737" s="3">
        <v>46180</v>
      </c>
      <c r="C737" s="2" t="s">
        <v>185</v>
      </c>
      <c r="D737" s="2" t="s">
        <v>14</v>
      </c>
      <c r="E737" s="2" t="s">
        <v>15</v>
      </c>
      <c r="F737" s="2" t="s">
        <v>55</v>
      </c>
      <c r="G737" s="4">
        <v>10200</v>
      </c>
      <c r="H737" s="5">
        <v>5.6099999999999997E-2</v>
      </c>
      <c r="I737" s="2">
        <v>36</v>
      </c>
      <c r="J737" s="2" t="s">
        <v>48</v>
      </c>
      <c r="K737" s="2" t="s">
        <v>17</v>
      </c>
      <c r="L737" s="3">
        <v>46183</v>
      </c>
    </row>
    <row r="738" spans="1:12">
      <c r="A738" s="2" t="s">
        <v>1312</v>
      </c>
      <c r="B738" s="3">
        <v>46180</v>
      </c>
      <c r="C738" s="2" t="s">
        <v>590</v>
      </c>
      <c r="D738" s="2" t="s">
        <v>14</v>
      </c>
      <c r="E738" s="2" t="s">
        <v>15</v>
      </c>
      <c r="F738" s="2" t="s">
        <v>3</v>
      </c>
      <c r="G738" s="4">
        <v>8200</v>
      </c>
      <c r="H738" s="5">
        <v>5.9900000000000002E-2</v>
      </c>
      <c r="I738" s="2">
        <v>60</v>
      </c>
      <c r="J738" s="2" t="s">
        <v>48</v>
      </c>
      <c r="K738" s="2" t="s">
        <v>17</v>
      </c>
      <c r="L738" s="3">
        <v>46183</v>
      </c>
    </row>
    <row r="739" spans="1:12">
      <c r="A739" s="2" t="s">
        <v>1313</v>
      </c>
      <c r="B739" s="3">
        <v>46180</v>
      </c>
      <c r="C739" s="2" t="s">
        <v>1314</v>
      </c>
      <c r="D739" s="2" t="s">
        <v>25</v>
      </c>
      <c r="E739" s="2" t="s">
        <v>110</v>
      </c>
      <c r="F739" s="2" t="s">
        <v>31</v>
      </c>
      <c r="G739" s="4">
        <v>141700</v>
      </c>
      <c r="H739" s="5">
        <v>6.8099999999999994E-2</v>
      </c>
      <c r="I739" s="2">
        <v>24</v>
      </c>
      <c r="J739" s="2" t="s">
        <v>181</v>
      </c>
      <c r="K739" s="2" t="s">
        <v>17</v>
      </c>
      <c r="L739" s="3">
        <v>46198</v>
      </c>
    </row>
    <row r="740" spans="1:12">
      <c r="A740" s="2" t="s">
        <v>1315</v>
      </c>
      <c r="B740" s="3">
        <v>46180</v>
      </c>
      <c r="C740" s="2" t="s">
        <v>758</v>
      </c>
      <c r="D740" s="2" t="s">
        <v>54</v>
      </c>
      <c r="E740" s="2" t="s">
        <v>15</v>
      </c>
      <c r="F740" s="2" t="s">
        <v>3</v>
      </c>
      <c r="G740" s="4">
        <v>22100</v>
      </c>
      <c r="H740" s="5">
        <v>6.8900000000000003E-2</v>
      </c>
      <c r="I740" s="2">
        <v>12</v>
      </c>
      <c r="J740" s="2" t="s">
        <v>56</v>
      </c>
      <c r="K740" s="2" t="s">
        <v>17</v>
      </c>
      <c r="L740" s="3">
        <v>46183</v>
      </c>
    </row>
    <row r="741" spans="1:12">
      <c r="A741" s="2" t="s">
        <v>1316</v>
      </c>
      <c r="B741" s="3">
        <v>46181</v>
      </c>
      <c r="C741" s="2" t="s">
        <v>755</v>
      </c>
      <c r="D741" s="2" t="s">
        <v>54</v>
      </c>
      <c r="E741" s="2" t="s">
        <v>15</v>
      </c>
      <c r="F741" s="2" t="s">
        <v>31</v>
      </c>
      <c r="G741" s="4">
        <v>15800</v>
      </c>
      <c r="H741" s="5">
        <v>6.5799999999999997E-2</v>
      </c>
      <c r="I741" s="2">
        <v>48</v>
      </c>
      <c r="J741" s="2" t="s">
        <v>148</v>
      </c>
      <c r="K741" s="2" t="s">
        <v>17</v>
      </c>
      <c r="L741" s="3">
        <v>46185</v>
      </c>
    </row>
    <row r="742" spans="1:12">
      <c r="A742" s="2" t="s">
        <v>1317</v>
      </c>
      <c r="B742" s="3">
        <v>46181</v>
      </c>
      <c r="C742" s="2" t="s">
        <v>776</v>
      </c>
      <c r="D742" s="2" t="s">
        <v>54</v>
      </c>
      <c r="E742" s="2" t="s">
        <v>30</v>
      </c>
      <c r="F742" s="2" t="s">
        <v>3</v>
      </c>
      <c r="G742" s="4">
        <v>15200</v>
      </c>
      <c r="H742" s="5">
        <v>4.99E-2</v>
      </c>
      <c r="I742" s="2">
        <v>36</v>
      </c>
      <c r="J742" s="2" t="s">
        <v>186</v>
      </c>
      <c r="K742" s="2" t="s">
        <v>17</v>
      </c>
      <c r="L742" s="3">
        <v>46185</v>
      </c>
    </row>
    <row r="743" spans="1:12">
      <c r="A743" s="2" t="s">
        <v>1318</v>
      </c>
      <c r="B743" s="3">
        <v>46181</v>
      </c>
      <c r="C743" s="2" t="s">
        <v>1319</v>
      </c>
      <c r="D743" s="2" t="s">
        <v>14</v>
      </c>
      <c r="E743" s="2" t="s">
        <v>15</v>
      </c>
      <c r="F743" s="2" t="s">
        <v>3</v>
      </c>
      <c r="G743" s="4">
        <v>20300</v>
      </c>
      <c r="H743" s="5">
        <v>5.5199999999999999E-2</v>
      </c>
      <c r="I743" s="2">
        <v>36</v>
      </c>
      <c r="J743" s="2" t="s">
        <v>48</v>
      </c>
      <c r="K743" s="2" t="s">
        <v>17</v>
      </c>
      <c r="L743" s="3">
        <v>46185</v>
      </c>
    </row>
    <row r="744" spans="1:12">
      <c r="A744" s="2" t="s">
        <v>1320</v>
      </c>
      <c r="B744" s="3">
        <v>46181</v>
      </c>
      <c r="C744" s="2" t="s">
        <v>1321</v>
      </c>
      <c r="D744" s="2" t="s">
        <v>71</v>
      </c>
      <c r="E744" s="2" t="s">
        <v>30</v>
      </c>
      <c r="F744" s="2" t="s">
        <v>3</v>
      </c>
      <c r="G744" s="4">
        <v>12000</v>
      </c>
      <c r="H744" s="5">
        <v>3.5499999999999997E-2</v>
      </c>
      <c r="I744" s="2">
        <v>36</v>
      </c>
      <c r="J744" s="2" t="s">
        <v>72</v>
      </c>
      <c r="K744" s="2" t="s">
        <v>45</v>
      </c>
      <c r="L744" s="3">
        <v>46186</v>
      </c>
    </row>
    <row r="745" spans="1:12">
      <c r="A745" s="2" t="s">
        <v>1322</v>
      </c>
      <c r="B745" s="3">
        <v>46181</v>
      </c>
      <c r="C745" s="2" t="s">
        <v>1323</v>
      </c>
      <c r="D745" s="2" t="s">
        <v>71</v>
      </c>
      <c r="E745" s="2" t="s">
        <v>15</v>
      </c>
      <c r="F745" s="2" t="s">
        <v>3</v>
      </c>
      <c r="G745" s="4">
        <v>18700</v>
      </c>
      <c r="H745" s="5">
        <v>6.0900000000000003E-2</v>
      </c>
      <c r="I745" s="2">
        <v>12</v>
      </c>
      <c r="J745" s="2" t="s">
        <v>72</v>
      </c>
      <c r="K745" s="2" t="s">
        <v>17</v>
      </c>
      <c r="L745" s="3">
        <v>46187</v>
      </c>
    </row>
    <row r="746" spans="1:12">
      <c r="A746" s="2" t="s">
        <v>1322</v>
      </c>
      <c r="B746" s="3">
        <v>46181</v>
      </c>
      <c r="C746" s="2" t="s">
        <v>1323</v>
      </c>
      <c r="D746" s="2" t="s">
        <v>71</v>
      </c>
      <c r="E746" s="2" t="s">
        <v>15</v>
      </c>
      <c r="F746" s="2" t="s">
        <v>3</v>
      </c>
      <c r="G746" s="4">
        <v>18700</v>
      </c>
      <c r="H746" s="5">
        <v>6.0900000000000003E-2</v>
      </c>
      <c r="I746" s="2">
        <v>12</v>
      </c>
      <c r="J746" s="2" t="s">
        <v>72</v>
      </c>
      <c r="K746" s="2" t="s">
        <v>17</v>
      </c>
      <c r="L746" s="3">
        <v>46187</v>
      </c>
    </row>
    <row r="747" spans="1:12">
      <c r="A747" s="2" t="s">
        <v>1324</v>
      </c>
      <c r="B747" s="3">
        <v>46182</v>
      </c>
      <c r="C747" s="2" t="s">
        <v>464</v>
      </c>
      <c r="D747" s="2" t="s">
        <v>14</v>
      </c>
      <c r="E747" s="2" t="s">
        <v>30</v>
      </c>
      <c r="F747" s="2" t="s">
        <v>31</v>
      </c>
      <c r="G747" s="4">
        <v>7200</v>
      </c>
      <c r="H747" s="5">
        <v>4.36E-2</v>
      </c>
      <c r="I747" s="2">
        <v>48</v>
      </c>
      <c r="J747" s="2" t="s">
        <v>16</v>
      </c>
      <c r="K747" s="2" t="s">
        <v>17</v>
      </c>
      <c r="L747" s="3">
        <v>46186</v>
      </c>
    </row>
    <row r="748" spans="1:12">
      <c r="A748" s="2" t="s">
        <v>1325</v>
      </c>
      <c r="B748" s="3">
        <v>46182</v>
      </c>
      <c r="C748" s="2" t="s">
        <v>1326</v>
      </c>
      <c r="D748" s="2" t="s">
        <v>14</v>
      </c>
      <c r="E748" s="2" t="s">
        <v>15</v>
      </c>
      <c r="F748" s="2" t="s">
        <v>31</v>
      </c>
      <c r="G748" s="4">
        <v>18800</v>
      </c>
      <c r="H748" s="5">
        <v>6.5000000000000002E-2</v>
      </c>
      <c r="I748" s="2">
        <v>24</v>
      </c>
      <c r="J748" s="2" t="s">
        <v>40</v>
      </c>
      <c r="K748" s="2" t="s">
        <v>17</v>
      </c>
      <c r="L748" s="3">
        <v>46187</v>
      </c>
    </row>
    <row r="749" spans="1:12">
      <c r="A749" s="2" t="s">
        <v>1327</v>
      </c>
      <c r="B749" s="3">
        <v>46182</v>
      </c>
      <c r="C749" s="2" t="s">
        <v>153</v>
      </c>
      <c r="D749" s="2" t="s">
        <v>71</v>
      </c>
      <c r="E749" s="2" t="s">
        <v>30</v>
      </c>
      <c r="F749" s="2" t="s">
        <v>31</v>
      </c>
      <c r="G749" s="4">
        <v>14100</v>
      </c>
      <c r="H749" s="5">
        <v>4.4200000000000003E-2</v>
      </c>
      <c r="I749" s="2">
        <v>60</v>
      </c>
      <c r="J749" s="2" t="s">
        <v>94</v>
      </c>
      <c r="K749" s="2" t="s">
        <v>45</v>
      </c>
      <c r="L749" s="3">
        <v>46189</v>
      </c>
    </row>
    <row r="750" spans="1:12">
      <c r="A750" s="2" t="s">
        <v>1328</v>
      </c>
      <c r="B750" s="3">
        <v>46183</v>
      </c>
      <c r="C750" s="2" t="s">
        <v>845</v>
      </c>
      <c r="D750" s="2" t="s">
        <v>54</v>
      </c>
      <c r="E750" s="2" t="s">
        <v>43</v>
      </c>
      <c r="F750" s="2" t="s">
        <v>3</v>
      </c>
      <c r="G750" s="4">
        <v>30200</v>
      </c>
      <c r="H750" s="5">
        <v>7.6200000000000004E-2</v>
      </c>
      <c r="I750" s="2">
        <v>60</v>
      </c>
      <c r="J750" s="2" t="s">
        <v>56</v>
      </c>
      <c r="K750" s="2" t="s">
        <v>45</v>
      </c>
      <c r="L750" s="3">
        <v>46202</v>
      </c>
    </row>
    <row r="751" spans="1:12">
      <c r="A751" s="2" t="s">
        <v>1329</v>
      </c>
      <c r="B751" s="3">
        <v>46183</v>
      </c>
      <c r="C751" s="2" t="s">
        <v>413</v>
      </c>
      <c r="D751" s="2" t="s">
        <v>25</v>
      </c>
      <c r="E751" s="2" t="s">
        <v>43</v>
      </c>
      <c r="F751" s="2" t="s">
        <v>3</v>
      </c>
      <c r="G751" s="4">
        <v>58900</v>
      </c>
      <c r="H751" s="5">
        <v>7.6100000000000001E-2</v>
      </c>
      <c r="I751" s="2">
        <v>36</v>
      </c>
      <c r="J751" s="2" t="s">
        <v>66</v>
      </c>
      <c r="K751" s="2" t="s">
        <v>45</v>
      </c>
      <c r="L751" s="3">
        <v>46193</v>
      </c>
    </row>
    <row r="752" spans="1:12">
      <c r="A752" s="2" t="s">
        <v>1330</v>
      </c>
      <c r="B752" s="3">
        <v>46184</v>
      </c>
      <c r="C752" s="2" t="s">
        <v>1168</v>
      </c>
      <c r="D752" s="2" t="s">
        <v>25</v>
      </c>
      <c r="E752" s="2" t="s">
        <v>15</v>
      </c>
      <c r="F752" s="2" t="s">
        <v>3</v>
      </c>
      <c r="G752" s="4">
        <v>16900</v>
      </c>
      <c r="H752" s="5">
        <v>5.8000000000000003E-2</v>
      </c>
      <c r="I752" s="2">
        <v>48</v>
      </c>
      <c r="J752" s="2" t="s">
        <v>181</v>
      </c>
      <c r="K752" s="2" t="s">
        <v>17</v>
      </c>
      <c r="L752" s="3">
        <v>46189</v>
      </c>
    </row>
    <row r="753" spans="1:12">
      <c r="A753" s="2" t="s">
        <v>1331</v>
      </c>
      <c r="B753" s="3">
        <v>46184</v>
      </c>
      <c r="C753" s="2" t="s">
        <v>828</v>
      </c>
      <c r="D753" s="2" t="s">
        <v>29</v>
      </c>
      <c r="E753" s="2" t="s">
        <v>30</v>
      </c>
      <c r="F753" s="2" t="s">
        <v>3</v>
      </c>
      <c r="G753" s="4">
        <v>6700</v>
      </c>
      <c r="H753" s="5">
        <v>4.7399999999999998E-2</v>
      </c>
      <c r="I753" s="2">
        <v>60</v>
      </c>
      <c r="J753" s="2" t="s">
        <v>123</v>
      </c>
      <c r="K753" s="2" t="s">
        <v>17</v>
      </c>
      <c r="L753" s="3">
        <v>46186</v>
      </c>
    </row>
    <row r="754" spans="1:12">
      <c r="A754" s="2" t="s">
        <v>1332</v>
      </c>
      <c r="B754" s="3">
        <v>46184</v>
      </c>
      <c r="C754" s="2" t="s">
        <v>1333</v>
      </c>
      <c r="D754" s="2" t="s">
        <v>14</v>
      </c>
      <c r="E754" s="2" t="s">
        <v>43</v>
      </c>
      <c r="F754" s="2" t="s">
        <v>3</v>
      </c>
      <c r="G754" s="4">
        <v>154500</v>
      </c>
      <c r="H754" s="5">
        <v>5.7599999999999998E-2</v>
      </c>
      <c r="I754" s="2">
        <v>24</v>
      </c>
      <c r="J754" s="2" t="s">
        <v>48</v>
      </c>
      <c r="K754" s="2" t="s">
        <v>17</v>
      </c>
      <c r="L754" s="3">
        <v>46205</v>
      </c>
    </row>
    <row r="755" spans="1:12">
      <c r="A755" s="2" t="s">
        <v>1334</v>
      </c>
      <c r="B755" s="3">
        <v>46184</v>
      </c>
      <c r="C755" s="2" t="s">
        <v>1335</v>
      </c>
      <c r="D755" s="2" t="s">
        <v>14</v>
      </c>
      <c r="E755" s="2" t="s">
        <v>15</v>
      </c>
      <c r="F755" s="2" t="s">
        <v>332</v>
      </c>
      <c r="G755" s="4">
        <v>14600</v>
      </c>
      <c r="H755" s="5">
        <v>6.5500000000000003E-2</v>
      </c>
      <c r="I755" s="2">
        <v>48</v>
      </c>
      <c r="J755" s="2" t="s">
        <v>40</v>
      </c>
      <c r="K755" s="2" t="s">
        <v>17</v>
      </c>
      <c r="L755" s="3">
        <v>46191</v>
      </c>
    </row>
    <row r="756" spans="1:12">
      <c r="A756" s="2" t="s">
        <v>1336</v>
      </c>
      <c r="B756" s="3">
        <v>46184</v>
      </c>
      <c r="C756" s="2" t="s">
        <v>1194</v>
      </c>
      <c r="D756" s="2" t="s">
        <v>71</v>
      </c>
      <c r="E756" s="2" t="s">
        <v>43</v>
      </c>
      <c r="F756" s="2" t="s">
        <v>3</v>
      </c>
      <c r="G756" s="4">
        <v>117500</v>
      </c>
      <c r="H756" s="5">
        <v>5.8599999999999999E-2</v>
      </c>
      <c r="I756" s="2">
        <v>36</v>
      </c>
      <c r="J756" s="2" t="s">
        <v>94</v>
      </c>
      <c r="K756" s="2" t="s">
        <v>45</v>
      </c>
      <c r="L756" s="3">
        <v>46197</v>
      </c>
    </row>
    <row r="757" spans="1:12">
      <c r="A757" s="2" t="s">
        <v>1337</v>
      </c>
      <c r="B757" s="3">
        <v>46184</v>
      </c>
      <c r="C757" s="2" t="s">
        <v>715</v>
      </c>
      <c r="D757" s="2" t="s">
        <v>20</v>
      </c>
      <c r="E757" s="2" t="s">
        <v>15</v>
      </c>
      <c r="F757" s="2" t="s">
        <v>31</v>
      </c>
      <c r="G757" s="4">
        <v>25000</v>
      </c>
      <c r="H757" s="5">
        <v>5.8799999999999998E-2</v>
      </c>
      <c r="I757" s="2">
        <v>60</v>
      </c>
      <c r="J757" s="2" t="s">
        <v>22</v>
      </c>
      <c r="K757" s="2" t="s">
        <v>17</v>
      </c>
      <c r="L757" s="3">
        <v>46186</v>
      </c>
    </row>
    <row r="758" spans="1:12">
      <c r="A758" s="2" t="s">
        <v>1338</v>
      </c>
      <c r="B758" s="3">
        <v>46184</v>
      </c>
      <c r="C758" s="2" t="s">
        <v>1339</v>
      </c>
      <c r="D758" s="2" t="s">
        <v>71</v>
      </c>
      <c r="E758" s="2" t="s">
        <v>30</v>
      </c>
      <c r="F758" s="2" t="s">
        <v>31</v>
      </c>
      <c r="G758" s="4">
        <v>9300</v>
      </c>
      <c r="H758" s="5">
        <v>4.2299999999999997E-2</v>
      </c>
      <c r="I758" s="2">
        <v>36</v>
      </c>
      <c r="J758" s="2" t="s">
        <v>72</v>
      </c>
      <c r="K758" s="2" t="s">
        <v>45</v>
      </c>
      <c r="L758" s="3">
        <v>46188</v>
      </c>
    </row>
    <row r="759" spans="1:12">
      <c r="A759" s="2" t="s">
        <v>1340</v>
      </c>
      <c r="B759" s="3">
        <v>46184</v>
      </c>
      <c r="C759" s="2" t="s">
        <v>89</v>
      </c>
      <c r="D759" s="2" t="s">
        <v>14</v>
      </c>
      <c r="E759" s="2" t="s">
        <v>15</v>
      </c>
      <c r="F759" s="2" t="s">
        <v>3</v>
      </c>
      <c r="G759" s="4">
        <v>23300</v>
      </c>
      <c r="H759" s="5">
        <v>5.62E-2</v>
      </c>
      <c r="I759" s="2">
        <v>60</v>
      </c>
      <c r="J759" s="2" t="s">
        <v>48</v>
      </c>
      <c r="K759" s="2" t="s">
        <v>17</v>
      </c>
      <c r="L759" s="3">
        <v>46188</v>
      </c>
    </row>
    <row r="760" spans="1:12">
      <c r="A760" s="2" t="s">
        <v>1341</v>
      </c>
      <c r="B760" s="3">
        <v>46185</v>
      </c>
      <c r="C760" s="2" t="s">
        <v>1229</v>
      </c>
      <c r="D760" s="2" t="s">
        <v>29</v>
      </c>
      <c r="E760" s="2" t="s">
        <v>157</v>
      </c>
      <c r="F760" s="2" t="s">
        <v>3</v>
      </c>
      <c r="G760" s="4">
        <v>17700</v>
      </c>
      <c r="H760" s="5">
        <v>6.3200000000000006E-2</v>
      </c>
      <c r="I760" s="2">
        <v>24</v>
      </c>
      <c r="J760" s="2" t="s">
        <v>123</v>
      </c>
      <c r="K760" s="2" t="s">
        <v>17</v>
      </c>
      <c r="L760" s="3">
        <v>46186</v>
      </c>
    </row>
    <row r="761" spans="1:12">
      <c r="A761" s="2" t="s">
        <v>1342</v>
      </c>
      <c r="B761" s="3">
        <v>46185</v>
      </c>
      <c r="C761" s="2" t="s">
        <v>1343</v>
      </c>
      <c r="D761" s="2" t="s">
        <v>20</v>
      </c>
      <c r="E761" s="2" t="s">
        <v>30</v>
      </c>
      <c r="F761" s="2" t="s">
        <v>31</v>
      </c>
      <c r="G761" s="4">
        <v>10100</v>
      </c>
      <c r="H761" s="5">
        <v>4.5100000000000001E-2</v>
      </c>
      <c r="I761" s="2">
        <v>36</v>
      </c>
      <c r="J761" s="2" t="s">
        <v>22</v>
      </c>
      <c r="K761" s="2" t="s">
        <v>17</v>
      </c>
      <c r="L761" s="3">
        <v>46188</v>
      </c>
    </row>
    <row r="762" spans="1:12">
      <c r="A762" s="2" t="s">
        <v>1344</v>
      </c>
      <c r="B762" s="3">
        <v>46185</v>
      </c>
      <c r="C762" s="2" t="s">
        <v>1345</v>
      </c>
      <c r="D762" s="2" t="s">
        <v>14</v>
      </c>
      <c r="E762" s="2" t="s">
        <v>43</v>
      </c>
      <c r="F762" s="2" t="s">
        <v>3</v>
      </c>
      <c r="G762" s="4">
        <v>92600</v>
      </c>
      <c r="H762" s="5">
        <v>7.6200000000000004E-2</v>
      </c>
      <c r="I762" s="2">
        <v>84</v>
      </c>
      <c r="J762" s="2" t="s">
        <v>48</v>
      </c>
      <c r="K762" s="2" t="s">
        <v>17</v>
      </c>
      <c r="L762" s="3">
        <v>46196</v>
      </c>
    </row>
    <row r="763" spans="1:12">
      <c r="A763" s="2" t="s">
        <v>1346</v>
      </c>
      <c r="B763" s="3">
        <v>46185</v>
      </c>
      <c r="C763" s="2" t="s">
        <v>819</v>
      </c>
      <c r="D763" s="2" t="s">
        <v>14</v>
      </c>
      <c r="E763" s="2" t="s">
        <v>43</v>
      </c>
      <c r="F763" s="2" t="s">
        <v>31</v>
      </c>
      <c r="G763" s="4">
        <v>60700</v>
      </c>
      <c r="H763" s="5">
        <v>6.8500000000000005E-2</v>
      </c>
      <c r="I763" s="2">
        <v>36</v>
      </c>
      <c r="J763" s="2" t="s">
        <v>16</v>
      </c>
      <c r="K763" s="2" t="s">
        <v>17</v>
      </c>
      <c r="L763" s="3">
        <v>46201</v>
      </c>
    </row>
    <row r="764" spans="1:12">
      <c r="A764" s="2" t="s">
        <v>1347</v>
      </c>
      <c r="B764" s="3">
        <v>46186</v>
      </c>
      <c r="C764" s="2" t="s">
        <v>649</v>
      </c>
      <c r="D764" s="2" t="s">
        <v>14</v>
      </c>
      <c r="E764" s="2" t="s">
        <v>15</v>
      </c>
      <c r="F764" s="2" t="s">
        <v>3</v>
      </c>
      <c r="G764" s="4">
        <v>16200</v>
      </c>
      <c r="H764" s="5">
        <v>5.45E-2</v>
      </c>
      <c r="I764" s="2">
        <v>48</v>
      </c>
      <c r="J764" s="2" t="s">
        <v>48</v>
      </c>
      <c r="K764" s="2" t="s">
        <v>17</v>
      </c>
      <c r="L764" s="3">
        <v>46192</v>
      </c>
    </row>
    <row r="765" spans="1:12">
      <c r="A765" s="2" t="s">
        <v>1348</v>
      </c>
      <c r="B765" s="3">
        <v>46186</v>
      </c>
      <c r="C765" s="2" t="s">
        <v>339</v>
      </c>
      <c r="D765" s="2" t="s">
        <v>20</v>
      </c>
      <c r="E765" s="2" t="s">
        <v>15</v>
      </c>
      <c r="F765" s="2" t="s">
        <v>3</v>
      </c>
      <c r="G765" s="4">
        <v>17000</v>
      </c>
      <c r="H765" s="5">
        <v>6.0400000000000002E-2</v>
      </c>
      <c r="I765" s="2">
        <v>60</v>
      </c>
      <c r="J765" s="2" t="s">
        <v>44</v>
      </c>
      <c r="K765" s="2" t="s">
        <v>17</v>
      </c>
      <c r="L765" s="3">
        <v>46193</v>
      </c>
    </row>
    <row r="766" spans="1:12">
      <c r="A766" s="2" t="s">
        <v>1349</v>
      </c>
      <c r="B766" s="3">
        <v>46186</v>
      </c>
      <c r="C766" s="2" t="s">
        <v>1350</v>
      </c>
      <c r="D766" s="2" t="s">
        <v>20</v>
      </c>
      <c r="E766" s="2" t="s">
        <v>21</v>
      </c>
      <c r="F766" s="2" t="s">
        <v>31</v>
      </c>
      <c r="G766" s="4">
        <v>110400</v>
      </c>
      <c r="H766" s="5">
        <v>4.1000000000000002E-2</v>
      </c>
      <c r="I766" s="2">
        <v>300</v>
      </c>
      <c r="J766" s="2" t="s">
        <v>22</v>
      </c>
      <c r="K766" s="2" t="s">
        <v>45</v>
      </c>
      <c r="L766" s="3">
        <v>46195</v>
      </c>
    </row>
    <row r="767" spans="1:12">
      <c r="A767" s="2" t="s">
        <v>1351</v>
      </c>
      <c r="B767" s="3">
        <v>46186</v>
      </c>
      <c r="C767" s="2" t="s">
        <v>722</v>
      </c>
      <c r="D767" s="2" t="s">
        <v>29</v>
      </c>
      <c r="E767" s="2" t="s">
        <v>30</v>
      </c>
      <c r="F767" s="2" t="s">
        <v>31</v>
      </c>
      <c r="G767" s="4">
        <v>17800</v>
      </c>
      <c r="H767" s="5">
        <v>4.7300000000000002E-2</v>
      </c>
      <c r="I767" s="2">
        <v>48</v>
      </c>
      <c r="J767" s="2" t="s">
        <v>123</v>
      </c>
      <c r="K767" s="2" t="s">
        <v>17</v>
      </c>
      <c r="L767" s="3">
        <v>46190</v>
      </c>
    </row>
    <row r="768" spans="1:12">
      <c r="A768" s="2" t="s">
        <v>1352</v>
      </c>
      <c r="B768" s="3">
        <v>46187</v>
      </c>
      <c r="C768" s="2" t="s">
        <v>1165</v>
      </c>
      <c r="D768" s="2" t="s">
        <v>20</v>
      </c>
      <c r="E768" s="2" t="s">
        <v>15</v>
      </c>
      <c r="F768" s="2" t="s">
        <v>3</v>
      </c>
      <c r="G768" s="4">
        <v>5700</v>
      </c>
      <c r="H768" s="5">
        <v>6.54E-2</v>
      </c>
      <c r="I768" s="2">
        <v>24</v>
      </c>
      <c r="J768" s="2" t="s">
        <v>22</v>
      </c>
      <c r="K768" s="2" t="s">
        <v>17</v>
      </c>
      <c r="L768" s="3">
        <v>46188</v>
      </c>
    </row>
    <row r="769" spans="1:12">
      <c r="A769" s="2" t="s">
        <v>1353</v>
      </c>
      <c r="B769" s="3">
        <v>46187</v>
      </c>
      <c r="C769" s="2" t="s">
        <v>967</v>
      </c>
      <c r="D769" s="2" t="s">
        <v>29</v>
      </c>
      <c r="E769" s="2" t="s">
        <v>30</v>
      </c>
      <c r="F769" s="2" t="s">
        <v>31</v>
      </c>
      <c r="G769" s="4">
        <v>10100</v>
      </c>
      <c r="H769" s="5">
        <v>3.7199999999999997E-2</v>
      </c>
      <c r="I769" s="2">
        <v>36</v>
      </c>
      <c r="J769" s="2" t="s">
        <v>32</v>
      </c>
      <c r="K769" s="2" t="s">
        <v>17</v>
      </c>
      <c r="L769" s="3">
        <v>46189</v>
      </c>
    </row>
    <row r="770" spans="1:12">
      <c r="A770" s="2" t="s">
        <v>1354</v>
      </c>
      <c r="B770" s="3">
        <v>46187</v>
      </c>
      <c r="C770" s="2" t="s">
        <v>748</v>
      </c>
      <c r="D770" s="2" t="s">
        <v>71</v>
      </c>
      <c r="E770" s="2" t="s">
        <v>21</v>
      </c>
      <c r="F770" s="2" t="s">
        <v>3</v>
      </c>
      <c r="G770" s="4">
        <v>180400</v>
      </c>
      <c r="H770" s="5">
        <v>3.4500000000000003E-2</v>
      </c>
      <c r="I770" s="2">
        <v>300</v>
      </c>
      <c r="J770" s="2" t="s">
        <v>101</v>
      </c>
      <c r="K770" s="2" t="s">
        <v>17</v>
      </c>
      <c r="L770" s="3">
        <v>46212</v>
      </c>
    </row>
    <row r="771" spans="1:12">
      <c r="A771" s="2" t="s">
        <v>1355</v>
      </c>
      <c r="B771" s="3">
        <v>46188</v>
      </c>
      <c r="C771" s="2" t="s">
        <v>1209</v>
      </c>
      <c r="D771" s="2" t="s">
        <v>14</v>
      </c>
      <c r="E771" s="2" t="s">
        <v>15</v>
      </c>
      <c r="F771" s="2" t="s">
        <v>31</v>
      </c>
      <c r="G771" s="4">
        <v>25000</v>
      </c>
      <c r="H771" s="5">
        <v>6.2799999999999995E-2</v>
      </c>
      <c r="I771" s="2">
        <v>60</v>
      </c>
      <c r="J771" s="2" t="s">
        <v>48</v>
      </c>
      <c r="K771" s="2" t="s">
        <v>45</v>
      </c>
      <c r="L771" s="3">
        <v>46189</v>
      </c>
    </row>
    <row r="772" spans="1:12">
      <c r="A772" s="2" t="s">
        <v>1356</v>
      </c>
      <c r="B772" s="3">
        <v>46188</v>
      </c>
      <c r="C772" s="2" t="s">
        <v>1357</v>
      </c>
      <c r="D772" s="2" t="s">
        <v>14</v>
      </c>
      <c r="E772" s="2" t="s">
        <v>15</v>
      </c>
      <c r="F772" s="2" t="s">
        <v>3</v>
      </c>
      <c r="G772" s="4">
        <v>11200</v>
      </c>
      <c r="H772" s="5">
        <v>6.3799999999999996E-2</v>
      </c>
      <c r="I772" s="2">
        <v>60</v>
      </c>
      <c r="J772" s="2" t="s">
        <v>48</v>
      </c>
      <c r="K772" s="2" t="s">
        <v>17</v>
      </c>
      <c r="L772" s="3">
        <v>46195</v>
      </c>
    </row>
    <row r="773" spans="1:12">
      <c r="A773" s="2" t="s">
        <v>1358</v>
      </c>
      <c r="B773" s="3">
        <v>46188</v>
      </c>
      <c r="C773" s="2" t="s">
        <v>1359</v>
      </c>
      <c r="D773" s="2" t="s">
        <v>29</v>
      </c>
      <c r="E773" s="2" t="s">
        <v>1360</v>
      </c>
      <c r="F773" s="2" t="s">
        <v>3</v>
      </c>
      <c r="G773" s="4">
        <v>16500</v>
      </c>
      <c r="H773" s="5">
        <v>4.24E-2</v>
      </c>
      <c r="I773" s="2">
        <v>48</v>
      </c>
      <c r="J773" s="2" t="s">
        <v>32</v>
      </c>
      <c r="K773" s="2" t="s">
        <v>17</v>
      </c>
      <c r="L773" s="3">
        <v>46189</v>
      </c>
    </row>
    <row r="774" spans="1:12">
      <c r="A774" s="2" t="s">
        <v>1361</v>
      </c>
      <c r="B774" s="3">
        <v>46188</v>
      </c>
      <c r="C774" s="2" t="s">
        <v>443</v>
      </c>
      <c r="D774" s="2" t="s">
        <v>20</v>
      </c>
      <c r="E774" s="2" t="s">
        <v>30</v>
      </c>
      <c r="F774" s="2" t="s">
        <v>3</v>
      </c>
      <c r="G774" s="4">
        <v>13000</v>
      </c>
      <c r="H774" s="5">
        <v>4.3999999999999997E-2</v>
      </c>
      <c r="I774" s="2">
        <v>48</v>
      </c>
      <c r="J774" s="2" t="s">
        <v>44</v>
      </c>
      <c r="K774" s="2" t="s">
        <v>17</v>
      </c>
      <c r="L774" s="3">
        <v>46191</v>
      </c>
    </row>
    <row r="775" spans="1:12">
      <c r="A775" s="2" t="s">
        <v>1362</v>
      </c>
      <c r="B775" s="3">
        <v>46189</v>
      </c>
      <c r="C775" s="2" t="s">
        <v>1363</v>
      </c>
      <c r="D775" s="2" t="s">
        <v>20</v>
      </c>
      <c r="E775" s="2" t="s">
        <v>15</v>
      </c>
      <c r="F775" s="2" t="s">
        <v>31</v>
      </c>
      <c r="G775" s="4">
        <v>13800</v>
      </c>
      <c r="H775" s="5">
        <v>5.3400000000000003E-2</v>
      </c>
      <c r="I775" s="2">
        <v>12</v>
      </c>
      <c r="J775" s="2" t="s">
        <v>22</v>
      </c>
      <c r="K775" s="2" t="s">
        <v>45</v>
      </c>
      <c r="L775" s="3">
        <v>46190</v>
      </c>
    </row>
    <row r="776" spans="1:12">
      <c r="A776" s="2" t="s">
        <v>1364</v>
      </c>
      <c r="B776" s="3">
        <v>46189</v>
      </c>
      <c r="C776" s="2" t="s">
        <v>783</v>
      </c>
      <c r="D776" s="2" t="s">
        <v>14</v>
      </c>
      <c r="E776" s="2" t="s">
        <v>15</v>
      </c>
      <c r="F776" s="2" t="s">
        <v>3</v>
      </c>
      <c r="G776" s="4">
        <v>4200</v>
      </c>
      <c r="H776" s="5">
        <v>6.6699999999999995E-2</v>
      </c>
      <c r="I776" s="2">
        <v>36</v>
      </c>
      <c r="J776" s="2" t="s">
        <v>16</v>
      </c>
      <c r="K776" s="2" t="s">
        <v>17</v>
      </c>
      <c r="L776" s="3">
        <v>46191</v>
      </c>
    </row>
    <row r="777" spans="1:12">
      <c r="A777" s="2" t="s">
        <v>1365</v>
      </c>
      <c r="B777" s="3">
        <v>46189</v>
      </c>
      <c r="C777" s="2" t="s">
        <v>1063</v>
      </c>
      <c r="D777" s="2" t="s">
        <v>14</v>
      </c>
      <c r="E777" s="2" t="s">
        <v>21</v>
      </c>
      <c r="F777" s="2" t="s">
        <v>3</v>
      </c>
      <c r="G777" s="4">
        <v>123800</v>
      </c>
      <c r="H777" s="5">
        <v>4.1099999999999998E-2</v>
      </c>
      <c r="I777" s="2">
        <v>240</v>
      </c>
      <c r="J777" s="2" t="s">
        <v>48</v>
      </c>
      <c r="K777" s="2" t="s">
        <v>17</v>
      </c>
      <c r="L777" s="3">
        <v>46218</v>
      </c>
    </row>
    <row r="778" spans="1:12">
      <c r="A778" s="2" t="s">
        <v>1366</v>
      </c>
      <c r="B778" s="3">
        <v>46190</v>
      </c>
      <c r="C778" s="2" t="s">
        <v>1345</v>
      </c>
      <c r="D778" s="2" t="s">
        <v>71</v>
      </c>
      <c r="E778" s="2" t="s">
        <v>15</v>
      </c>
      <c r="F778" s="2" t="s">
        <v>147</v>
      </c>
      <c r="G778" s="4">
        <v>3700</v>
      </c>
      <c r="H778" s="5">
        <v>6.8699999999999997E-2</v>
      </c>
      <c r="I778" s="2">
        <v>12</v>
      </c>
      <c r="J778" s="2" t="s">
        <v>101</v>
      </c>
      <c r="K778" s="2" t="s">
        <v>17</v>
      </c>
      <c r="L778" s="3">
        <v>46198</v>
      </c>
    </row>
    <row r="779" spans="1:12">
      <c r="A779" s="2" t="s">
        <v>1367</v>
      </c>
      <c r="B779" s="3">
        <v>46190</v>
      </c>
      <c r="C779" s="2" t="s">
        <v>938</v>
      </c>
      <c r="D779" s="2" t="s">
        <v>71</v>
      </c>
      <c r="E779" s="2" t="s">
        <v>15</v>
      </c>
      <c r="F779" s="2" t="s">
        <v>3</v>
      </c>
      <c r="G779" s="4">
        <v>23400</v>
      </c>
      <c r="H779" s="5">
        <v>6.8400000000000002E-2</v>
      </c>
      <c r="I779" s="2">
        <v>36</v>
      </c>
      <c r="J779" s="2" t="s">
        <v>72</v>
      </c>
      <c r="K779" s="2" t="s">
        <v>45</v>
      </c>
      <c r="L779" s="3">
        <v>46197</v>
      </c>
    </row>
    <row r="780" spans="1:12">
      <c r="A780" s="2" t="s">
        <v>1368</v>
      </c>
      <c r="B780" s="3">
        <v>46190</v>
      </c>
      <c r="C780" s="2" t="s">
        <v>1369</v>
      </c>
      <c r="D780" s="2" t="s">
        <v>29</v>
      </c>
      <c r="E780" s="2" t="s">
        <v>43</v>
      </c>
      <c r="F780" s="2" t="s">
        <v>3</v>
      </c>
      <c r="G780" s="4">
        <v>64100</v>
      </c>
      <c r="H780" s="5">
        <v>6.08E-2</v>
      </c>
      <c r="I780" s="2">
        <v>36</v>
      </c>
      <c r="J780" s="2" t="s">
        <v>32</v>
      </c>
      <c r="K780" s="2" t="s">
        <v>45</v>
      </c>
      <c r="L780" s="3">
        <v>46204</v>
      </c>
    </row>
    <row r="781" spans="1:12">
      <c r="A781" s="2" t="s">
        <v>1370</v>
      </c>
      <c r="B781" s="3">
        <v>46190</v>
      </c>
      <c r="C781" s="2" t="s">
        <v>1371</v>
      </c>
      <c r="D781" s="2" t="s">
        <v>29</v>
      </c>
      <c r="E781" s="2" t="s">
        <v>43</v>
      </c>
      <c r="F781" s="2" t="s">
        <v>3</v>
      </c>
      <c r="G781" s="4">
        <v>45600</v>
      </c>
      <c r="H781" s="5">
        <v>6.7299999999999999E-2</v>
      </c>
      <c r="I781" s="2">
        <v>60</v>
      </c>
      <c r="J781" s="2" t="s">
        <v>61</v>
      </c>
      <c r="K781" s="2" t="s">
        <v>45</v>
      </c>
      <c r="L781" s="3">
        <v>46200</v>
      </c>
    </row>
    <row r="782" spans="1:12">
      <c r="A782" s="2" t="s">
        <v>1372</v>
      </c>
      <c r="B782" s="3">
        <v>46190</v>
      </c>
      <c r="C782" s="2" t="s">
        <v>993</v>
      </c>
      <c r="D782" s="2" t="s">
        <v>14</v>
      </c>
      <c r="E782" s="2" t="s">
        <v>30</v>
      </c>
      <c r="F782" s="2" t="s">
        <v>31</v>
      </c>
      <c r="G782" s="4">
        <v>16400</v>
      </c>
      <c r="H782" s="5">
        <v>3.6600000000000001E-2</v>
      </c>
      <c r="I782" s="2">
        <v>60</v>
      </c>
      <c r="J782" s="2" t="s">
        <v>48</v>
      </c>
      <c r="K782" s="2" t="s">
        <v>17</v>
      </c>
      <c r="L782" s="3">
        <v>46191</v>
      </c>
    </row>
    <row r="783" spans="1:12">
      <c r="A783" s="2" t="s">
        <v>1373</v>
      </c>
      <c r="B783" s="3">
        <v>46190</v>
      </c>
      <c r="C783" s="2" t="s">
        <v>1374</v>
      </c>
      <c r="D783" s="2" t="s">
        <v>71</v>
      </c>
      <c r="E783" s="2" t="s">
        <v>43</v>
      </c>
      <c r="F783" s="2" t="s">
        <v>3</v>
      </c>
      <c r="G783" s="4">
        <v>110200</v>
      </c>
      <c r="H783" s="5">
        <v>6.1699999999999998E-2</v>
      </c>
      <c r="I783" s="2">
        <v>84</v>
      </c>
      <c r="J783" s="2" t="s">
        <v>72</v>
      </c>
      <c r="K783" s="2" t="s">
        <v>45</v>
      </c>
      <c r="L783" s="3">
        <v>46213</v>
      </c>
    </row>
    <row r="784" spans="1:12">
      <c r="A784" s="2" t="s">
        <v>1375</v>
      </c>
      <c r="B784" s="3">
        <v>46190</v>
      </c>
      <c r="C784" s="2" t="s">
        <v>1376</v>
      </c>
      <c r="D784" s="2" t="s">
        <v>20</v>
      </c>
      <c r="E784" s="2" t="s">
        <v>21</v>
      </c>
      <c r="F784" s="2" t="s">
        <v>3</v>
      </c>
      <c r="G784" s="4">
        <v>225400</v>
      </c>
      <c r="H784" s="5">
        <v>3.2399999999999998E-2</v>
      </c>
      <c r="I784" s="2">
        <v>300</v>
      </c>
      <c r="J784" s="2" t="s">
        <v>37</v>
      </c>
      <c r="K784" s="2" t="s">
        <v>17</v>
      </c>
      <c r="L784" s="3">
        <v>46220</v>
      </c>
    </row>
    <row r="785" spans="1:12">
      <c r="A785" s="2" t="s">
        <v>1377</v>
      </c>
      <c r="B785" s="3">
        <v>46191</v>
      </c>
      <c r="C785" s="2" t="s">
        <v>76</v>
      </c>
      <c r="D785" s="2" t="s">
        <v>20</v>
      </c>
      <c r="E785" s="2" t="s">
        <v>43</v>
      </c>
      <c r="F785" s="2" t="s">
        <v>3</v>
      </c>
      <c r="G785" s="4">
        <v>84400</v>
      </c>
      <c r="H785" s="5">
        <v>5.79E-2</v>
      </c>
      <c r="I785" s="2">
        <v>60</v>
      </c>
      <c r="J785" s="2" t="s">
        <v>44</v>
      </c>
      <c r="K785" s="2" t="s">
        <v>45</v>
      </c>
      <c r="L785" s="3">
        <v>46204</v>
      </c>
    </row>
    <row r="786" spans="1:12">
      <c r="A786" s="2" t="s">
        <v>1378</v>
      </c>
      <c r="B786" s="3">
        <v>46191</v>
      </c>
      <c r="C786" s="2" t="s">
        <v>290</v>
      </c>
      <c r="D786" s="2" t="s">
        <v>14</v>
      </c>
      <c r="E786" s="2" t="s">
        <v>43</v>
      </c>
      <c r="F786" s="2" t="s">
        <v>31</v>
      </c>
      <c r="G786" s="4">
        <v>166600</v>
      </c>
      <c r="H786" s="5">
        <v>7.1800000000000003E-2</v>
      </c>
      <c r="I786" s="2">
        <v>24</v>
      </c>
      <c r="J786" s="2" t="s">
        <v>48</v>
      </c>
      <c r="K786" s="2" t="s">
        <v>45</v>
      </c>
      <c r="L786" s="3">
        <v>46200</v>
      </c>
    </row>
    <row r="787" spans="1:12">
      <c r="A787" s="2" t="s">
        <v>1379</v>
      </c>
      <c r="B787" s="3">
        <v>46191</v>
      </c>
      <c r="C787" s="2" t="s">
        <v>1380</v>
      </c>
      <c r="D787" s="2" t="s">
        <v>14</v>
      </c>
      <c r="E787" s="2" t="s">
        <v>21</v>
      </c>
      <c r="F787" s="2" t="s">
        <v>31</v>
      </c>
      <c r="G787" s="4">
        <v>242200</v>
      </c>
      <c r="H787" s="5">
        <v>4.1700000000000001E-2</v>
      </c>
      <c r="I787" s="2">
        <v>300</v>
      </c>
      <c r="J787" s="2" t="s">
        <v>48</v>
      </c>
      <c r="K787" s="2" t="s">
        <v>17</v>
      </c>
      <c r="L787" s="3">
        <v>46207</v>
      </c>
    </row>
    <row r="788" spans="1:12">
      <c r="A788" s="2" t="s">
        <v>1381</v>
      </c>
      <c r="B788" s="3">
        <v>46191</v>
      </c>
      <c r="C788" s="2" t="s">
        <v>1382</v>
      </c>
      <c r="D788" s="2" t="s">
        <v>25</v>
      </c>
      <c r="E788" s="2" t="s">
        <v>15</v>
      </c>
      <c r="F788" s="2" t="s">
        <v>31</v>
      </c>
      <c r="G788" s="4">
        <v>15200</v>
      </c>
      <c r="H788" s="5">
        <v>5.5399999999999998E-2</v>
      </c>
      <c r="I788" s="2">
        <v>24</v>
      </c>
      <c r="J788" s="2" t="s">
        <v>181</v>
      </c>
      <c r="K788" s="2" t="s">
        <v>17</v>
      </c>
      <c r="L788" s="3">
        <v>46195</v>
      </c>
    </row>
    <row r="789" spans="1:12">
      <c r="A789" s="2" t="s">
        <v>1383</v>
      </c>
      <c r="B789" s="3">
        <v>46191</v>
      </c>
      <c r="C789" s="2" t="s">
        <v>462</v>
      </c>
      <c r="D789" s="2" t="s">
        <v>14</v>
      </c>
      <c r="E789" s="2" t="s">
        <v>30</v>
      </c>
      <c r="F789" s="2" t="s">
        <v>3</v>
      </c>
      <c r="G789" s="4">
        <v>12400</v>
      </c>
      <c r="H789" s="5">
        <v>4.53E-2</v>
      </c>
      <c r="I789" s="2">
        <v>60</v>
      </c>
      <c r="J789" s="2" t="s">
        <v>40</v>
      </c>
      <c r="K789" s="2" t="s">
        <v>17</v>
      </c>
      <c r="L789" s="3">
        <v>46195</v>
      </c>
    </row>
    <row r="790" spans="1:12">
      <c r="A790" s="2" t="s">
        <v>1384</v>
      </c>
      <c r="B790" s="3">
        <v>46191</v>
      </c>
      <c r="C790" s="2" t="s">
        <v>1385</v>
      </c>
      <c r="D790" s="2" t="s">
        <v>54</v>
      </c>
      <c r="E790" s="2" t="s">
        <v>30</v>
      </c>
      <c r="F790" s="2" t="s">
        <v>31</v>
      </c>
      <c r="G790" s="4">
        <v>13100</v>
      </c>
      <c r="H790" s="5">
        <v>3.6799999999999999E-2</v>
      </c>
      <c r="I790" s="2">
        <v>60</v>
      </c>
      <c r="J790" s="2" t="s">
        <v>148</v>
      </c>
      <c r="K790" s="2" t="s">
        <v>45</v>
      </c>
      <c r="L790" s="3">
        <v>46192</v>
      </c>
    </row>
    <row r="791" spans="1:12">
      <c r="A791" s="2" t="s">
        <v>1386</v>
      </c>
      <c r="B791" s="3">
        <v>46192</v>
      </c>
      <c r="C791" s="2" t="s">
        <v>404</v>
      </c>
      <c r="D791" s="2" t="s">
        <v>20</v>
      </c>
      <c r="E791" s="2" t="s">
        <v>15</v>
      </c>
      <c r="F791" s="2" t="s">
        <v>3</v>
      </c>
      <c r="G791" s="4">
        <v>24700</v>
      </c>
      <c r="H791" s="5">
        <v>5.3699999999999998E-2</v>
      </c>
      <c r="I791" s="2">
        <v>36</v>
      </c>
      <c r="J791" s="2" t="s">
        <v>22</v>
      </c>
      <c r="K791" s="2" t="s">
        <v>17</v>
      </c>
      <c r="L791" s="3">
        <v>46197</v>
      </c>
    </row>
    <row r="792" spans="1:12">
      <c r="A792" s="2" t="s">
        <v>1387</v>
      </c>
      <c r="B792" s="3">
        <v>46192</v>
      </c>
      <c r="C792" s="2" t="s">
        <v>519</v>
      </c>
      <c r="D792" s="2" t="s">
        <v>20</v>
      </c>
      <c r="E792" s="2" t="s">
        <v>30</v>
      </c>
      <c r="F792" s="2" t="s">
        <v>31</v>
      </c>
      <c r="G792" s="4">
        <v>7700</v>
      </c>
      <c r="H792" s="5">
        <v>3.9699999999999999E-2</v>
      </c>
      <c r="I792" s="2">
        <v>60</v>
      </c>
      <c r="J792" s="2" t="s">
        <v>22</v>
      </c>
      <c r="K792" s="2" t="s">
        <v>17</v>
      </c>
      <c r="L792" s="3">
        <v>46196</v>
      </c>
    </row>
    <row r="793" spans="1:12">
      <c r="A793" s="2" t="s">
        <v>1388</v>
      </c>
      <c r="B793" s="3">
        <v>46192</v>
      </c>
      <c r="C793" s="2" t="s">
        <v>1389</v>
      </c>
      <c r="D793" s="2" t="s">
        <v>20</v>
      </c>
      <c r="E793" s="2" t="s">
        <v>30</v>
      </c>
      <c r="F793" s="2" t="s">
        <v>3</v>
      </c>
      <c r="G793" s="4">
        <v>17000</v>
      </c>
      <c r="H793" s="5">
        <v>4.0899999999999999E-2</v>
      </c>
      <c r="I793" s="2">
        <v>48</v>
      </c>
      <c r="J793" s="2" t="s">
        <v>22</v>
      </c>
      <c r="K793" s="2" t="s">
        <v>17</v>
      </c>
      <c r="L793" s="3">
        <v>46195</v>
      </c>
    </row>
    <row r="794" spans="1:12">
      <c r="A794" s="2" t="s">
        <v>1390</v>
      </c>
      <c r="B794" s="3">
        <v>46192</v>
      </c>
      <c r="C794" s="2" t="s">
        <v>456</v>
      </c>
      <c r="D794" s="2" t="s">
        <v>54</v>
      </c>
      <c r="E794" s="2" t="s">
        <v>15</v>
      </c>
      <c r="F794" s="2" t="s">
        <v>55</v>
      </c>
      <c r="G794" s="4">
        <v>4200</v>
      </c>
      <c r="H794" s="5">
        <v>6.6100000000000006E-2</v>
      </c>
      <c r="I794" s="2">
        <v>24</v>
      </c>
      <c r="J794" s="2" t="s">
        <v>186</v>
      </c>
      <c r="K794" s="2" t="s">
        <v>45</v>
      </c>
      <c r="L794" s="3">
        <v>46198</v>
      </c>
    </row>
    <row r="795" spans="1:12">
      <c r="A795" s="2" t="s">
        <v>1391</v>
      </c>
      <c r="B795" s="3">
        <v>46192</v>
      </c>
      <c r="C795" s="2" t="s">
        <v>816</v>
      </c>
      <c r="D795" s="2" t="s">
        <v>25</v>
      </c>
      <c r="E795" s="2" t="s">
        <v>43</v>
      </c>
      <c r="F795" s="2" t="s">
        <v>147</v>
      </c>
      <c r="G795" s="4">
        <v>149700</v>
      </c>
      <c r="H795" s="5">
        <v>7.6799999999999993E-2</v>
      </c>
      <c r="I795" s="2">
        <v>84</v>
      </c>
      <c r="J795" s="2" t="s">
        <v>181</v>
      </c>
      <c r="K795" s="2" t="s">
        <v>17</v>
      </c>
      <c r="L795" s="3">
        <v>46201</v>
      </c>
    </row>
    <row r="796" spans="1:12">
      <c r="A796" s="2" t="s">
        <v>1392</v>
      </c>
      <c r="B796" s="3">
        <v>46193</v>
      </c>
      <c r="C796" s="2" t="s">
        <v>932</v>
      </c>
      <c r="D796" s="2" t="s">
        <v>71</v>
      </c>
      <c r="E796" s="2" t="s">
        <v>15</v>
      </c>
      <c r="F796" s="2" t="s">
        <v>55</v>
      </c>
      <c r="G796" s="4">
        <v>11800</v>
      </c>
      <c r="H796" s="5">
        <v>6.0999999999999999E-2</v>
      </c>
      <c r="I796" s="2">
        <v>48</v>
      </c>
      <c r="J796" s="2" t="s">
        <v>101</v>
      </c>
      <c r="K796" s="2" t="s">
        <v>45</v>
      </c>
      <c r="L796" s="3">
        <v>46198</v>
      </c>
    </row>
    <row r="797" spans="1:12">
      <c r="A797" s="2" t="s">
        <v>1393</v>
      </c>
      <c r="B797" s="3">
        <v>46193</v>
      </c>
      <c r="C797" s="2" t="s">
        <v>1272</v>
      </c>
      <c r="D797" s="2" t="s">
        <v>14</v>
      </c>
      <c r="E797" s="2" t="s">
        <v>15</v>
      </c>
      <c r="F797" s="2" t="s">
        <v>55</v>
      </c>
      <c r="G797" s="4">
        <v>14300</v>
      </c>
      <c r="H797" s="5">
        <v>5.28E-2</v>
      </c>
      <c r="I797" s="2">
        <v>12</v>
      </c>
      <c r="J797" s="2" t="s">
        <v>16</v>
      </c>
      <c r="K797" s="2" t="s">
        <v>17</v>
      </c>
      <c r="L797" s="3">
        <v>46194</v>
      </c>
    </row>
    <row r="798" spans="1:12">
      <c r="A798" s="2" t="s">
        <v>1394</v>
      </c>
      <c r="B798" s="3">
        <v>46193</v>
      </c>
      <c r="C798" s="2" t="s">
        <v>944</v>
      </c>
      <c r="D798" s="2" t="s">
        <v>54</v>
      </c>
      <c r="E798" s="2" t="s">
        <v>15</v>
      </c>
      <c r="F798" s="2" t="s">
        <v>3</v>
      </c>
      <c r="G798" s="4">
        <v>10400</v>
      </c>
      <c r="H798" s="5">
        <v>5.3800000000000001E-2</v>
      </c>
      <c r="I798" s="2">
        <v>60</v>
      </c>
      <c r="J798" s="2" t="s">
        <v>186</v>
      </c>
      <c r="K798" s="2" t="s">
        <v>45</v>
      </c>
      <c r="L798" s="3">
        <v>46195</v>
      </c>
    </row>
    <row r="799" spans="1:12">
      <c r="A799" s="2" t="s">
        <v>1395</v>
      </c>
      <c r="B799" s="3">
        <v>46194</v>
      </c>
      <c r="C799" s="2" t="s">
        <v>1396</v>
      </c>
      <c r="D799" s="2" t="s">
        <v>20</v>
      </c>
      <c r="E799" s="2" t="s">
        <v>30</v>
      </c>
      <c r="F799" s="2" t="s">
        <v>55</v>
      </c>
      <c r="G799" s="4">
        <v>11400</v>
      </c>
      <c r="H799" s="5">
        <v>3.5200000000000002E-2</v>
      </c>
      <c r="I799" s="2">
        <v>60</v>
      </c>
      <c r="J799" s="2" t="s">
        <v>37</v>
      </c>
      <c r="K799" s="2" t="s">
        <v>17</v>
      </c>
      <c r="L799" s="3">
        <v>46197</v>
      </c>
    </row>
    <row r="800" spans="1:12">
      <c r="A800" s="2" t="s">
        <v>1397</v>
      </c>
      <c r="B800" s="3">
        <v>46194</v>
      </c>
      <c r="C800" s="2" t="s">
        <v>800</v>
      </c>
      <c r="D800" s="2" t="s">
        <v>20</v>
      </c>
      <c r="E800" s="2" t="s">
        <v>30</v>
      </c>
      <c r="F800" s="2" t="s">
        <v>55</v>
      </c>
      <c r="G800" s="4">
        <v>13700</v>
      </c>
      <c r="H800" s="5">
        <v>3.5700000000000003E-2</v>
      </c>
      <c r="I800" s="2">
        <v>48</v>
      </c>
      <c r="J800" s="2" t="s">
        <v>37</v>
      </c>
      <c r="K800" s="2" t="s">
        <v>45</v>
      </c>
      <c r="L800" s="3">
        <v>46195</v>
      </c>
    </row>
    <row r="801" spans="1:12">
      <c r="A801" s="2" t="s">
        <v>1398</v>
      </c>
      <c r="B801" s="3">
        <v>46195</v>
      </c>
      <c r="C801" s="2" t="s">
        <v>893</v>
      </c>
      <c r="D801" s="2" t="s">
        <v>14</v>
      </c>
      <c r="E801" s="2" t="s">
        <v>30</v>
      </c>
      <c r="F801" s="2" t="s">
        <v>55</v>
      </c>
      <c r="G801" s="4">
        <v>13600</v>
      </c>
      <c r="H801" s="5">
        <v>4.2299999999999997E-2</v>
      </c>
      <c r="I801" s="2">
        <v>48</v>
      </c>
      <c r="J801" s="2" t="s">
        <v>16</v>
      </c>
      <c r="K801" s="2" t="s">
        <v>17</v>
      </c>
      <c r="L801" s="3">
        <v>46199</v>
      </c>
    </row>
    <row r="802" spans="1:12">
      <c r="A802" s="2" t="s">
        <v>1399</v>
      </c>
      <c r="B802" s="3">
        <v>46196</v>
      </c>
      <c r="C802" s="2" t="s">
        <v>1400</v>
      </c>
      <c r="D802" s="2" t="s">
        <v>20</v>
      </c>
      <c r="E802" s="2" t="s">
        <v>30</v>
      </c>
      <c r="F802" s="2" t="s">
        <v>3</v>
      </c>
      <c r="G802" s="4">
        <v>10700</v>
      </c>
      <c r="H802" s="5">
        <v>4.5699999999999998E-2</v>
      </c>
      <c r="I802" s="2">
        <v>36</v>
      </c>
      <c r="J802" s="2" t="s">
        <v>37</v>
      </c>
      <c r="K802" s="2" t="s">
        <v>17</v>
      </c>
      <c r="L802" s="3">
        <v>46198</v>
      </c>
    </row>
    <row r="803" spans="1:12">
      <c r="A803" s="2" t="s">
        <v>1401</v>
      </c>
      <c r="B803" s="3">
        <v>46196</v>
      </c>
      <c r="C803" s="2" t="s">
        <v>384</v>
      </c>
      <c r="D803" s="2" t="s">
        <v>14</v>
      </c>
      <c r="E803" s="2" t="s">
        <v>43</v>
      </c>
      <c r="F803" s="2" t="s">
        <v>31</v>
      </c>
      <c r="G803" s="4">
        <v>56300</v>
      </c>
      <c r="H803" s="5">
        <v>7.9200000000000007E-2</v>
      </c>
      <c r="I803" s="2">
        <v>60</v>
      </c>
      <c r="J803" s="2" t="s">
        <v>40</v>
      </c>
      <c r="K803" s="2" t="s">
        <v>17</v>
      </c>
      <c r="L803" s="3">
        <v>46217</v>
      </c>
    </row>
    <row r="804" spans="1:12">
      <c r="A804" s="2" t="s">
        <v>1402</v>
      </c>
      <c r="B804" s="3">
        <v>46196</v>
      </c>
      <c r="C804" s="2" t="s">
        <v>1154</v>
      </c>
      <c r="D804" s="2" t="s">
        <v>20</v>
      </c>
      <c r="E804" s="2" t="s">
        <v>15</v>
      </c>
      <c r="F804" s="2" t="s">
        <v>55</v>
      </c>
      <c r="G804" s="4">
        <v>25000</v>
      </c>
      <c r="H804" s="5">
        <v>0.06</v>
      </c>
      <c r="I804" s="2">
        <v>60</v>
      </c>
      <c r="J804" s="2" t="s">
        <v>37</v>
      </c>
      <c r="K804" s="2" t="s">
        <v>17</v>
      </c>
      <c r="L804" s="3">
        <v>46198</v>
      </c>
    </row>
    <row r="805" spans="1:12">
      <c r="A805" s="2" t="s">
        <v>1403</v>
      </c>
      <c r="B805" s="3">
        <v>46196</v>
      </c>
      <c r="C805" s="2" t="s">
        <v>178</v>
      </c>
      <c r="D805" s="2" t="s">
        <v>14</v>
      </c>
      <c r="E805" s="2" t="s">
        <v>15</v>
      </c>
      <c r="F805" s="2" t="s">
        <v>3</v>
      </c>
      <c r="G805" s="4">
        <v>21900</v>
      </c>
      <c r="H805" s="5">
        <v>6.3E-2</v>
      </c>
      <c r="I805" s="2">
        <v>12</v>
      </c>
      <c r="J805" s="2" t="s">
        <v>16</v>
      </c>
      <c r="K805" s="2" t="s">
        <v>45</v>
      </c>
      <c r="L805" s="3">
        <v>46202</v>
      </c>
    </row>
    <row r="806" spans="1:12">
      <c r="A806" s="2" t="s">
        <v>1404</v>
      </c>
      <c r="B806" s="3">
        <v>46196</v>
      </c>
      <c r="C806" s="2" t="s">
        <v>1405</v>
      </c>
      <c r="D806" s="2" t="s">
        <v>29</v>
      </c>
      <c r="E806" s="2" t="s">
        <v>30</v>
      </c>
      <c r="F806" s="2" t="s">
        <v>55</v>
      </c>
      <c r="G806" s="4">
        <v>7400</v>
      </c>
      <c r="H806" s="5">
        <v>4.6100000000000002E-2</v>
      </c>
      <c r="I806" s="2">
        <v>60</v>
      </c>
      <c r="J806" s="2" t="s">
        <v>32</v>
      </c>
      <c r="K806" s="2" t="s">
        <v>17</v>
      </c>
      <c r="L806" s="3">
        <v>46200</v>
      </c>
    </row>
    <row r="807" spans="1:12">
      <c r="A807" s="2" t="s">
        <v>1404</v>
      </c>
      <c r="B807" s="3">
        <v>46196</v>
      </c>
      <c r="C807" s="2" t="s">
        <v>1405</v>
      </c>
      <c r="D807" s="2" t="s">
        <v>29</v>
      </c>
      <c r="E807" s="2" t="s">
        <v>30</v>
      </c>
      <c r="F807" s="2" t="s">
        <v>55</v>
      </c>
      <c r="G807" s="4">
        <v>7400</v>
      </c>
      <c r="H807" s="5">
        <v>4.6100000000000002E-2</v>
      </c>
      <c r="I807" s="2">
        <v>60</v>
      </c>
      <c r="J807" s="2" t="s">
        <v>32</v>
      </c>
      <c r="K807" s="2" t="s">
        <v>17</v>
      </c>
      <c r="L807" s="3">
        <v>46200</v>
      </c>
    </row>
    <row r="808" spans="1:12">
      <c r="A808" s="2" t="s">
        <v>1406</v>
      </c>
      <c r="B808" s="3">
        <v>46196</v>
      </c>
      <c r="C808" s="2" t="s">
        <v>1407</v>
      </c>
      <c r="D808" s="2" t="s">
        <v>71</v>
      </c>
      <c r="E808" s="2" t="s">
        <v>43</v>
      </c>
      <c r="F808" s="2" t="s">
        <v>3</v>
      </c>
      <c r="G808" s="4">
        <v>77100</v>
      </c>
      <c r="H808" s="5">
        <v>7.7899999999999997E-2</v>
      </c>
      <c r="I808" s="2">
        <v>60</v>
      </c>
      <c r="J808" s="2" t="s">
        <v>72</v>
      </c>
      <c r="K808" s="2" t="s">
        <v>45</v>
      </c>
      <c r="L808" s="3">
        <v>46207</v>
      </c>
    </row>
    <row r="809" spans="1:12">
      <c r="A809" s="2" t="s">
        <v>1408</v>
      </c>
      <c r="B809" s="3">
        <v>46197</v>
      </c>
      <c r="C809" s="2" t="s">
        <v>1369</v>
      </c>
      <c r="D809" s="2" t="s">
        <v>29</v>
      </c>
      <c r="E809" s="2" t="s">
        <v>21</v>
      </c>
      <c r="F809" s="2" t="s">
        <v>3</v>
      </c>
      <c r="G809" s="4">
        <v>156600</v>
      </c>
      <c r="H809" s="5">
        <v>4.1000000000000002E-2</v>
      </c>
      <c r="I809" s="2">
        <v>300</v>
      </c>
      <c r="J809" s="2" t="s">
        <v>32</v>
      </c>
      <c r="K809" s="2" t="s">
        <v>17</v>
      </c>
      <c r="L809" s="3">
        <v>46226</v>
      </c>
    </row>
    <row r="810" spans="1:12">
      <c r="A810" s="2" t="s">
        <v>1409</v>
      </c>
      <c r="B810" s="3">
        <v>46197</v>
      </c>
      <c r="C810" s="2" t="s">
        <v>1410</v>
      </c>
      <c r="D810" s="2" t="s">
        <v>71</v>
      </c>
      <c r="E810" s="2" t="s">
        <v>30</v>
      </c>
      <c r="F810" s="2" t="s">
        <v>3</v>
      </c>
      <c r="G810" s="4">
        <v>17100</v>
      </c>
      <c r="H810" s="5">
        <v>3.6999999999999998E-2</v>
      </c>
      <c r="I810" s="2">
        <v>36</v>
      </c>
      <c r="J810" s="2" t="s">
        <v>101</v>
      </c>
      <c r="K810" s="2" t="s">
        <v>17</v>
      </c>
      <c r="L810" s="3">
        <v>46206</v>
      </c>
    </row>
    <row r="811" spans="1:12">
      <c r="A811" s="2" t="s">
        <v>1411</v>
      </c>
      <c r="B811" s="3">
        <v>46197</v>
      </c>
      <c r="C811" s="2" t="s">
        <v>1075</v>
      </c>
      <c r="D811" s="2" t="s">
        <v>20</v>
      </c>
      <c r="E811" s="2" t="s">
        <v>15</v>
      </c>
      <c r="F811" s="2" t="s">
        <v>3</v>
      </c>
      <c r="G811" s="4">
        <v>18900</v>
      </c>
      <c r="H811" s="5">
        <v>6.1499999999999999E-2</v>
      </c>
      <c r="I811" s="2">
        <v>36</v>
      </c>
      <c r="J811" s="2" t="s">
        <v>44</v>
      </c>
      <c r="K811" s="2" t="s">
        <v>17</v>
      </c>
      <c r="L811" s="3">
        <v>46202</v>
      </c>
    </row>
    <row r="812" spans="1:12">
      <c r="A812" s="2" t="s">
        <v>1412</v>
      </c>
      <c r="B812" s="3">
        <v>46197</v>
      </c>
      <c r="C812" s="2" t="s">
        <v>1413</v>
      </c>
      <c r="D812" s="2" t="s">
        <v>25</v>
      </c>
      <c r="E812" s="2" t="s">
        <v>21</v>
      </c>
      <c r="F812" s="2" t="s">
        <v>3</v>
      </c>
      <c r="G812" s="4">
        <v>238100</v>
      </c>
      <c r="H812" s="5">
        <v>4.4499999999999998E-2</v>
      </c>
      <c r="I812" s="2">
        <v>120</v>
      </c>
      <c r="J812" s="2" t="s">
        <v>66</v>
      </c>
      <c r="K812" s="2" t="s">
        <v>17</v>
      </c>
      <c r="L812" s="3">
        <v>46213</v>
      </c>
    </row>
    <row r="813" spans="1:12">
      <c r="A813" s="2" t="s">
        <v>1414</v>
      </c>
      <c r="B813" s="3">
        <v>46197</v>
      </c>
      <c r="C813" s="2" t="s">
        <v>1415</v>
      </c>
      <c r="D813" s="2" t="s">
        <v>29</v>
      </c>
      <c r="E813" s="2" t="s">
        <v>21</v>
      </c>
      <c r="F813" s="2" t="s">
        <v>31</v>
      </c>
      <c r="G813" s="4">
        <v>48800</v>
      </c>
      <c r="H813" s="5">
        <v>4.41E-2</v>
      </c>
      <c r="I813" s="2">
        <v>240</v>
      </c>
      <c r="J813" s="2" t="s">
        <v>123</v>
      </c>
      <c r="K813" s="2" t="s">
        <v>17</v>
      </c>
      <c r="L813" s="3">
        <v>46220</v>
      </c>
    </row>
    <row r="814" spans="1:12">
      <c r="A814" s="2" t="s">
        <v>1416</v>
      </c>
      <c r="B814" s="3">
        <v>46197</v>
      </c>
      <c r="C814" s="2" t="s">
        <v>511</v>
      </c>
      <c r="D814" s="2" t="s">
        <v>14</v>
      </c>
      <c r="E814" s="2" t="s">
        <v>15</v>
      </c>
      <c r="F814" s="2" t="s">
        <v>3</v>
      </c>
      <c r="G814" s="4">
        <v>24300</v>
      </c>
      <c r="H814" s="5">
        <v>6.2600000000000003E-2</v>
      </c>
      <c r="I814" s="2">
        <v>24</v>
      </c>
      <c r="J814" s="2" t="s">
        <v>16</v>
      </c>
      <c r="K814" s="2" t="s">
        <v>17</v>
      </c>
      <c r="L814" s="3">
        <v>46202</v>
      </c>
    </row>
    <row r="815" spans="1:12">
      <c r="A815" s="2" t="s">
        <v>1417</v>
      </c>
      <c r="B815" s="3">
        <v>46197</v>
      </c>
      <c r="C815" s="2" t="s">
        <v>451</v>
      </c>
      <c r="D815" s="2" t="s">
        <v>71</v>
      </c>
      <c r="E815" s="2" t="s">
        <v>43</v>
      </c>
      <c r="F815" s="2" t="s">
        <v>31</v>
      </c>
      <c r="G815" s="4">
        <v>87200</v>
      </c>
      <c r="H815" s="5">
        <v>7.7700000000000005E-2</v>
      </c>
      <c r="I815" s="2">
        <v>60</v>
      </c>
      <c r="J815" s="2" t="s">
        <v>101</v>
      </c>
      <c r="K815" s="2" t="s">
        <v>45</v>
      </c>
      <c r="L815" s="3">
        <v>46207</v>
      </c>
    </row>
    <row r="816" spans="1:12">
      <c r="A816" s="2" t="s">
        <v>1418</v>
      </c>
      <c r="B816" s="3">
        <v>46197</v>
      </c>
      <c r="C816" s="2" t="s">
        <v>1419</v>
      </c>
      <c r="D816" s="2" t="s">
        <v>20</v>
      </c>
      <c r="E816" s="2" t="s">
        <v>21</v>
      </c>
      <c r="F816" s="2" t="s">
        <v>3</v>
      </c>
      <c r="G816" s="4">
        <v>245500</v>
      </c>
      <c r="H816" s="5">
        <v>3.9E-2</v>
      </c>
      <c r="I816" s="2">
        <v>120</v>
      </c>
      <c r="J816" s="2" t="s">
        <v>37</v>
      </c>
      <c r="K816" s="2" t="s">
        <v>45</v>
      </c>
      <c r="L816" s="3">
        <v>46207</v>
      </c>
    </row>
    <row r="817" spans="1:12">
      <c r="A817" s="2" t="s">
        <v>1420</v>
      </c>
      <c r="B817" s="3">
        <v>46198</v>
      </c>
      <c r="C817" s="2" t="s">
        <v>1421</v>
      </c>
      <c r="D817" s="2" t="s">
        <v>20</v>
      </c>
      <c r="E817" s="2" t="s">
        <v>15</v>
      </c>
      <c r="F817" s="2" t="s">
        <v>3</v>
      </c>
      <c r="G817" s="4">
        <v>2400</v>
      </c>
      <c r="H817" s="5">
        <v>6.8900000000000003E-2</v>
      </c>
      <c r="I817" s="2">
        <v>24</v>
      </c>
      <c r="J817" s="2" t="s">
        <v>22</v>
      </c>
      <c r="K817" s="2" t="s">
        <v>17</v>
      </c>
      <c r="L817" s="3">
        <v>46203</v>
      </c>
    </row>
    <row r="818" spans="1:12">
      <c r="A818" s="2" t="s">
        <v>1422</v>
      </c>
      <c r="B818" s="3">
        <v>46198</v>
      </c>
      <c r="C818" s="2" t="s">
        <v>519</v>
      </c>
      <c r="D818" s="2" t="s">
        <v>14</v>
      </c>
      <c r="E818" s="2" t="s">
        <v>21</v>
      </c>
      <c r="F818" s="2" t="s">
        <v>31</v>
      </c>
      <c r="G818" s="4">
        <v>248500</v>
      </c>
      <c r="H818" s="5">
        <v>3.9100000000000003E-2</v>
      </c>
      <c r="I818" s="2">
        <v>180</v>
      </c>
      <c r="J818" s="2" t="s">
        <v>40</v>
      </c>
      <c r="K818" s="2" t="s">
        <v>45</v>
      </c>
      <c r="L818" s="3">
        <v>46214</v>
      </c>
    </row>
    <row r="819" spans="1:12">
      <c r="A819" s="2" t="s">
        <v>1423</v>
      </c>
      <c r="B819" s="3">
        <v>46198</v>
      </c>
      <c r="C819" s="2" t="s">
        <v>1424</v>
      </c>
      <c r="D819" s="2" t="s">
        <v>14</v>
      </c>
      <c r="E819" s="2" t="s">
        <v>30</v>
      </c>
      <c r="F819" s="2" t="s">
        <v>3</v>
      </c>
      <c r="G819" s="4">
        <v>10000</v>
      </c>
      <c r="H819" s="5">
        <v>4.5400000000000003E-2</v>
      </c>
      <c r="I819" s="2">
        <v>60</v>
      </c>
      <c r="J819" s="2" t="s">
        <v>40</v>
      </c>
      <c r="K819" s="2" t="s">
        <v>17</v>
      </c>
      <c r="L819" s="3">
        <v>46199</v>
      </c>
    </row>
    <row r="820" spans="1:12">
      <c r="A820" s="2" t="s">
        <v>1425</v>
      </c>
      <c r="B820" s="3">
        <v>46198</v>
      </c>
      <c r="C820" s="2" t="s">
        <v>451</v>
      </c>
      <c r="D820" s="2" t="s">
        <v>25</v>
      </c>
      <c r="E820" s="2" t="s">
        <v>43</v>
      </c>
      <c r="F820" s="2" t="s">
        <v>31</v>
      </c>
      <c r="G820" s="4">
        <v>44400</v>
      </c>
      <c r="H820" s="5">
        <v>5.7799999999999997E-2</v>
      </c>
      <c r="I820" s="2">
        <v>84</v>
      </c>
      <c r="J820" s="2" t="s">
        <v>66</v>
      </c>
      <c r="K820" s="2" t="s">
        <v>45</v>
      </c>
      <c r="L820" s="3">
        <v>46213</v>
      </c>
    </row>
    <row r="821" spans="1:12">
      <c r="A821" s="2" t="s">
        <v>1426</v>
      </c>
      <c r="B821" s="3">
        <v>46199</v>
      </c>
      <c r="C821" s="2" t="s">
        <v>60</v>
      </c>
      <c r="D821" s="2" t="s">
        <v>20</v>
      </c>
      <c r="E821" s="2" t="s">
        <v>30</v>
      </c>
      <c r="F821" s="2" t="s">
        <v>154</v>
      </c>
      <c r="G821" s="4">
        <v>11200</v>
      </c>
      <c r="H821" s="5">
        <v>3.9100000000000003E-2</v>
      </c>
      <c r="I821" s="2">
        <v>48</v>
      </c>
      <c r="J821" s="2" t="s">
        <v>22</v>
      </c>
      <c r="K821" s="2" t="s">
        <v>17</v>
      </c>
      <c r="L821" s="3">
        <v>46203</v>
      </c>
    </row>
    <row r="822" spans="1:12">
      <c r="A822" s="2" t="s">
        <v>1427</v>
      </c>
      <c r="B822" s="3">
        <v>46199</v>
      </c>
      <c r="C822" s="2" t="s">
        <v>1428</v>
      </c>
      <c r="D822" s="2" t="s">
        <v>29</v>
      </c>
      <c r="E822" s="2" t="s">
        <v>160</v>
      </c>
      <c r="F822" s="2" t="s">
        <v>3</v>
      </c>
      <c r="G822" s="4">
        <v>6900</v>
      </c>
      <c r="H822" s="5">
        <v>4.7100000000000003E-2</v>
      </c>
      <c r="I822" s="2">
        <v>36</v>
      </c>
      <c r="J822" s="2" t="s">
        <v>61</v>
      </c>
      <c r="K822" s="2" t="s">
        <v>17</v>
      </c>
      <c r="L822" s="3">
        <v>46200</v>
      </c>
    </row>
    <row r="823" spans="1:12">
      <c r="A823" s="2" t="s">
        <v>1429</v>
      </c>
      <c r="B823" s="3">
        <v>46199</v>
      </c>
      <c r="C823" s="2" t="s">
        <v>753</v>
      </c>
      <c r="D823" s="2" t="s">
        <v>25</v>
      </c>
      <c r="E823" s="2" t="s">
        <v>21</v>
      </c>
      <c r="F823" s="2" t="s">
        <v>3</v>
      </c>
      <c r="G823" s="4">
        <v>275300</v>
      </c>
      <c r="H823" s="5">
        <v>3.1399999999999997E-2</v>
      </c>
      <c r="I823" s="2">
        <v>240</v>
      </c>
      <c r="J823" s="2" t="s">
        <v>26</v>
      </c>
      <c r="K823" s="2" t="s">
        <v>17</v>
      </c>
      <c r="L823" s="3">
        <v>46216</v>
      </c>
    </row>
    <row r="824" spans="1:12">
      <c r="A824" s="2" t="s">
        <v>1430</v>
      </c>
      <c r="B824" s="3">
        <v>46199</v>
      </c>
      <c r="C824" s="2" t="s">
        <v>769</v>
      </c>
      <c r="D824" s="2" t="s">
        <v>14</v>
      </c>
      <c r="E824" s="2" t="s">
        <v>15</v>
      </c>
      <c r="F824" s="2" t="s">
        <v>3</v>
      </c>
      <c r="G824" s="4">
        <v>24700</v>
      </c>
      <c r="H824" s="5">
        <v>5.33E-2</v>
      </c>
      <c r="I824" s="2">
        <v>48</v>
      </c>
      <c r="J824" s="2" t="s">
        <v>16</v>
      </c>
      <c r="K824" s="2" t="s">
        <v>45</v>
      </c>
      <c r="L824" s="3">
        <v>46204</v>
      </c>
    </row>
    <row r="825" spans="1:12">
      <c r="A825" s="2" t="s">
        <v>1431</v>
      </c>
      <c r="B825" s="3">
        <v>46199</v>
      </c>
      <c r="C825" s="2" t="s">
        <v>1432</v>
      </c>
      <c r="D825" s="2" t="s">
        <v>14</v>
      </c>
      <c r="E825" s="2" t="s">
        <v>15</v>
      </c>
      <c r="F825" s="2" t="s">
        <v>31</v>
      </c>
      <c r="G825" s="4">
        <v>17700</v>
      </c>
      <c r="H825" s="5">
        <v>5.9299999999999999E-2</v>
      </c>
      <c r="I825" s="2">
        <v>12</v>
      </c>
      <c r="J825" s="2" t="s">
        <v>48</v>
      </c>
      <c r="K825" s="2" t="s">
        <v>45</v>
      </c>
      <c r="L825" s="3">
        <v>46202</v>
      </c>
    </row>
    <row r="826" spans="1:12">
      <c r="A826" s="2" t="s">
        <v>1433</v>
      </c>
      <c r="B826" s="3">
        <v>46200</v>
      </c>
      <c r="C826" s="2" t="s">
        <v>977</v>
      </c>
      <c r="D826" s="2" t="s">
        <v>71</v>
      </c>
      <c r="E826" s="2" t="s">
        <v>15</v>
      </c>
      <c r="F826" s="2" t="s">
        <v>3</v>
      </c>
      <c r="G826" s="4">
        <v>25000</v>
      </c>
      <c r="H826" s="5">
        <v>5.8500000000000003E-2</v>
      </c>
      <c r="I826" s="2">
        <v>60</v>
      </c>
      <c r="J826" s="2" t="s">
        <v>101</v>
      </c>
      <c r="K826" s="2" t="s">
        <v>17</v>
      </c>
      <c r="L826" s="3">
        <v>46211</v>
      </c>
    </row>
    <row r="827" spans="1:12">
      <c r="A827" s="2" t="s">
        <v>1434</v>
      </c>
      <c r="B827" s="3">
        <v>46200</v>
      </c>
      <c r="C827" s="2" t="s">
        <v>1435</v>
      </c>
      <c r="D827" s="2" t="s">
        <v>14</v>
      </c>
      <c r="E827" s="2" t="s">
        <v>30</v>
      </c>
      <c r="F827" s="2" t="s">
        <v>31</v>
      </c>
      <c r="G827" s="4">
        <v>10000</v>
      </c>
      <c r="H827" s="5">
        <v>4.5199999999999997E-2</v>
      </c>
      <c r="I827" s="2">
        <v>48</v>
      </c>
      <c r="J827" s="2" t="s">
        <v>48</v>
      </c>
      <c r="K827" s="2" t="s">
        <v>45</v>
      </c>
      <c r="L827" s="3">
        <v>46201</v>
      </c>
    </row>
    <row r="828" spans="1:12">
      <c r="A828" s="2" t="s">
        <v>1436</v>
      </c>
      <c r="B828" s="3">
        <v>46200</v>
      </c>
      <c r="C828" s="2" t="s">
        <v>404</v>
      </c>
      <c r="D828" s="2" t="s">
        <v>25</v>
      </c>
      <c r="E828" s="2" t="s">
        <v>15</v>
      </c>
      <c r="F828" s="2" t="s">
        <v>3</v>
      </c>
      <c r="G828" s="4">
        <v>12900</v>
      </c>
      <c r="H828" s="5">
        <v>6.4600000000000005E-2</v>
      </c>
      <c r="I828" s="2">
        <v>48</v>
      </c>
      <c r="J828" s="2" t="s">
        <v>66</v>
      </c>
      <c r="K828" s="2" t="s">
        <v>17</v>
      </c>
      <c r="L828" s="3">
        <v>46203</v>
      </c>
    </row>
    <row r="829" spans="1:12">
      <c r="A829" s="2" t="s">
        <v>1437</v>
      </c>
      <c r="B829" s="3">
        <v>46200</v>
      </c>
      <c r="C829" s="2" t="s">
        <v>1438</v>
      </c>
      <c r="D829" s="2" t="s">
        <v>54</v>
      </c>
      <c r="E829" s="2" t="s">
        <v>30</v>
      </c>
      <c r="F829" s="2" t="s">
        <v>3</v>
      </c>
      <c r="G829" s="4">
        <v>10500</v>
      </c>
      <c r="H829" s="5">
        <v>3.9E-2</v>
      </c>
      <c r="I829" s="2">
        <v>36</v>
      </c>
      <c r="J829" s="2" t="s">
        <v>148</v>
      </c>
      <c r="K829" s="2" t="s">
        <v>17</v>
      </c>
      <c r="L829" s="3">
        <v>46205</v>
      </c>
    </row>
    <row r="830" spans="1:12">
      <c r="A830" s="2" t="s">
        <v>1439</v>
      </c>
      <c r="B830" s="3">
        <v>46201</v>
      </c>
      <c r="C830" s="2" t="s">
        <v>1440</v>
      </c>
      <c r="D830" s="2" t="s">
        <v>29</v>
      </c>
      <c r="E830" s="2" t="s">
        <v>21</v>
      </c>
      <c r="F830" s="2" t="s">
        <v>55</v>
      </c>
      <c r="G830" s="4">
        <v>104100</v>
      </c>
      <c r="H830" s="5">
        <v>3.1099999999999999E-2</v>
      </c>
      <c r="I830" s="2">
        <v>120</v>
      </c>
      <c r="J830" s="2" t="s">
        <v>123</v>
      </c>
      <c r="K830" s="2" t="s">
        <v>17</v>
      </c>
      <c r="L830" s="3">
        <v>46226</v>
      </c>
    </row>
    <row r="831" spans="1:12">
      <c r="A831" s="2" t="s">
        <v>1441</v>
      </c>
      <c r="B831" s="3">
        <v>46201</v>
      </c>
      <c r="C831" s="2" t="s">
        <v>1442</v>
      </c>
      <c r="D831" s="2" t="s">
        <v>25</v>
      </c>
      <c r="E831" s="2" t="s">
        <v>15</v>
      </c>
      <c r="F831" s="2" t="s">
        <v>3</v>
      </c>
      <c r="G831" s="4">
        <v>24000</v>
      </c>
      <c r="H831" s="5">
        <v>5.4300000000000001E-2</v>
      </c>
      <c r="I831" s="2">
        <v>24</v>
      </c>
      <c r="J831" s="2" t="s">
        <v>181</v>
      </c>
      <c r="K831" s="2" t="s">
        <v>45</v>
      </c>
      <c r="L831" s="3">
        <v>46203</v>
      </c>
    </row>
    <row r="832" spans="1:12">
      <c r="A832" s="2" t="s">
        <v>1443</v>
      </c>
      <c r="B832" s="3">
        <v>46201</v>
      </c>
      <c r="C832" s="2" t="s">
        <v>384</v>
      </c>
      <c r="D832" s="2" t="s">
        <v>14</v>
      </c>
      <c r="E832" s="2" t="s">
        <v>15</v>
      </c>
      <c r="F832" s="2" t="s">
        <v>147</v>
      </c>
      <c r="G832" s="4">
        <v>23300</v>
      </c>
      <c r="H832" s="5">
        <v>6.3700000000000007E-2</v>
      </c>
      <c r="I832" s="2">
        <v>24</v>
      </c>
      <c r="J832" s="2" t="s">
        <v>40</v>
      </c>
      <c r="K832" s="2" t="s">
        <v>17</v>
      </c>
      <c r="L832" s="3">
        <v>46205</v>
      </c>
    </row>
    <row r="833" spans="1:12">
      <c r="A833" s="2" t="s">
        <v>1444</v>
      </c>
      <c r="B833" s="3">
        <v>46201</v>
      </c>
      <c r="C833" s="2" t="s">
        <v>131</v>
      </c>
      <c r="D833" s="2" t="s">
        <v>25</v>
      </c>
      <c r="E833" s="2" t="s">
        <v>15</v>
      </c>
      <c r="F833" s="2" t="s">
        <v>3</v>
      </c>
      <c r="G833" s="4">
        <v>21300</v>
      </c>
      <c r="H833" s="5">
        <v>6.83E-2</v>
      </c>
      <c r="I833" s="2">
        <v>36</v>
      </c>
      <c r="J833" s="2" t="s">
        <v>26</v>
      </c>
      <c r="K833" s="2" t="s">
        <v>17</v>
      </c>
      <c r="L833" s="3">
        <v>46204</v>
      </c>
    </row>
    <row r="834" spans="1:12">
      <c r="A834" s="2" t="s">
        <v>1445</v>
      </c>
      <c r="B834" s="3">
        <v>46201</v>
      </c>
      <c r="C834" s="2" t="s">
        <v>491</v>
      </c>
      <c r="D834" s="2" t="s">
        <v>29</v>
      </c>
      <c r="E834" s="2" t="s">
        <v>51</v>
      </c>
      <c r="F834" s="2" t="s">
        <v>55</v>
      </c>
      <c r="G834" s="4">
        <v>13900</v>
      </c>
      <c r="H834" s="5">
        <v>4.2099999999999999E-2</v>
      </c>
      <c r="I834" s="2">
        <v>48</v>
      </c>
      <c r="J834" s="2" t="s">
        <v>61</v>
      </c>
      <c r="K834" s="2" t="s">
        <v>17</v>
      </c>
      <c r="L834" s="3">
        <v>46203</v>
      </c>
    </row>
    <row r="835" spans="1:12">
      <c r="A835" s="2" t="s">
        <v>1446</v>
      </c>
      <c r="B835" s="3">
        <v>46201</v>
      </c>
      <c r="C835" s="2" t="s">
        <v>1447</v>
      </c>
      <c r="D835" s="2" t="s">
        <v>20</v>
      </c>
      <c r="E835" s="2" t="s">
        <v>21</v>
      </c>
      <c r="F835" s="2" t="s">
        <v>55</v>
      </c>
      <c r="G835" s="4">
        <v>50700</v>
      </c>
      <c r="H835" s="5">
        <v>3.6799999999999999E-2</v>
      </c>
      <c r="I835" s="2">
        <v>240</v>
      </c>
      <c r="J835" s="2" t="s">
        <v>44</v>
      </c>
      <c r="K835" s="2" t="s">
        <v>17</v>
      </c>
      <c r="L835" s="3">
        <v>46212</v>
      </c>
    </row>
    <row r="836" spans="1:12">
      <c r="A836" s="2" t="s">
        <v>1448</v>
      </c>
      <c r="B836" s="3">
        <v>46202</v>
      </c>
      <c r="C836" s="2" t="s">
        <v>1449</v>
      </c>
      <c r="D836" s="2" t="s">
        <v>25</v>
      </c>
      <c r="E836" s="2" t="s">
        <v>30</v>
      </c>
      <c r="F836" s="2" t="s">
        <v>31</v>
      </c>
      <c r="G836" s="4">
        <v>12300</v>
      </c>
      <c r="H836" s="5">
        <v>4.0300000000000002E-2</v>
      </c>
      <c r="I836" s="2">
        <v>36</v>
      </c>
      <c r="J836" s="2" t="s">
        <v>26</v>
      </c>
      <c r="K836" s="2" t="s">
        <v>17</v>
      </c>
      <c r="L836" s="3">
        <v>46205</v>
      </c>
    </row>
    <row r="837" spans="1:12">
      <c r="A837" s="2" t="s">
        <v>1450</v>
      </c>
      <c r="B837" s="3">
        <v>46203</v>
      </c>
      <c r="C837" s="2" t="s">
        <v>1451</v>
      </c>
      <c r="D837" s="2" t="s">
        <v>14</v>
      </c>
      <c r="E837" s="2" t="s">
        <v>43</v>
      </c>
      <c r="F837" s="2" t="s">
        <v>3</v>
      </c>
      <c r="G837" s="4">
        <v>107800</v>
      </c>
      <c r="H837" s="5">
        <v>7.0800000000000002E-2</v>
      </c>
      <c r="I837" s="2">
        <v>84</v>
      </c>
      <c r="J837" s="2" t="s">
        <v>40</v>
      </c>
      <c r="K837" s="2" t="s">
        <v>45</v>
      </c>
      <c r="L837" s="3">
        <v>46217</v>
      </c>
    </row>
    <row r="838" spans="1:12">
      <c r="A838" s="2" t="s">
        <v>1452</v>
      </c>
      <c r="B838" s="3">
        <v>46203</v>
      </c>
      <c r="C838" s="2" t="s">
        <v>549</v>
      </c>
      <c r="D838" s="2" t="s">
        <v>20</v>
      </c>
      <c r="E838" s="2" t="s">
        <v>15</v>
      </c>
      <c r="F838" s="2" t="s">
        <v>3</v>
      </c>
      <c r="G838" s="4">
        <v>22400</v>
      </c>
      <c r="H838" s="5">
        <v>6.0699999999999997E-2</v>
      </c>
      <c r="I838" s="2">
        <v>48</v>
      </c>
      <c r="J838" s="2" t="s">
        <v>44</v>
      </c>
      <c r="K838" s="2" t="s">
        <v>17</v>
      </c>
      <c r="L838" s="3">
        <v>46207</v>
      </c>
    </row>
    <row r="839" spans="1:12">
      <c r="A839" s="2" t="s">
        <v>1453</v>
      </c>
      <c r="B839" s="3">
        <v>46203</v>
      </c>
      <c r="C839" s="2" t="s">
        <v>1419</v>
      </c>
      <c r="D839" s="2" t="s">
        <v>54</v>
      </c>
      <c r="E839" s="2" t="s">
        <v>15</v>
      </c>
      <c r="F839" s="2" t="s">
        <v>3</v>
      </c>
      <c r="G839" s="4">
        <v>17200</v>
      </c>
      <c r="H839" s="5">
        <v>6.0699999999999997E-2</v>
      </c>
      <c r="I839" s="2">
        <v>24</v>
      </c>
      <c r="J839" s="2" t="s">
        <v>186</v>
      </c>
      <c r="K839" s="2" t="s">
        <v>17</v>
      </c>
      <c r="L839" s="3">
        <v>46210</v>
      </c>
    </row>
    <row r="840" spans="1:12">
      <c r="A840" s="2" t="s">
        <v>1454</v>
      </c>
      <c r="B840" s="3">
        <v>46203</v>
      </c>
      <c r="C840" s="2" t="s">
        <v>813</v>
      </c>
      <c r="D840" s="2" t="s">
        <v>25</v>
      </c>
      <c r="E840" s="2" t="s">
        <v>30</v>
      </c>
      <c r="F840" s="2" t="s">
        <v>3</v>
      </c>
      <c r="G840" s="4">
        <v>9300</v>
      </c>
      <c r="H840" s="5">
        <v>4.48E-2</v>
      </c>
      <c r="I840" s="2">
        <v>60</v>
      </c>
      <c r="J840" s="2" t="s">
        <v>181</v>
      </c>
      <c r="K840" s="2" t="s">
        <v>17</v>
      </c>
      <c r="L840" s="3">
        <v>46204</v>
      </c>
    </row>
    <row r="841" spans="1:12">
      <c r="A841" s="2" t="s">
        <v>1455</v>
      </c>
      <c r="B841" s="3">
        <v>46203</v>
      </c>
      <c r="C841" s="2" t="s">
        <v>1456</v>
      </c>
      <c r="D841" s="2" t="s">
        <v>71</v>
      </c>
      <c r="E841" s="2" t="s">
        <v>30</v>
      </c>
      <c r="F841" s="2" t="s">
        <v>3</v>
      </c>
      <c r="G841" s="4">
        <v>9800</v>
      </c>
      <c r="H841" s="5">
        <v>4.5199999999999997E-2</v>
      </c>
      <c r="I841" s="2">
        <v>36</v>
      </c>
      <c r="J841" s="2" t="s">
        <v>94</v>
      </c>
      <c r="K841" s="2" t="s">
        <v>45</v>
      </c>
      <c r="L841" s="3">
        <v>46208</v>
      </c>
    </row>
    <row r="842" spans="1:12">
      <c r="A842" s="2" t="s">
        <v>1457</v>
      </c>
      <c r="B842" s="3">
        <v>46203</v>
      </c>
      <c r="C842" s="2" t="s">
        <v>1004</v>
      </c>
      <c r="D842" s="2" t="s">
        <v>14</v>
      </c>
      <c r="E842" s="2" t="s">
        <v>15</v>
      </c>
      <c r="F842" s="2" t="s">
        <v>31</v>
      </c>
      <c r="G842" s="4">
        <v>15200</v>
      </c>
      <c r="H842" s="5">
        <v>5.8599999999999999E-2</v>
      </c>
      <c r="I842" s="2">
        <v>12</v>
      </c>
      <c r="J842" s="2" t="s">
        <v>48</v>
      </c>
      <c r="K842" s="2" t="s">
        <v>17</v>
      </c>
      <c r="L842" s="3">
        <v>46203</v>
      </c>
    </row>
    <row r="843" spans="1:12">
      <c r="A843" s="2" t="s">
        <v>1458</v>
      </c>
      <c r="B843" s="3">
        <v>46204</v>
      </c>
      <c r="C843" s="2" t="s">
        <v>284</v>
      </c>
      <c r="D843" s="2" t="s">
        <v>14</v>
      </c>
      <c r="E843" s="2" t="s">
        <v>21</v>
      </c>
      <c r="F843" s="2" t="s">
        <v>31</v>
      </c>
      <c r="G843" s="4">
        <v>75100</v>
      </c>
      <c r="H843" s="5">
        <v>4.4400000000000002E-2</v>
      </c>
      <c r="I843" s="2">
        <v>300</v>
      </c>
      <c r="J843" s="2" t="s">
        <v>40</v>
      </c>
      <c r="K843" s="2" t="s">
        <v>17</v>
      </c>
      <c r="L843" s="3">
        <v>46229</v>
      </c>
    </row>
    <row r="844" spans="1:12">
      <c r="A844" s="2" t="s">
        <v>1458</v>
      </c>
      <c r="B844" s="3">
        <v>46204</v>
      </c>
      <c r="C844" s="2" t="s">
        <v>284</v>
      </c>
      <c r="D844" s="2" t="s">
        <v>14</v>
      </c>
      <c r="E844" s="2" t="s">
        <v>21</v>
      </c>
      <c r="F844" s="2" t="s">
        <v>31</v>
      </c>
      <c r="G844" s="4">
        <v>75100</v>
      </c>
      <c r="H844" s="5">
        <v>4.4400000000000002E-2</v>
      </c>
      <c r="I844" s="2">
        <v>300</v>
      </c>
      <c r="J844" s="2" t="s">
        <v>40</v>
      </c>
      <c r="K844" s="2" t="s">
        <v>17</v>
      </c>
      <c r="L844" s="3">
        <v>46229</v>
      </c>
    </row>
    <row r="845" spans="1:12">
      <c r="A845" s="2" t="s">
        <v>1459</v>
      </c>
      <c r="B845" s="3">
        <v>46204</v>
      </c>
      <c r="C845" s="2" t="s">
        <v>864</v>
      </c>
      <c r="D845" s="2" t="s">
        <v>29</v>
      </c>
      <c r="E845" s="2" t="s">
        <v>30</v>
      </c>
      <c r="F845" s="2" t="s">
        <v>31</v>
      </c>
      <c r="G845" s="2" t="s">
        <v>1460</v>
      </c>
      <c r="H845" s="5">
        <v>4.3700000000000003E-2</v>
      </c>
      <c r="I845" s="2">
        <v>36</v>
      </c>
      <c r="J845" s="2" t="s">
        <v>123</v>
      </c>
      <c r="K845" s="2" t="s">
        <v>17</v>
      </c>
      <c r="L845" s="3">
        <v>46204</v>
      </c>
    </row>
    <row r="846" spans="1:12">
      <c r="A846" s="2" t="s">
        <v>1461</v>
      </c>
      <c r="B846" s="3">
        <v>46204</v>
      </c>
      <c r="C846" s="2" t="s">
        <v>1248</v>
      </c>
      <c r="D846" s="2" t="s">
        <v>29</v>
      </c>
      <c r="E846" s="2" t="s">
        <v>15</v>
      </c>
      <c r="F846" s="2" t="s">
        <v>329</v>
      </c>
      <c r="G846" s="4">
        <v>3300</v>
      </c>
      <c r="H846" s="5">
        <v>5.5800000000000002E-2</v>
      </c>
      <c r="I846" s="2">
        <v>36</v>
      </c>
      <c r="J846" s="2" t="s">
        <v>123</v>
      </c>
      <c r="K846" s="2" t="s">
        <v>45</v>
      </c>
      <c r="L846" s="3">
        <v>46210</v>
      </c>
    </row>
    <row r="847" spans="1:12">
      <c r="A847" s="2" t="s">
        <v>1462</v>
      </c>
      <c r="B847" s="3">
        <v>46204</v>
      </c>
      <c r="C847" s="2" t="s">
        <v>644</v>
      </c>
      <c r="D847" s="2" t="s">
        <v>25</v>
      </c>
      <c r="E847" s="2" t="s">
        <v>30</v>
      </c>
      <c r="F847" s="2" t="s">
        <v>3</v>
      </c>
      <c r="G847" s="4">
        <v>12300</v>
      </c>
      <c r="H847" s="5">
        <v>4.3499999999999997E-2</v>
      </c>
      <c r="I847" s="2">
        <v>48</v>
      </c>
      <c r="J847" s="2" t="s">
        <v>181</v>
      </c>
      <c r="K847" s="2" t="s">
        <v>17</v>
      </c>
      <c r="L847" s="3">
        <v>46206</v>
      </c>
    </row>
    <row r="848" spans="1:12">
      <c r="A848" s="2" t="s">
        <v>1463</v>
      </c>
      <c r="B848" s="3">
        <v>46204</v>
      </c>
      <c r="C848" s="2" t="s">
        <v>1464</v>
      </c>
      <c r="D848" s="2" t="s">
        <v>20</v>
      </c>
      <c r="E848" s="2" t="s">
        <v>30</v>
      </c>
      <c r="F848" s="2" t="s">
        <v>3</v>
      </c>
      <c r="G848" s="4">
        <v>10600</v>
      </c>
      <c r="H848" s="5">
        <v>4.1000000000000002E-2</v>
      </c>
      <c r="I848" s="2">
        <v>60</v>
      </c>
      <c r="J848" s="2" t="s">
        <v>37</v>
      </c>
      <c r="K848" s="2" t="s">
        <v>17</v>
      </c>
      <c r="L848" s="3">
        <v>46206</v>
      </c>
    </row>
    <row r="849" spans="1:12">
      <c r="A849" s="2" t="s">
        <v>1465</v>
      </c>
      <c r="B849" s="3">
        <v>46205</v>
      </c>
      <c r="C849" s="2" t="s">
        <v>862</v>
      </c>
      <c r="D849" s="2" t="s">
        <v>25</v>
      </c>
      <c r="E849" s="2" t="s">
        <v>30</v>
      </c>
      <c r="F849" s="2" t="s">
        <v>3</v>
      </c>
      <c r="G849" s="4">
        <v>11000</v>
      </c>
      <c r="H849" s="5">
        <v>3.5700000000000003E-2</v>
      </c>
      <c r="I849" s="2">
        <v>60</v>
      </c>
      <c r="J849" s="2" t="s">
        <v>26</v>
      </c>
      <c r="K849" s="2" t="s">
        <v>17</v>
      </c>
      <c r="L849" s="3">
        <v>46208</v>
      </c>
    </row>
    <row r="850" spans="1:12">
      <c r="A850" s="2" t="s">
        <v>1466</v>
      </c>
      <c r="B850" s="3">
        <v>46205</v>
      </c>
      <c r="C850" s="2" t="s">
        <v>891</v>
      </c>
      <c r="D850" s="2" t="s">
        <v>20</v>
      </c>
      <c r="E850" s="2" t="s">
        <v>15</v>
      </c>
      <c r="F850" s="2" t="s">
        <v>31</v>
      </c>
      <c r="G850" s="4">
        <v>3500</v>
      </c>
      <c r="H850" s="5">
        <v>6.8099999999999994E-2</v>
      </c>
      <c r="I850" s="2">
        <v>24</v>
      </c>
      <c r="J850" s="2" t="s">
        <v>37</v>
      </c>
      <c r="K850" s="2" t="s">
        <v>45</v>
      </c>
      <c r="L850" s="3">
        <v>46210</v>
      </c>
    </row>
    <row r="851" spans="1:12">
      <c r="A851" s="2" t="s">
        <v>1467</v>
      </c>
      <c r="B851" s="3">
        <v>46205</v>
      </c>
      <c r="C851" s="2" t="s">
        <v>1468</v>
      </c>
      <c r="D851" s="2" t="s">
        <v>71</v>
      </c>
      <c r="E851" s="2" t="s">
        <v>15</v>
      </c>
      <c r="F851" s="2" t="s">
        <v>3</v>
      </c>
      <c r="G851" s="4">
        <v>13200</v>
      </c>
      <c r="H851" s="5">
        <v>5.3999999999999999E-2</v>
      </c>
      <c r="I851" s="2">
        <v>36</v>
      </c>
      <c r="J851" s="2" t="s">
        <v>72</v>
      </c>
      <c r="K851" s="2" t="s">
        <v>45</v>
      </c>
      <c r="L851" s="3">
        <v>46213</v>
      </c>
    </row>
    <row r="852" spans="1:12">
      <c r="A852" s="2" t="s">
        <v>1469</v>
      </c>
      <c r="B852" s="3">
        <v>46205</v>
      </c>
      <c r="C852" s="2" t="s">
        <v>1470</v>
      </c>
      <c r="D852" s="2" t="s">
        <v>14</v>
      </c>
      <c r="E852" s="2" t="s">
        <v>30</v>
      </c>
      <c r="F852" s="2" t="s">
        <v>55</v>
      </c>
      <c r="G852" s="4">
        <v>16900</v>
      </c>
      <c r="H852" s="5">
        <v>4.4600000000000001E-2</v>
      </c>
      <c r="I852" s="2">
        <v>60</v>
      </c>
      <c r="J852" s="2" t="s">
        <v>48</v>
      </c>
      <c r="K852" s="2" t="s">
        <v>17</v>
      </c>
      <c r="L852" s="3">
        <v>46210</v>
      </c>
    </row>
    <row r="853" spans="1:12">
      <c r="A853" s="2" t="s">
        <v>1471</v>
      </c>
      <c r="B853" s="3">
        <v>46205</v>
      </c>
      <c r="C853" s="2" t="s">
        <v>631</v>
      </c>
      <c r="D853" s="2" t="s">
        <v>54</v>
      </c>
      <c r="E853" s="2" t="s">
        <v>30</v>
      </c>
      <c r="F853" s="2" t="s">
        <v>3</v>
      </c>
      <c r="G853" s="4">
        <v>16000</v>
      </c>
      <c r="H853" s="5">
        <v>4.8899999999999999E-2</v>
      </c>
      <c r="I853" s="2">
        <v>36</v>
      </c>
      <c r="J853" s="2" t="s">
        <v>186</v>
      </c>
      <c r="K853" s="2" t="s">
        <v>17</v>
      </c>
      <c r="L853" s="3">
        <v>46210</v>
      </c>
    </row>
    <row r="854" spans="1:12">
      <c r="A854" s="2" t="s">
        <v>1472</v>
      </c>
      <c r="B854" s="3">
        <v>46206</v>
      </c>
      <c r="C854" s="2" t="s">
        <v>1473</v>
      </c>
      <c r="D854" s="2" t="s">
        <v>29</v>
      </c>
      <c r="E854" s="2" t="s">
        <v>30</v>
      </c>
      <c r="F854" s="2" t="s">
        <v>3</v>
      </c>
      <c r="G854" s="4">
        <v>6300</v>
      </c>
      <c r="H854" s="5">
        <v>4.9200000000000001E-2</v>
      </c>
      <c r="I854" s="2">
        <v>48</v>
      </c>
      <c r="J854" s="2" t="s">
        <v>123</v>
      </c>
      <c r="K854" s="2" t="s">
        <v>17</v>
      </c>
      <c r="L854" s="3">
        <v>46211</v>
      </c>
    </row>
    <row r="855" spans="1:12">
      <c r="A855" s="2" t="s">
        <v>1474</v>
      </c>
      <c r="B855" s="3">
        <v>46206</v>
      </c>
      <c r="C855" s="2" t="s">
        <v>693</v>
      </c>
      <c r="D855" s="2" t="s">
        <v>71</v>
      </c>
      <c r="E855" s="2" t="s">
        <v>15</v>
      </c>
      <c r="F855" s="2" t="s">
        <v>55</v>
      </c>
      <c r="G855" s="4">
        <v>3400</v>
      </c>
      <c r="H855" s="5">
        <v>5.0200000000000002E-2</v>
      </c>
      <c r="I855" s="2">
        <v>48</v>
      </c>
      <c r="J855" s="2" t="s">
        <v>94</v>
      </c>
      <c r="K855" s="2" t="s">
        <v>45</v>
      </c>
      <c r="L855" s="3">
        <v>46214</v>
      </c>
    </row>
    <row r="856" spans="1:12">
      <c r="A856" s="2" t="s">
        <v>1475</v>
      </c>
      <c r="B856" s="3">
        <v>46206</v>
      </c>
      <c r="C856" s="2" t="s">
        <v>445</v>
      </c>
      <c r="D856" s="2" t="s">
        <v>14</v>
      </c>
      <c r="E856" s="2" t="s">
        <v>30</v>
      </c>
      <c r="F856" s="2" t="s">
        <v>55</v>
      </c>
      <c r="G856" s="4">
        <v>6600</v>
      </c>
      <c r="H856" s="5">
        <v>4.5600000000000002E-2</v>
      </c>
      <c r="I856" s="2">
        <v>60</v>
      </c>
      <c r="J856" s="2" t="s">
        <v>40</v>
      </c>
      <c r="K856" s="2" t="s">
        <v>17</v>
      </c>
      <c r="L856" s="3">
        <v>46208</v>
      </c>
    </row>
    <row r="857" spans="1:12">
      <c r="A857" s="2" t="s">
        <v>1476</v>
      </c>
      <c r="B857" s="3">
        <v>46206</v>
      </c>
      <c r="C857" s="2" t="s">
        <v>1477</v>
      </c>
      <c r="D857" s="2" t="s">
        <v>25</v>
      </c>
      <c r="E857" s="2" t="s">
        <v>21</v>
      </c>
      <c r="F857" s="2" t="s">
        <v>31</v>
      </c>
      <c r="G857" s="4">
        <v>242400</v>
      </c>
      <c r="H857" s="5">
        <v>3.1600000000000003E-2</v>
      </c>
      <c r="I857" s="2">
        <v>120</v>
      </c>
      <c r="J857" s="2" t="s">
        <v>26</v>
      </c>
      <c r="K857" s="2" t="s">
        <v>17</v>
      </c>
      <c r="L857" s="3">
        <v>46230</v>
      </c>
    </row>
    <row r="858" spans="1:12">
      <c r="A858" s="2" t="s">
        <v>1478</v>
      </c>
      <c r="B858" s="3">
        <v>46206</v>
      </c>
      <c r="C858" s="2" t="s">
        <v>1479</v>
      </c>
      <c r="D858" s="2" t="s">
        <v>20</v>
      </c>
      <c r="E858" s="2" t="s">
        <v>21</v>
      </c>
      <c r="F858" s="2" t="s">
        <v>3</v>
      </c>
      <c r="G858" s="4">
        <v>183800</v>
      </c>
      <c r="H858" s="5">
        <v>3.61E-2</v>
      </c>
      <c r="I858" s="2">
        <v>240</v>
      </c>
      <c r="J858" s="2" t="s">
        <v>22</v>
      </c>
      <c r="K858" s="2" t="s">
        <v>17</v>
      </c>
      <c r="L858" s="3">
        <v>46216</v>
      </c>
    </row>
    <row r="859" spans="1:12">
      <c r="A859" s="2" t="s">
        <v>1480</v>
      </c>
      <c r="B859" s="3">
        <v>46206</v>
      </c>
      <c r="C859" s="2" t="s">
        <v>515</v>
      </c>
      <c r="D859" s="2" t="s">
        <v>14</v>
      </c>
      <c r="E859" s="2" t="s">
        <v>30</v>
      </c>
      <c r="F859" s="2" t="s">
        <v>3</v>
      </c>
      <c r="G859" s="4">
        <v>5100</v>
      </c>
      <c r="H859" s="5">
        <v>4.4499999999999998E-2</v>
      </c>
      <c r="I859" s="2">
        <v>60</v>
      </c>
      <c r="J859" s="2" t="s">
        <v>16</v>
      </c>
      <c r="K859" s="2" t="s">
        <v>17</v>
      </c>
      <c r="L859" s="3">
        <v>46211</v>
      </c>
    </row>
    <row r="860" spans="1:12">
      <c r="A860" s="2" t="s">
        <v>1481</v>
      </c>
      <c r="B860" s="3">
        <v>46206</v>
      </c>
      <c r="C860" s="2" t="s">
        <v>1482</v>
      </c>
      <c r="D860" s="2" t="s">
        <v>29</v>
      </c>
      <c r="E860" s="2" t="s">
        <v>15</v>
      </c>
      <c r="F860" s="2" t="s">
        <v>31</v>
      </c>
      <c r="G860" s="4">
        <v>11000</v>
      </c>
      <c r="H860" s="5">
        <v>6.8900000000000003E-2</v>
      </c>
      <c r="I860" s="2">
        <v>60</v>
      </c>
      <c r="J860" s="2" t="s">
        <v>32</v>
      </c>
      <c r="K860" s="2" t="s">
        <v>45</v>
      </c>
      <c r="L860" s="3">
        <v>46210</v>
      </c>
    </row>
    <row r="861" spans="1:12">
      <c r="A861" s="2" t="s">
        <v>1483</v>
      </c>
      <c r="B861" s="3">
        <v>46207</v>
      </c>
      <c r="C861" s="2" t="s">
        <v>1484</v>
      </c>
      <c r="D861" s="2" t="s">
        <v>29</v>
      </c>
      <c r="E861" s="2" t="s">
        <v>30</v>
      </c>
      <c r="F861" s="2" t="s">
        <v>3</v>
      </c>
      <c r="G861" s="4">
        <v>6700</v>
      </c>
      <c r="H861" s="5">
        <v>4.9000000000000002E-2</v>
      </c>
      <c r="I861" s="2">
        <v>36</v>
      </c>
      <c r="J861" s="2" t="s">
        <v>61</v>
      </c>
      <c r="K861" s="2" t="s">
        <v>17</v>
      </c>
      <c r="L861" s="3">
        <v>46210</v>
      </c>
    </row>
    <row r="862" spans="1:12">
      <c r="A862" s="2" t="s">
        <v>1485</v>
      </c>
      <c r="B862" s="3">
        <v>46207</v>
      </c>
      <c r="C862" s="2" t="s">
        <v>1486</v>
      </c>
      <c r="D862" s="2" t="s">
        <v>54</v>
      </c>
      <c r="E862" s="2" t="s">
        <v>43</v>
      </c>
      <c r="F862" s="2" t="s">
        <v>31</v>
      </c>
      <c r="G862" s="4">
        <v>154100</v>
      </c>
      <c r="H862" s="5">
        <v>5.9299999999999999E-2</v>
      </c>
      <c r="I862" s="2">
        <v>36</v>
      </c>
      <c r="J862" s="2" t="s">
        <v>148</v>
      </c>
      <c r="K862" s="2" t="s">
        <v>45</v>
      </c>
      <c r="L862" s="3">
        <v>46214</v>
      </c>
    </row>
    <row r="863" spans="1:12">
      <c r="A863" s="2" t="s">
        <v>1487</v>
      </c>
      <c r="B863" s="3">
        <v>46207</v>
      </c>
      <c r="C863" s="2" t="s">
        <v>1488</v>
      </c>
      <c r="D863" s="2" t="s">
        <v>20</v>
      </c>
      <c r="E863" s="2" t="s">
        <v>30</v>
      </c>
      <c r="F863" s="2" t="s">
        <v>3</v>
      </c>
      <c r="G863" s="4">
        <v>9800</v>
      </c>
      <c r="H863" s="5">
        <v>4.58E-2</v>
      </c>
      <c r="I863" s="2">
        <v>36</v>
      </c>
      <c r="J863" s="2" t="s">
        <v>22</v>
      </c>
      <c r="K863" s="2" t="s">
        <v>17</v>
      </c>
      <c r="L863" s="3">
        <v>46208</v>
      </c>
    </row>
    <row r="864" spans="1:12">
      <c r="A864" s="2" t="s">
        <v>1489</v>
      </c>
      <c r="B864" s="3">
        <v>46207</v>
      </c>
      <c r="C864" s="2" t="s">
        <v>545</v>
      </c>
      <c r="D864" s="2" t="s">
        <v>14</v>
      </c>
      <c r="E864" s="2" t="s">
        <v>15</v>
      </c>
      <c r="F864" s="2" t="s">
        <v>3</v>
      </c>
      <c r="G864" s="4">
        <v>11400</v>
      </c>
      <c r="H864" s="5">
        <v>5.2299999999999999E-2</v>
      </c>
      <c r="I864" s="2">
        <v>24</v>
      </c>
      <c r="J864" s="2" t="s">
        <v>48</v>
      </c>
      <c r="K864" s="2" t="s">
        <v>45</v>
      </c>
      <c r="L864" s="3">
        <v>46208</v>
      </c>
    </row>
    <row r="865" spans="1:12">
      <c r="A865" s="2" t="s">
        <v>1490</v>
      </c>
      <c r="B865" s="3">
        <v>46207</v>
      </c>
      <c r="C865" s="2" t="s">
        <v>1491</v>
      </c>
      <c r="D865" s="2" t="s">
        <v>54</v>
      </c>
      <c r="E865" s="2" t="s">
        <v>30</v>
      </c>
      <c r="F865" s="2" t="s">
        <v>55</v>
      </c>
      <c r="G865" s="4">
        <v>10200</v>
      </c>
      <c r="H865" s="5">
        <v>4.9200000000000001E-2</v>
      </c>
      <c r="I865" s="2">
        <v>36</v>
      </c>
      <c r="J865" s="2" t="s">
        <v>148</v>
      </c>
      <c r="K865" s="2" t="s">
        <v>17</v>
      </c>
      <c r="L865" s="3">
        <v>46208</v>
      </c>
    </row>
    <row r="866" spans="1:12">
      <c r="A866" s="2" t="s">
        <v>1492</v>
      </c>
      <c r="B866" s="3">
        <v>46208</v>
      </c>
      <c r="C866" s="2" t="s">
        <v>1493</v>
      </c>
      <c r="D866" s="2" t="s">
        <v>25</v>
      </c>
      <c r="E866" s="2" t="s">
        <v>30</v>
      </c>
      <c r="F866" s="2" t="s">
        <v>3</v>
      </c>
      <c r="G866" s="4">
        <v>6200</v>
      </c>
      <c r="H866" s="5">
        <v>4.4200000000000003E-2</v>
      </c>
      <c r="I866" s="2">
        <v>60</v>
      </c>
      <c r="J866" s="2" t="s">
        <v>26</v>
      </c>
      <c r="K866" s="2" t="s">
        <v>17</v>
      </c>
      <c r="L866" s="3">
        <v>46210</v>
      </c>
    </row>
    <row r="867" spans="1:12">
      <c r="A867" s="2" t="s">
        <v>1494</v>
      </c>
      <c r="B867" s="3">
        <v>46208</v>
      </c>
      <c r="C867" s="2" t="s">
        <v>396</v>
      </c>
      <c r="D867" s="2" t="s">
        <v>14</v>
      </c>
      <c r="E867" s="2" t="s">
        <v>30</v>
      </c>
      <c r="F867" s="2" t="s">
        <v>31</v>
      </c>
      <c r="G867" s="4">
        <v>5200</v>
      </c>
      <c r="H867" s="5">
        <v>4.2000000000000003E-2</v>
      </c>
      <c r="I867" s="2">
        <v>36</v>
      </c>
      <c r="J867" s="2" t="s">
        <v>16</v>
      </c>
      <c r="K867" s="2" t="s">
        <v>17</v>
      </c>
      <c r="L867" s="3">
        <v>46208</v>
      </c>
    </row>
    <row r="868" spans="1:12">
      <c r="A868" s="2" t="s">
        <v>1495</v>
      </c>
      <c r="B868" s="3">
        <v>46208</v>
      </c>
      <c r="C868" s="2" t="s">
        <v>1496</v>
      </c>
      <c r="D868" s="2" t="s">
        <v>14</v>
      </c>
      <c r="E868" s="2" t="s">
        <v>30</v>
      </c>
      <c r="F868" s="2" t="s">
        <v>3</v>
      </c>
      <c r="G868" s="4">
        <v>14600</v>
      </c>
      <c r="H868" s="5">
        <v>4.36E-2</v>
      </c>
      <c r="I868" s="2">
        <v>48</v>
      </c>
      <c r="J868" s="2" t="s">
        <v>48</v>
      </c>
      <c r="K868" s="2" t="s">
        <v>17</v>
      </c>
      <c r="L868" s="3">
        <v>46210</v>
      </c>
    </row>
    <row r="869" spans="1:12">
      <c r="A869" s="2" t="s">
        <v>1495</v>
      </c>
      <c r="B869" s="3">
        <v>46208</v>
      </c>
      <c r="C869" s="2" t="s">
        <v>1496</v>
      </c>
      <c r="D869" s="2" t="s">
        <v>14</v>
      </c>
      <c r="E869" s="2" t="s">
        <v>30</v>
      </c>
      <c r="F869" s="2" t="s">
        <v>3</v>
      </c>
      <c r="G869" s="4">
        <v>14600</v>
      </c>
      <c r="H869" s="5">
        <v>4.36E-2</v>
      </c>
      <c r="I869" s="2">
        <v>48</v>
      </c>
      <c r="J869" s="2" t="s">
        <v>48</v>
      </c>
      <c r="K869" s="2" t="s">
        <v>17</v>
      </c>
      <c r="L869" s="3">
        <v>46210</v>
      </c>
    </row>
    <row r="870" spans="1:12">
      <c r="A870" s="2" t="s">
        <v>1497</v>
      </c>
      <c r="B870" s="3">
        <v>46208</v>
      </c>
      <c r="C870" s="2" t="s">
        <v>552</v>
      </c>
      <c r="D870" s="2" t="s">
        <v>54</v>
      </c>
      <c r="E870" s="2" t="s">
        <v>15</v>
      </c>
      <c r="F870" s="2" t="s">
        <v>3</v>
      </c>
      <c r="G870" s="4">
        <v>15600</v>
      </c>
      <c r="H870" s="5">
        <v>6.6699999999999995E-2</v>
      </c>
      <c r="I870" s="2">
        <v>48</v>
      </c>
      <c r="J870" s="2" t="s">
        <v>186</v>
      </c>
      <c r="K870" s="2" t="s">
        <v>17</v>
      </c>
      <c r="L870" s="3">
        <v>46212</v>
      </c>
    </row>
    <row r="871" spans="1:12">
      <c r="A871" s="2" t="s">
        <v>1498</v>
      </c>
      <c r="B871" s="3">
        <v>46208</v>
      </c>
      <c r="C871" s="2" t="s">
        <v>1499</v>
      </c>
      <c r="D871" s="2" t="s">
        <v>14</v>
      </c>
      <c r="E871" s="2" t="s">
        <v>15</v>
      </c>
      <c r="F871" s="2" t="s">
        <v>31</v>
      </c>
      <c r="G871" s="4">
        <v>3300</v>
      </c>
      <c r="H871" s="5">
        <v>5.2499999999999998E-2</v>
      </c>
      <c r="I871" s="2">
        <v>12</v>
      </c>
      <c r="J871" s="2" t="s">
        <v>40</v>
      </c>
      <c r="K871" s="2" t="s">
        <v>17</v>
      </c>
      <c r="L871" s="3">
        <v>46212</v>
      </c>
    </row>
    <row r="872" spans="1:12">
      <c r="A872" s="2" t="s">
        <v>1500</v>
      </c>
      <c r="B872" s="3">
        <v>46208</v>
      </c>
      <c r="C872" s="2" t="s">
        <v>828</v>
      </c>
      <c r="D872" s="2" t="s">
        <v>29</v>
      </c>
      <c r="E872" s="2" t="s">
        <v>30</v>
      </c>
      <c r="F872" s="2" t="s">
        <v>3</v>
      </c>
      <c r="G872" s="4">
        <v>20300</v>
      </c>
      <c r="H872" s="5">
        <v>4.6399999999999997E-2</v>
      </c>
      <c r="I872" s="2">
        <v>60</v>
      </c>
      <c r="J872" s="2" t="s">
        <v>32</v>
      </c>
      <c r="K872" s="2" t="s">
        <v>17</v>
      </c>
      <c r="L872" s="3">
        <v>46211</v>
      </c>
    </row>
    <row r="873" spans="1:12">
      <c r="A873" s="2" t="s">
        <v>1501</v>
      </c>
      <c r="B873" s="3">
        <v>46208</v>
      </c>
      <c r="C873" s="2" t="s">
        <v>642</v>
      </c>
      <c r="D873" s="2" t="s">
        <v>29</v>
      </c>
      <c r="E873" s="2" t="s">
        <v>43</v>
      </c>
      <c r="F873" s="2" t="s">
        <v>3</v>
      </c>
      <c r="G873" s="4">
        <v>73500</v>
      </c>
      <c r="H873" s="5">
        <v>6.0299999999999999E-2</v>
      </c>
      <c r="I873" s="2">
        <v>24</v>
      </c>
      <c r="J873" s="2" t="s">
        <v>61</v>
      </c>
      <c r="K873" s="2" t="s">
        <v>17</v>
      </c>
      <c r="L873" s="3">
        <v>46223</v>
      </c>
    </row>
    <row r="874" spans="1:12">
      <c r="A874" s="2" t="s">
        <v>1502</v>
      </c>
      <c r="B874" s="3">
        <v>46208</v>
      </c>
      <c r="C874" s="2" t="s">
        <v>86</v>
      </c>
      <c r="D874" s="2" t="s">
        <v>71</v>
      </c>
      <c r="E874" s="2" t="s">
        <v>15</v>
      </c>
      <c r="F874" s="2" t="s">
        <v>3</v>
      </c>
      <c r="G874" s="4">
        <v>17600</v>
      </c>
      <c r="H874" s="5">
        <v>6.5299999999999997E-2</v>
      </c>
      <c r="I874" s="2">
        <v>60</v>
      </c>
      <c r="J874" s="2" t="s">
        <v>101</v>
      </c>
      <c r="K874" s="2" t="s">
        <v>45</v>
      </c>
      <c r="L874" s="3">
        <v>46215</v>
      </c>
    </row>
    <row r="875" spans="1:12">
      <c r="A875" s="2" t="s">
        <v>1503</v>
      </c>
      <c r="B875" s="3">
        <v>46208</v>
      </c>
      <c r="C875" s="2" t="s">
        <v>122</v>
      </c>
      <c r="D875" s="2" t="s">
        <v>14</v>
      </c>
      <c r="E875" s="2" t="s">
        <v>15</v>
      </c>
      <c r="F875" s="2" t="s">
        <v>55</v>
      </c>
      <c r="G875" s="4">
        <v>25000</v>
      </c>
      <c r="H875" s="5">
        <v>6.0499999999999998E-2</v>
      </c>
      <c r="I875" s="2">
        <v>24</v>
      </c>
      <c r="J875" s="2" t="s">
        <v>40</v>
      </c>
      <c r="K875" s="2" t="s">
        <v>45</v>
      </c>
      <c r="L875" s="3">
        <v>46214</v>
      </c>
    </row>
    <row r="876" spans="1:12">
      <c r="A876" s="2" t="s">
        <v>1504</v>
      </c>
      <c r="B876" s="3">
        <v>46209</v>
      </c>
      <c r="C876" s="2" t="s">
        <v>1505</v>
      </c>
      <c r="D876" s="2" t="s">
        <v>14</v>
      </c>
      <c r="E876" s="2" t="s">
        <v>15</v>
      </c>
      <c r="F876" s="2" t="s">
        <v>31</v>
      </c>
      <c r="G876" s="4">
        <v>8200</v>
      </c>
      <c r="H876" s="5">
        <v>6.6799999999999998E-2</v>
      </c>
      <c r="I876" s="2">
        <v>12</v>
      </c>
      <c r="J876" s="2" t="s">
        <v>48</v>
      </c>
      <c r="K876" s="2" t="s">
        <v>45</v>
      </c>
      <c r="L876" s="3">
        <v>46212</v>
      </c>
    </row>
    <row r="877" spans="1:12">
      <c r="A877" s="2" t="s">
        <v>1506</v>
      </c>
      <c r="B877" s="3">
        <v>46209</v>
      </c>
      <c r="C877" s="2" t="s">
        <v>740</v>
      </c>
      <c r="D877" s="2" t="s">
        <v>29</v>
      </c>
      <c r="E877" s="2" t="s">
        <v>21</v>
      </c>
      <c r="F877" s="2" t="s">
        <v>55</v>
      </c>
      <c r="G877" s="4">
        <v>118300</v>
      </c>
      <c r="H877" s="5">
        <v>4.3700000000000003E-2</v>
      </c>
      <c r="I877" s="2">
        <v>180</v>
      </c>
      <c r="J877" s="2" t="s">
        <v>32</v>
      </c>
      <c r="K877" s="2" t="s">
        <v>45</v>
      </c>
      <c r="L877" s="3">
        <v>46237</v>
      </c>
    </row>
    <row r="878" spans="1:12">
      <c r="A878" s="2" t="s">
        <v>1507</v>
      </c>
      <c r="B878" s="3">
        <v>46209</v>
      </c>
      <c r="C878" s="2" t="s">
        <v>36</v>
      </c>
      <c r="D878" s="2" t="s">
        <v>20</v>
      </c>
      <c r="E878" s="2" t="s">
        <v>15</v>
      </c>
      <c r="F878" s="2" t="s">
        <v>31</v>
      </c>
      <c r="G878" s="4">
        <v>4000</v>
      </c>
      <c r="H878" s="5">
        <v>5.8799999999999998E-2</v>
      </c>
      <c r="I878" s="2">
        <v>48</v>
      </c>
      <c r="J878" s="2" t="s">
        <v>22</v>
      </c>
      <c r="K878" s="2" t="s">
        <v>17</v>
      </c>
      <c r="L878" s="3">
        <v>46210</v>
      </c>
    </row>
    <row r="879" spans="1:12">
      <c r="A879" s="2" t="s">
        <v>1508</v>
      </c>
      <c r="B879" s="3">
        <v>46209</v>
      </c>
      <c r="C879" s="2" t="s">
        <v>605</v>
      </c>
      <c r="D879" s="2" t="s">
        <v>25</v>
      </c>
      <c r="E879" s="2" t="s">
        <v>30</v>
      </c>
      <c r="F879" s="2" t="s">
        <v>31</v>
      </c>
      <c r="G879" s="4">
        <v>9800</v>
      </c>
      <c r="H879" s="5">
        <v>3.6499999999999998E-2</v>
      </c>
      <c r="I879" s="2">
        <v>36</v>
      </c>
      <c r="J879" s="2" t="s">
        <v>26</v>
      </c>
      <c r="K879" s="2" t="s">
        <v>17</v>
      </c>
      <c r="L879" s="3">
        <v>46213</v>
      </c>
    </row>
    <row r="880" spans="1:12">
      <c r="A880" s="2" t="s">
        <v>1509</v>
      </c>
      <c r="B880" s="3">
        <v>46210</v>
      </c>
      <c r="C880" s="2" t="s">
        <v>1510</v>
      </c>
      <c r="D880" s="2" t="s">
        <v>71</v>
      </c>
      <c r="E880" s="2" t="s">
        <v>30</v>
      </c>
      <c r="F880" s="2" t="s">
        <v>3</v>
      </c>
      <c r="G880" s="4">
        <v>9300</v>
      </c>
      <c r="H880" s="5">
        <v>3.5499999999999997E-2</v>
      </c>
      <c r="I880" s="2">
        <v>48</v>
      </c>
      <c r="J880" s="2" t="s">
        <v>101</v>
      </c>
      <c r="K880" s="2" t="s">
        <v>45</v>
      </c>
      <c r="L880" s="3">
        <v>46216</v>
      </c>
    </row>
    <row r="881" spans="1:12">
      <c r="A881" s="2" t="s">
        <v>1511</v>
      </c>
      <c r="B881" s="3">
        <v>46210</v>
      </c>
      <c r="C881" s="2" t="s">
        <v>1002</v>
      </c>
      <c r="D881" s="2" t="s">
        <v>25</v>
      </c>
      <c r="E881" s="2" t="s">
        <v>30</v>
      </c>
      <c r="F881" s="2" t="s">
        <v>656</v>
      </c>
      <c r="G881" s="4">
        <v>7600</v>
      </c>
      <c r="H881" s="5">
        <v>4.2700000000000002E-2</v>
      </c>
      <c r="I881" s="2">
        <v>36</v>
      </c>
      <c r="J881" s="2" t="s">
        <v>26</v>
      </c>
      <c r="K881" s="2" t="s">
        <v>17</v>
      </c>
      <c r="L881" s="3">
        <v>46212</v>
      </c>
    </row>
    <row r="882" spans="1:12">
      <c r="A882" s="2" t="s">
        <v>1512</v>
      </c>
      <c r="B882" s="3">
        <v>46210</v>
      </c>
      <c r="C882" s="2" t="s">
        <v>1513</v>
      </c>
      <c r="D882" s="2" t="s">
        <v>29</v>
      </c>
      <c r="E882" s="2" t="s">
        <v>43</v>
      </c>
      <c r="F882" s="2" t="s">
        <v>3</v>
      </c>
      <c r="G882" s="4">
        <v>139000</v>
      </c>
      <c r="H882" s="5">
        <v>6.1100000000000002E-2</v>
      </c>
      <c r="I882" s="2">
        <v>84</v>
      </c>
      <c r="J882" s="2" t="s">
        <v>61</v>
      </c>
      <c r="K882" s="2" t="s">
        <v>17</v>
      </c>
      <c r="L882" s="3">
        <v>46225</v>
      </c>
    </row>
    <row r="883" spans="1:12">
      <c r="A883" s="2" t="s">
        <v>1514</v>
      </c>
      <c r="B883" s="3">
        <v>46210</v>
      </c>
      <c r="C883" s="2" t="s">
        <v>226</v>
      </c>
      <c r="D883" s="2" t="s">
        <v>20</v>
      </c>
      <c r="E883" s="2" t="s">
        <v>15</v>
      </c>
      <c r="F883" s="2" t="s">
        <v>3</v>
      </c>
      <c r="G883" s="4">
        <v>2100</v>
      </c>
      <c r="H883" s="5">
        <v>6.3100000000000003E-2</v>
      </c>
      <c r="I883" s="2">
        <v>48</v>
      </c>
      <c r="J883" s="2" t="s">
        <v>44</v>
      </c>
      <c r="K883" s="2" t="s">
        <v>17</v>
      </c>
      <c r="L883" s="3">
        <v>46214</v>
      </c>
    </row>
    <row r="884" spans="1:12">
      <c r="A884" s="2" t="s">
        <v>1515</v>
      </c>
      <c r="B884" s="3">
        <v>46211</v>
      </c>
      <c r="C884" s="2" t="s">
        <v>1516</v>
      </c>
      <c r="D884" s="2" t="s">
        <v>29</v>
      </c>
      <c r="E884" s="2" t="s">
        <v>43</v>
      </c>
      <c r="F884" s="2" t="s">
        <v>31</v>
      </c>
      <c r="G884" s="4">
        <v>45700</v>
      </c>
      <c r="H884" s="5">
        <v>6.3500000000000001E-2</v>
      </c>
      <c r="I884" s="2">
        <v>84</v>
      </c>
      <c r="J884" s="2" t="s">
        <v>123</v>
      </c>
      <c r="K884" s="2" t="s">
        <v>17</v>
      </c>
      <c r="L884" s="3">
        <v>46226</v>
      </c>
    </row>
    <row r="885" spans="1:12">
      <c r="A885" s="2" t="s">
        <v>1517</v>
      </c>
      <c r="B885" s="3">
        <v>46211</v>
      </c>
      <c r="C885" s="2" t="s">
        <v>577</v>
      </c>
      <c r="D885" s="2" t="s">
        <v>14</v>
      </c>
      <c r="E885" s="2" t="s">
        <v>43</v>
      </c>
      <c r="F885" s="2" t="s">
        <v>31</v>
      </c>
      <c r="G885" s="4">
        <v>78800</v>
      </c>
      <c r="H885" s="5">
        <v>6.5699999999999995E-2</v>
      </c>
      <c r="I885" s="2">
        <v>84</v>
      </c>
      <c r="J885" s="2" t="s">
        <v>16</v>
      </c>
      <c r="K885" s="2" t="s">
        <v>45</v>
      </c>
      <c r="L885" s="3">
        <v>46228</v>
      </c>
    </row>
    <row r="886" spans="1:12">
      <c r="A886" s="2" t="s">
        <v>1518</v>
      </c>
      <c r="B886" s="3">
        <v>46211</v>
      </c>
      <c r="C886" s="2" t="s">
        <v>1136</v>
      </c>
      <c r="D886" s="2" t="s">
        <v>29</v>
      </c>
      <c r="E886" s="2" t="s">
        <v>30</v>
      </c>
      <c r="F886" s="2" t="s">
        <v>3</v>
      </c>
      <c r="G886" s="4">
        <v>20600</v>
      </c>
      <c r="H886" s="5">
        <v>4.6300000000000001E-2</v>
      </c>
      <c r="I886" s="2">
        <v>36</v>
      </c>
      <c r="J886" s="2" t="s">
        <v>32</v>
      </c>
      <c r="K886" s="2" t="s">
        <v>17</v>
      </c>
      <c r="L886" s="3">
        <v>46216</v>
      </c>
    </row>
    <row r="887" spans="1:12">
      <c r="A887" s="2" t="s">
        <v>1519</v>
      </c>
      <c r="B887" s="3">
        <v>46211</v>
      </c>
      <c r="C887" s="2" t="s">
        <v>1520</v>
      </c>
      <c r="D887" s="2" t="s">
        <v>54</v>
      </c>
      <c r="E887" s="2" t="s">
        <v>15</v>
      </c>
      <c r="F887" s="2" t="s">
        <v>3</v>
      </c>
      <c r="G887" s="2" t="s">
        <v>1521</v>
      </c>
      <c r="H887" s="5">
        <v>5.8799999999999998E-2</v>
      </c>
      <c r="I887" s="2">
        <v>36</v>
      </c>
      <c r="J887" s="2" t="s">
        <v>56</v>
      </c>
      <c r="K887" s="2" t="s">
        <v>45</v>
      </c>
      <c r="L887" s="3">
        <v>46213</v>
      </c>
    </row>
    <row r="888" spans="1:12">
      <c r="A888" s="2" t="s">
        <v>1522</v>
      </c>
      <c r="B888" s="3">
        <v>46212</v>
      </c>
      <c r="C888" s="2" t="s">
        <v>1523</v>
      </c>
      <c r="D888" s="2" t="s">
        <v>20</v>
      </c>
      <c r="E888" s="2" t="s">
        <v>30</v>
      </c>
      <c r="F888" s="2" t="s">
        <v>3</v>
      </c>
      <c r="G888" s="4">
        <v>14900</v>
      </c>
      <c r="H888" s="5">
        <v>4.8800000000000003E-2</v>
      </c>
      <c r="I888" s="2">
        <v>48</v>
      </c>
      <c r="J888" s="2" t="s">
        <v>37</v>
      </c>
      <c r="K888" s="2" t="s">
        <v>17</v>
      </c>
      <c r="L888" s="3">
        <v>46217</v>
      </c>
    </row>
    <row r="889" spans="1:12">
      <c r="A889" s="2" t="s">
        <v>1524</v>
      </c>
      <c r="B889" s="3">
        <v>46212</v>
      </c>
      <c r="C889" s="2" t="s">
        <v>1525</v>
      </c>
      <c r="D889" s="2" t="s">
        <v>14</v>
      </c>
      <c r="E889" s="2" t="s">
        <v>30</v>
      </c>
      <c r="F889" s="2" t="s">
        <v>3</v>
      </c>
      <c r="G889" s="4">
        <v>6200</v>
      </c>
      <c r="H889" s="5">
        <v>4.9700000000000001E-2</v>
      </c>
      <c r="I889" s="2">
        <v>48</v>
      </c>
      <c r="J889" s="2" t="s">
        <v>48</v>
      </c>
      <c r="K889" s="2" t="s">
        <v>17</v>
      </c>
      <c r="L889" s="3">
        <v>46216</v>
      </c>
    </row>
    <row r="890" spans="1:12">
      <c r="A890" s="2" t="s">
        <v>1526</v>
      </c>
      <c r="B890" s="3">
        <v>46212</v>
      </c>
      <c r="C890" s="2" t="s">
        <v>1246</v>
      </c>
      <c r="D890" s="2" t="s">
        <v>29</v>
      </c>
      <c r="E890" s="2" t="s">
        <v>43</v>
      </c>
      <c r="F890" s="2" t="s">
        <v>3</v>
      </c>
      <c r="G890" s="4">
        <v>120800</v>
      </c>
      <c r="H890" s="5">
        <v>6.4399999999999999E-2</v>
      </c>
      <c r="I890" s="2">
        <v>36</v>
      </c>
      <c r="J890" s="2" t="s">
        <v>123</v>
      </c>
      <c r="K890" s="2" t="s">
        <v>17</v>
      </c>
      <c r="L890" s="3">
        <v>46220</v>
      </c>
    </row>
    <row r="891" spans="1:12">
      <c r="A891" s="2" t="s">
        <v>1527</v>
      </c>
      <c r="B891" s="3">
        <v>46212</v>
      </c>
      <c r="C891" s="2" t="s">
        <v>819</v>
      </c>
      <c r="D891" s="2" t="s">
        <v>14</v>
      </c>
      <c r="E891" s="2" t="s">
        <v>43</v>
      </c>
      <c r="F891" s="2" t="s">
        <v>31</v>
      </c>
      <c r="G891" s="4">
        <v>56400</v>
      </c>
      <c r="H891" s="5">
        <v>6.4899999999999999E-2</v>
      </c>
      <c r="I891" s="2">
        <v>84</v>
      </c>
      <c r="J891" s="2" t="s">
        <v>40</v>
      </c>
      <c r="K891" s="2" t="s">
        <v>17</v>
      </c>
      <c r="L891" s="3">
        <v>46229</v>
      </c>
    </row>
    <row r="892" spans="1:12">
      <c r="A892" s="2" t="s">
        <v>1528</v>
      </c>
      <c r="B892" s="3">
        <v>46213</v>
      </c>
      <c r="C892" s="2" t="s">
        <v>427</v>
      </c>
      <c r="D892" s="2" t="s">
        <v>20</v>
      </c>
      <c r="E892" s="2" t="s">
        <v>15</v>
      </c>
      <c r="F892" s="2" t="s">
        <v>31</v>
      </c>
      <c r="G892" s="4">
        <v>24500</v>
      </c>
      <c r="H892" s="5">
        <v>6.4500000000000002E-2</v>
      </c>
      <c r="I892" s="2">
        <v>60</v>
      </c>
      <c r="J892" s="2" t="s">
        <v>37</v>
      </c>
      <c r="K892" s="2" t="s">
        <v>17</v>
      </c>
      <c r="L892" s="3">
        <v>46217</v>
      </c>
    </row>
    <row r="893" spans="1:12">
      <c r="A893" s="2" t="s">
        <v>1529</v>
      </c>
      <c r="B893" s="3">
        <v>46213</v>
      </c>
      <c r="C893" s="2" t="s">
        <v>462</v>
      </c>
      <c r="D893" s="2" t="s">
        <v>25</v>
      </c>
      <c r="E893" s="2" t="s">
        <v>30</v>
      </c>
      <c r="F893" s="2" t="s">
        <v>31</v>
      </c>
      <c r="G893" s="4">
        <v>11900</v>
      </c>
      <c r="H893" s="5">
        <v>4.2500000000000003E-2</v>
      </c>
      <c r="I893" s="2">
        <v>48</v>
      </c>
      <c r="J893" s="2" t="s">
        <v>181</v>
      </c>
      <c r="K893" s="2" t="s">
        <v>45</v>
      </c>
      <c r="L893" s="3">
        <v>46215</v>
      </c>
    </row>
    <row r="894" spans="1:12">
      <c r="A894" s="2" t="s">
        <v>1530</v>
      </c>
      <c r="B894" s="3">
        <v>46213</v>
      </c>
      <c r="C894" s="2" t="s">
        <v>1531</v>
      </c>
      <c r="D894" s="2" t="s">
        <v>71</v>
      </c>
      <c r="E894" s="2" t="s">
        <v>21</v>
      </c>
      <c r="F894" s="2" t="s">
        <v>3</v>
      </c>
      <c r="G894" s="4">
        <v>198800</v>
      </c>
      <c r="H894" s="5">
        <v>4.0300000000000002E-2</v>
      </c>
      <c r="I894" s="2">
        <v>120</v>
      </c>
      <c r="J894" s="2" t="s">
        <v>101</v>
      </c>
      <c r="K894" s="2" t="s">
        <v>45</v>
      </c>
      <c r="L894" s="3">
        <v>46241</v>
      </c>
    </row>
    <row r="895" spans="1:12">
      <c r="A895" s="2" t="s">
        <v>1532</v>
      </c>
      <c r="B895" s="3">
        <v>46213</v>
      </c>
      <c r="C895" s="2" t="s">
        <v>1533</v>
      </c>
      <c r="D895" s="2" t="s">
        <v>25</v>
      </c>
      <c r="E895" s="2" t="s">
        <v>30</v>
      </c>
      <c r="F895" s="2" t="s">
        <v>55</v>
      </c>
      <c r="G895" s="4">
        <v>11600</v>
      </c>
      <c r="H895" s="5">
        <v>4.02E-2</v>
      </c>
      <c r="I895" s="2">
        <v>60</v>
      </c>
      <c r="J895" s="2" t="s">
        <v>181</v>
      </c>
      <c r="K895" s="2" t="s">
        <v>17</v>
      </c>
      <c r="L895" s="3">
        <v>46218</v>
      </c>
    </row>
    <row r="896" spans="1:12">
      <c r="A896" s="2" t="s">
        <v>1534</v>
      </c>
      <c r="B896" s="3">
        <v>46213</v>
      </c>
      <c r="C896" s="2" t="s">
        <v>1096</v>
      </c>
      <c r="D896" s="2" t="s">
        <v>14</v>
      </c>
      <c r="E896" s="2" t="s">
        <v>30</v>
      </c>
      <c r="F896" s="2" t="s">
        <v>31</v>
      </c>
      <c r="G896" s="4">
        <v>4900</v>
      </c>
      <c r="H896" s="5">
        <v>4.1200000000000001E-2</v>
      </c>
      <c r="I896" s="2">
        <v>48</v>
      </c>
      <c r="J896" s="2" t="s">
        <v>48</v>
      </c>
      <c r="K896" s="2" t="s">
        <v>17</v>
      </c>
      <c r="L896" s="3">
        <v>46216</v>
      </c>
    </row>
    <row r="897" spans="1:12">
      <c r="A897" s="2" t="s">
        <v>1534</v>
      </c>
      <c r="B897" s="3">
        <v>46213</v>
      </c>
      <c r="C897" s="2" t="s">
        <v>1096</v>
      </c>
      <c r="D897" s="2" t="s">
        <v>14</v>
      </c>
      <c r="E897" s="2" t="s">
        <v>30</v>
      </c>
      <c r="F897" s="2" t="s">
        <v>31</v>
      </c>
      <c r="G897" s="4">
        <v>4900</v>
      </c>
      <c r="H897" s="5">
        <v>4.1200000000000001E-2</v>
      </c>
      <c r="I897" s="2">
        <v>48</v>
      </c>
      <c r="J897" s="2" t="s">
        <v>48</v>
      </c>
      <c r="K897" s="2" t="s">
        <v>17</v>
      </c>
      <c r="L897" s="3">
        <v>46216</v>
      </c>
    </row>
    <row r="898" spans="1:12">
      <c r="A898" s="2" t="s">
        <v>1535</v>
      </c>
      <c r="B898" s="3">
        <v>46213</v>
      </c>
      <c r="C898" s="2" t="s">
        <v>114</v>
      </c>
      <c r="D898" s="2" t="s">
        <v>25</v>
      </c>
      <c r="E898" s="2" t="s">
        <v>15</v>
      </c>
      <c r="F898" s="2" t="s">
        <v>3</v>
      </c>
      <c r="G898" s="4">
        <v>3700</v>
      </c>
      <c r="H898" s="5">
        <v>6.1400000000000003E-2</v>
      </c>
      <c r="I898" s="2">
        <v>36</v>
      </c>
      <c r="J898" s="2" t="s">
        <v>181</v>
      </c>
      <c r="K898" s="2" t="s">
        <v>17</v>
      </c>
      <c r="L898" s="3">
        <v>46214</v>
      </c>
    </row>
    <row r="899" spans="1:12">
      <c r="A899" s="2" t="s">
        <v>1536</v>
      </c>
      <c r="B899" s="3">
        <v>46213</v>
      </c>
      <c r="C899" s="2" t="s">
        <v>1537</v>
      </c>
      <c r="D899" s="2" t="s">
        <v>71</v>
      </c>
      <c r="E899" s="2" t="s">
        <v>30</v>
      </c>
      <c r="F899" s="2" t="s">
        <v>55</v>
      </c>
      <c r="G899" s="4">
        <v>4800</v>
      </c>
      <c r="H899" s="5">
        <v>4.1300000000000003E-2</v>
      </c>
      <c r="I899" s="2">
        <v>48</v>
      </c>
      <c r="J899" s="2" t="s">
        <v>94</v>
      </c>
      <c r="K899" s="2" t="s">
        <v>17</v>
      </c>
      <c r="L899" s="3">
        <v>46219</v>
      </c>
    </row>
    <row r="900" spans="1:12">
      <c r="A900" s="2" t="s">
        <v>1538</v>
      </c>
      <c r="B900" s="3">
        <v>46213</v>
      </c>
      <c r="C900" s="2" t="s">
        <v>1060</v>
      </c>
      <c r="D900" s="2" t="s">
        <v>14</v>
      </c>
      <c r="E900" s="2" t="s">
        <v>21</v>
      </c>
      <c r="F900" s="2" t="s">
        <v>147</v>
      </c>
      <c r="G900" s="4">
        <v>119900</v>
      </c>
      <c r="H900" s="5">
        <v>3.6700000000000003E-2</v>
      </c>
      <c r="I900" s="2">
        <v>180</v>
      </c>
      <c r="J900" s="2" t="s">
        <v>48</v>
      </c>
      <c r="K900" s="2" t="s">
        <v>45</v>
      </c>
      <c r="L900" s="3">
        <v>46236</v>
      </c>
    </row>
    <row r="901" spans="1:12">
      <c r="A901" s="2" t="s">
        <v>1539</v>
      </c>
      <c r="B901" s="3">
        <v>46214</v>
      </c>
      <c r="C901" s="2" t="s">
        <v>475</v>
      </c>
      <c r="D901" s="2" t="s">
        <v>29</v>
      </c>
      <c r="E901" s="2" t="s">
        <v>30</v>
      </c>
      <c r="F901" s="2" t="s">
        <v>3</v>
      </c>
      <c r="G901" s="4">
        <v>12900</v>
      </c>
      <c r="H901" s="5">
        <v>4.2200000000000001E-2</v>
      </c>
      <c r="I901" s="2">
        <v>60</v>
      </c>
      <c r="J901" s="2" t="s">
        <v>61</v>
      </c>
      <c r="K901" s="2" t="s">
        <v>17</v>
      </c>
      <c r="L901" s="3">
        <v>46219</v>
      </c>
    </row>
    <row r="902" spans="1:12">
      <c r="A902" s="2" t="s">
        <v>1540</v>
      </c>
      <c r="B902" s="3">
        <v>46214</v>
      </c>
      <c r="C902" s="2" t="s">
        <v>1000</v>
      </c>
      <c r="D902" s="2" t="s">
        <v>14</v>
      </c>
      <c r="E902" s="2" t="s">
        <v>30</v>
      </c>
      <c r="F902" s="2" t="s">
        <v>3</v>
      </c>
      <c r="G902" s="4">
        <v>15000</v>
      </c>
      <c r="H902" s="5">
        <v>3.9600000000000003E-2</v>
      </c>
      <c r="I902" s="2">
        <v>60</v>
      </c>
      <c r="J902" s="2" t="s">
        <v>16</v>
      </c>
      <c r="K902" s="2" t="s">
        <v>45</v>
      </c>
      <c r="L902" s="3">
        <v>46217</v>
      </c>
    </row>
    <row r="903" spans="1:12">
      <c r="A903" s="2" t="s">
        <v>1541</v>
      </c>
      <c r="B903" s="3">
        <v>46214</v>
      </c>
      <c r="C903" s="2" t="s">
        <v>284</v>
      </c>
      <c r="D903" s="2" t="s">
        <v>25</v>
      </c>
      <c r="E903" s="2" t="s">
        <v>15</v>
      </c>
      <c r="F903" s="2" t="s">
        <v>3</v>
      </c>
      <c r="G903" s="4">
        <v>7000</v>
      </c>
      <c r="H903" s="5">
        <v>5.7200000000000001E-2</v>
      </c>
      <c r="I903" s="2">
        <v>24</v>
      </c>
      <c r="J903" s="2" t="s">
        <v>181</v>
      </c>
      <c r="K903" s="2" t="s">
        <v>45</v>
      </c>
      <c r="L903" s="3">
        <v>46220</v>
      </c>
    </row>
    <row r="904" spans="1:12">
      <c r="A904" s="2" t="s">
        <v>1542</v>
      </c>
      <c r="B904" s="3">
        <v>46215</v>
      </c>
      <c r="C904" s="2" t="s">
        <v>1543</v>
      </c>
      <c r="D904" s="2" t="s">
        <v>20</v>
      </c>
      <c r="E904" s="2" t="s">
        <v>43</v>
      </c>
      <c r="F904" s="2" t="s">
        <v>3</v>
      </c>
      <c r="G904" s="4">
        <v>133000</v>
      </c>
      <c r="H904" s="5">
        <v>5.7799999999999997E-2</v>
      </c>
      <c r="I904" s="2">
        <v>84</v>
      </c>
      <c r="J904" s="2" t="s">
        <v>37</v>
      </c>
      <c r="K904" s="2" t="s">
        <v>45</v>
      </c>
      <c r="L904" s="3">
        <v>46228</v>
      </c>
    </row>
    <row r="905" spans="1:12">
      <c r="A905" s="2" t="s">
        <v>1544</v>
      </c>
      <c r="B905" s="3">
        <v>46215</v>
      </c>
      <c r="C905" s="2" t="s">
        <v>588</v>
      </c>
      <c r="D905" s="2" t="s">
        <v>71</v>
      </c>
      <c r="E905" s="2" t="s">
        <v>15</v>
      </c>
      <c r="F905" s="2" t="s">
        <v>3</v>
      </c>
      <c r="G905" s="4">
        <v>23400</v>
      </c>
      <c r="H905" s="5">
        <v>5.3600000000000002E-2</v>
      </c>
      <c r="I905" s="2">
        <v>24</v>
      </c>
      <c r="J905" s="2" t="s">
        <v>101</v>
      </c>
      <c r="K905" s="2" t="s">
        <v>17</v>
      </c>
      <c r="L905" s="3">
        <v>46222</v>
      </c>
    </row>
    <row r="906" spans="1:12">
      <c r="A906" s="2" t="s">
        <v>1545</v>
      </c>
      <c r="B906" s="3">
        <v>46215</v>
      </c>
      <c r="C906" s="2" t="s">
        <v>816</v>
      </c>
      <c r="D906" s="2" t="s">
        <v>25</v>
      </c>
      <c r="E906" s="2" t="s">
        <v>15</v>
      </c>
      <c r="F906" s="2" t="s">
        <v>3</v>
      </c>
      <c r="G906" s="4">
        <v>16400</v>
      </c>
      <c r="H906" s="5">
        <v>5.3499999999999999E-2</v>
      </c>
      <c r="I906" s="2">
        <v>12</v>
      </c>
      <c r="J906" s="2" t="s">
        <v>26</v>
      </c>
      <c r="K906" s="2" t="s">
        <v>17</v>
      </c>
      <c r="L906" s="3">
        <v>46219</v>
      </c>
    </row>
    <row r="907" spans="1:12">
      <c r="A907" s="2" t="s">
        <v>1546</v>
      </c>
      <c r="B907" s="3">
        <v>46215</v>
      </c>
      <c r="C907" s="2" t="s">
        <v>1547</v>
      </c>
      <c r="D907" s="2" t="s">
        <v>25</v>
      </c>
      <c r="E907" s="2" t="s">
        <v>30</v>
      </c>
      <c r="F907" s="2" t="s">
        <v>3</v>
      </c>
      <c r="G907" s="4">
        <v>12700</v>
      </c>
      <c r="H907" s="5">
        <v>4.2599999999999999E-2</v>
      </c>
      <c r="I907" s="2">
        <v>48</v>
      </c>
      <c r="J907" s="2" t="s">
        <v>66</v>
      </c>
      <c r="K907" s="2" t="s">
        <v>17</v>
      </c>
      <c r="L907" s="3">
        <v>46219</v>
      </c>
    </row>
    <row r="908" spans="1:12">
      <c r="A908" s="2" t="s">
        <v>1548</v>
      </c>
      <c r="B908" s="3">
        <v>46216</v>
      </c>
      <c r="C908" s="2" t="s">
        <v>557</v>
      </c>
      <c r="D908" s="2" t="s">
        <v>25</v>
      </c>
      <c r="E908" s="2" t="s">
        <v>30</v>
      </c>
      <c r="F908" s="2" t="s">
        <v>3</v>
      </c>
      <c r="G908" s="4">
        <v>5000</v>
      </c>
      <c r="H908" s="5">
        <v>3.6200000000000003E-2</v>
      </c>
      <c r="I908" s="2">
        <v>48</v>
      </c>
      <c r="J908" s="2" t="s">
        <v>181</v>
      </c>
      <c r="K908" s="2" t="s">
        <v>17</v>
      </c>
      <c r="L908" s="3">
        <v>46221</v>
      </c>
    </row>
    <row r="909" spans="1:12">
      <c r="A909" s="2" t="s">
        <v>1549</v>
      </c>
      <c r="B909" s="3">
        <v>46216</v>
      </c>
      <c r="C909" s="2" t="s">
        <v>1550</v>
      </c>
      <c r="D909" s="2" t="s">
        <v>25</v>
      </c>
      <c r="E909" s="2" t="s">
        <v>43</v>
      </c>
      <c r="F909" s="2" t="s">
        <v>55</v>
      </c>
      <c r="G909" s="4">
        <v>27800</v>
      </c>
      <c r="H909" s="5">
        <v>6.5199999999999994E-2</v>
      </c>
      <c r="I909" s="2">
        <v>84</v>
      </c>
      <c r="J909" s="2" t="s">
        <v>26</v>
      </c>
      <c r="K909" s="2" t="s">
        <v>45</v>
      </c>
      <c r="L909" s="3">
        <v>46236</v>
      </c>
    </row>
    <row r="910" spans="1:12">
      <c r="A910" s="2" t="s">
        <v>1551</v>
      </c>
      <c r="B910" s="3">
        <v>46216</v>
      </c>
      <c r="C910" s="2" t="s">
        <v>1335</v>
      </c>
      <c r="D910" s="2" t="s">
        <v>29</v>
      </c>
      <c r="E910" s="2" t="s">
        <v>30</v>
      </c>
      <c r="F910" s="2" t="s">
        <v>55</v>
      </c>
      <c r="G910" s="4">
        <v>4900</v>
      </c>
      <c r="H910" s="5">
        <v>3.7900000000000003E-2</v>
      </c>
      <c r="I910" s="2">
        <v>48</v>
      </c>
      <c r="J910" s="2" t="s">
        <v>32</v>
      </c>
      <c r="K910" s="2" t="s">
        <v>17</v>
      </c>
      <c r="L910" s="3">
        <v>46218</v>
      </c>
    </row>
    <row r="911" spans="1:12">
      <c r="A911" s="2" t="s">
        <v>1552</v>
      </c>
      <c r="B911" s="3">
        <v>46216</v>
      </c>
      <c r="C911" s="2" t="s">
        <v>1380</v>
      </c>
      <c r="D911" s="2" t="s">
        <v>20</v>
      </c>
      <c r="E911" s="2" t="s">
        <v>43</v>
      </c>
      <c r="F911" s="2" t="s">
        <v>3</v>
      </c>
      <c r="G911" s="4">
        <v>33600</v>
      </c>
      <c r="H911" s="5">
        <v>7.3999999999999996E-2</v>
      </c>
      <c r="I911" s="2">
        <v>36</v>
      </c>
      <c r="J911" s="2" t="s">
        <v>22</v>
      </c>
      <c r="K911" s="2" t="s">
        <v>17</v>
      </c>
      <c r="L911" s="3">
        <v>46231</v>
      </c>
    </row>
    <row r="912" spans="1:12">
      <c r="A912" s="2" t="s">
        <v>1553</v>
      </c>
      <c r="B912" s="3">
        <v>46216</v>
      </c>
      <c r="C912" s="2" t="s">
        <v>1068</v>
      </c>
      <c r="D912" s="2" t="s">
        <v>14</v>
      </c>
      <c r="E912" s="2" t="s">
        <v>21</v>
      </c>
      <c r="F912" s="2" t="s">
        <v>31</v>
      </c>
      <c r="G912" s="4">
        <v>295200</v>
      </c>
      <c r="H912" s="5">
        <v>3.0499999999999999E-2</v>
      </c>
      <c r="I912" s="2">
        <v>240</v>
      </c>
      <c r="J912" s="2" t="s">
        <v>40</v>
      </c>
      <c r="K912" s="2" t="s">
        <v>45</v>
      </c>
      <c r="L912" s="3">
        <v>46244</v>
      </c>
    </row>
    <row r="913" spans="1:12">
      <c r="A913" s="2" t="s">
        <v>1554</v>
      </c>
      <c r="B913" s="3">
        <v>46216</v>
      </c>
      <c r="C913" s="2" t="s">
        <v>1272</v>
      </c>
      <c r="D913" s="2" t="s">
        <v>14</v>
      </c>
      <c r="E913" s="2" t="s">
        <v>30</v>
      </c>
      <c r="F913" s="2" t="s">
        <v>3</v>
      </c>
      <c r="G913" s="4">
        <v>4700</v>
      </c>
      <c r="H913" s="5">
        <v>3.5900000000000001E-2</v>
      </c>
      <c r="I913" s="2">
        <v>60</v>
      </c>
      <c r="J913" s="2" t="s">
        <v>48</v>
      </c>
      <c r="K913" s="2" t="s">
        <v>17</v>
      </c>
      <c r="L913" s="3">
        <v>46218</v>
      </c>
    </row>
    <row r="914" spans="1:12">
      <c r="A914" s="2" t="s">
        <v>1555</v>
      </c>
      <c r="B914" s="3">
        <v>46217</v>
      </c>
      <c r="C914" s="2" t="s">
        <v>537</v>
      </c>
      <c r="D914" s="2" t="s">
        <v>71</v>
      </c>
      <c r="E914" s="2" t="s">
        <v>30</v>
      </c>
      <c r="F914" s="2" t="s">
        <v>31</v>
      </c>
      <c r="G914" s="4">
        <v>12400</v>
      </c>
      <c r="H914" s="5">
        <v>4.5199999999999997E-2</v>
      </c>
      <c r="I914" s="2">
        <v>60</v>
      </c>
      <c r="J914" s="2" t="s">
        <v>101</v>
      </c>
      <c r="K914" s="2" t="s">
        <v>45</v>
      </c>
      <c r="L914" s="3">
        <v>46224</v>
      </c>
    </row>
    <row r="915" spans="1:12">
      <c r="A915" s="2" t="s">
        <v>1556</v>
      </c>
      <c r="B915" s="3">
        <v>46217</v>
      </c>
      <c r="C915" s="2" t="s">
        <v>888</v>
      </c>
      <c r="D915" s="2" t="s">
        <v>20</v>
      </c>
      <c r="E915" s="2" t="s">
        <v>30</v>
      </c>
      <c r="F915" s="2" t="s">
        <v>31</v>
      </c>
      <c r="G915" s="4">
        <v>13100</v>
      </c>
      <c r="H915" s="5">
        <v>0.04</v>
      </c>
      <c r="I915" s="2">
        <v>48</v>
      </c>
      <c r="J915" s="2" t="s">
        <v>44</v>
      </c>
      <c r="K915" s="2" t="s">
        <v>17</v>
      </c>
      <c r="L915" s="3">
        <v>46220</v>
      </c>
    </row>
    <row r="916" spans="1:12">
      <c r="A916" s="2" t="s">
        <v>1557</v>
      </c>
      <c r="B916" s="3">
        <v>46217</v>
      </c>
      <c r="C916" s="2" t="s">
        <v>1558</v>
      </c>
      <c r="D916" s="2" t="s">
        <v>14</v>
      </c>
      <c r="E916" s="2" t="s">
        <v>15</v>
      </c>
      <c r="F916" s="2" t="s">
        <v>3</v>
      </c>
      <c r="G916" s="4">
        <v>6600</v>
      </c>
      <c r="H916" s="5">
        <v>5.57E-2</v>
      </c>
      <c r="I916" s="2">
        <v>12</v>
      </c>
      <c r="J916" s="2" t="s">
        <v>40</v>
      </c>
      <c r="K916" s="2" t="s">
        <v>45</v>
      </c>
      <c r="L916" s="3">
        <v>46219</v>
      </c>
    </row>
    <row r="917" spans="1:12">
      <c r="A917" s="2" t="s">
        <v>1559</v>
      </c>
      <c r="B917" s="3">
        <v>46217</v>
      </c>
      <c r="C917" s="2" t="s">
        <v>445</v>
      </c>
      <c r="D917" s="2" t="s">
        <v>14</v>
      </c>
      <c r="E917" s="2" t="s">
        <v>15</v>
      </c>
      <c r="F917" s="2" t="s">
        <v>332</v>
      </c>
      <c r="G917" s="4">
        <v>3300</v>
      </c>
      <c r="H917" s="5">
        <v>7.0000000000000007E-2</v>
      </c>
      <c r="I917" s="2">
        <v>12</v>
      </c>
      <c r="J917" s="2" t="s">
        <v>48</v>
      </c>
      <c r="K917" s="2" t="s">
        <v>17</v>
      </c>
      <c r="L917" s="3">
        <v>46219</v>
      </c>
    </row>
    <row r="918" spans="1:12">
      <c r="A918" s="2" t="s">
        <v>1560</v>
      </c>
      <c r="B918" s="3">
        <v>46217</v>
      </c>
      <c r="C918" s="2" t="s">
        <v>1081</v>
      </c>
      <c r="D918" s="2" t="s">
        <v>25</v>
      </c>
      <c r="E918" s="2" t="s">
        <v>30</v>
      </c>
      <c r="F918" s="2" t="s">
        <v>3</v>
      </c>
      <c r="G918" s="4">
        <v>12400</v>
      </c>
      <c r="H918" s="5">
        <v>4.48E-2</v>
      </c>
      <c r="I918" s="2">
        <v>48</v>
      </c>
      <c r="J918" s="2" t="s">
        <v>26</v>
      </c>
      <c r="K918" s="2" t="s">
        <v>17</v>
      </c>
      <c r="L918" s="3">
        <v>46220</v>
      </c>
    </row>
    <row r="919" spans="1:12">
      <c r="A919" s="2" t="s">
        <v>1561</v>
      </c>
      <c r="B919" s="3">
        <v>46217</v>
      </c>
      <c r="C919" s="2" t="s">
        <v>1562</v>
      </c>
      <c r="D919" s="2" t="s">
        <v>20</v>
      </c>
      <c r="E919" s="2" t="s">
        <v>43</v>
      </c>
      <c r="F919" s="2" t="s">
        <v>31</v>
      </c>
      <c r="G919" s="4">
        <v>25100</v>
      </c>
      <c r="H919" s="5">
        <v>7.8200000000000006E-2</v>
      </c>
      <c r="I919" s="2">
        <v>60</v>
      </c>
      <c r="J919" s="2" t="s">
        <v>44</v>
      </c>
      <c r="K919" s="2" t="s">
        <v>45</v>
      </c>
      <c r="L919" s="3">
        <v>46233</v>
      </c>
    </row>
    <row r="920" spans="1:12">
      <c r="A920" s="2" t="s">
        <v>1563</v>
      </c>
      <c r="B920" s="3">
        <v>46217</v>
      </c>
      <c r="C920" s="2" t="s">
        <v>1564</v>
      </c>
      <c r="D920" s="2" t="s">
        <v>14</v>
      </c>
      <c r="E920" s="2" t="s">
        <v>30</v>
      </c>
      <c r="F920" s="2" t="s">
        <v>3</v>
      </c>
      <c r="G920" s="4">
        <v>10700</v>
      </c>
      <c r="H920" s="5">
        <v>4.0300000000000002E-2</v>
      </c>
      <c r="I920" s="2">
        <v>60</v>
      </c>
      <c r="J920" s="2" t="s">
        <v>40</v>
      </c>
      <c r="K920" s="2" t="s">
        <v>17</v>
      </c>
      <c r="L920" s="3">
        <v>46222</v>
      </c>
    </row>
    <row r="921" spans="1:12">
      <c r="A921" s="2" t="s">
        <v>1565</v>
      </c>
      <c r="B921" s="3">
        <v>46218</v>
      </c>
      <c r="C921" s="2" t="s">
        <v>579</v>
      </c>
      <c r="D921" s="2" t="s">
        <v>14</v>
      </c>
      <c r="E921" s="2" t="s">
        <v>15</v>
      </c>
      <c r="F921" s="2" t="s">
        <v>31</v>
      </c>
      <c r="G921" s="4">
        <v>19200</v>
      </c>
      <c r="H921" s="5">
        <v>6.7500000000000004E-2</v>
      </c>
      <c r="I921" s="2">
        <v>60</v>
      </c>
      <c r="J921" s="2" t="s">
        <v>16</v>
      </c>
      <c r="K921" s="2" t="s">
        <v>45</v>
      </c>
      <c r="L921" s="3">
        <v>46220</v>
      </c>
    </row>
    <row r="922" spans="1:12">
      <c r="A922" s="2" t="s">
        <v>1566</v>
      </c>
      <c r="B922" s="3">
        <v>46218</v>
      </c>
      <c r="C922" s="2" t="s">
        <v>1567</v>
      </c>
      <c r="D922" s="2" t="s">
        <v>14</v>
      </c>
      <c r="E922" s="2" t="s">
        <v>30</v>
      </c>
      <c r="F922" s="2" t="s">
        <v>3</v>
      </c>
      <c r="G922" s="4">
        <v>4900</v>
      </c>
      <c r="H922" s="5">
        <v>4.1000000000000002E-2</v>
      </c>
      <c r="I922" s="2">
        <v>36</v>
      </c>
      <c r="J922" s="2" t="s">
        <v>16</v>
      </c>
      <c r="K922" s="2" t="s">
        <v>17</v>
      </c>
      <c r="L922" s="3">
        <v>46220</v>
      </c>
    </row>
    <row r="923" spans="1:12">
      <c r="A923" s="2" t="s">
        <v>1568</v>
      </c>
      <c r="B923" s="3">
        <v>46219</v>
      </c>
      <c r="C923" s="2" t="s">
        <v>858</v>
      </c>
      <c r="D923" s="2" t="s">
        <v>29</v>
      </c>
      <c r="E923" s="2" t="s">
        <v>30</v>
      </c>
      <c r="F923" s="2" t="s">
        <v>3</v>
      </c>
      <c r="G923" s="4">
        <v>12100</v>
      </c>
      <c r="H923" s="5">
        <v>4.2500000000000003E-2</v>
      </c>
      <c r="I923" s="2">
        <v>36</v>
      </c>
      <c r="J923" s="2" t="s">
        <v>61</v>
      </c>
      <c r="K923" s="2" t="s">
        <v>17</v>
      </c>
      <c r="L923" s="3">
        <v>46223</v>
      </c>
    </row>
    <row r="924" spans="1:12">
      <c r="A924" s="2" t="s">
        <v>1569</v>
      </c>
      <c r="B924" s="3">
        <v>46219</v>
      </c>
      <c r="C924" s="2" t="s">
        <v>1491</v>
      </c>
      <c r="D924" s="2" t="s">
        <v>71</v>
      </c>
      <c r="E924" s="2" t="s">
        <v>15</v>
      </c>
      <c r="F924" s="2" t="s">
        <v>31</v>
      </c>
      <c r="G924" s="4">
        <v>20700</v>
      </c>
      <c r="H924" s="5">
        <v>6.6400000000000001E-2</v>
      </c>
      <c r="I924" s="2">
        <v>48</v>
      </c>
      <c r="J924" s="2" t="s">
        <v>94</v>
      </c>
      <c r="K924" s="2" t="s">
        <v>45</v>
      </c>
      <c r="L924" s="3">
        <v>46226</v>
      </c>
    </row>
    <row r="925" spans="1:12">
      <c r="A925" s="2" t="s">
        <v>1570</v>
      </c>
      <c r="B925" s="3">
        <v>46219</v>
      </c>
      <c r="C925" s="2" t="s">
        <v>1571</v>
      </c>
      <c r="D925" s="2" t="s">
        <v>25</v>
      </c>
      <c r="E925" s="2" t="s">
        <v>30</v>
      </c>
      <c r="F925" s="2" t="s">
        <v>31</v>
      </c>
      <c r="G925" s="4">
        <v>6900</v>
      </c>
      <c r="H925" s="5">
        <v>4.8300000000000003E-2</v>
      </c>
      <c r="I925" s="2">
        <v>48</v>
      </c>
      <c r="J925" s="2" t="s">
        <v>66</v>
      </c>
      <c r="K925" s="2" t="s">
        <v>17</v>
      </c>
      <c r="L925" s="3">
        <v>46222</v>
      </c>
    </row>
    <row r="926" spans="1:12">
      <c r="A926" s="2" t="s">
        <v>1572</v>
      </c>
      <c r="B926" s="3">
        <v>46219</v>
      </c>
      <c r="C926" s="2" t="s">
        <v>1573</v>
      </c>
      <c r="D926" s="2" t="s">
        <v>14</v>
      </c>
      <c r="E926" s="2" t="s">
        <v>21</v>
      </c>
      <c r="F926" s="2" t="s">
        <v>31</v>
      </c>
      <c r="G926" s="4">
        <v>110900</v>
      </c>
      <c r="H926" s="5">
        <v>3.3700000000000001E-2</v>
      </c>
      <c r="I926" s="2">
        <v>180</v>
      </c>
      <c r="J926" s="2" t="s">
        <v>40</v>
      </c>
      <c r="K926" s="2" t="s">
        <v>45</v>
      </c>
      <c r="L926" s="3">
        <v>46244</v>
      </c>
    </row>
    <row r="927" spans="1:12">
      <c r="A927" s="2" t="s">
        <v>1574</v>
      </c>
      <c r="B927" s="3">
        <v>46220</v>
      </c>
      <c r="C927" s="2" t="s">
        <v>1575</v>
      </c>
      <c r="D927" s="2" t="s">
        <v>20</v>
      </c>
      <c r="E927" s="2" t="s">
        <v>30</v>
      </c>
      <c r="F927" s="2" t="s">
        <v>3</v>
      </c>
      <c r="G927" s="4">
        <v>5900</v>
      </c>
      <c r="H927" s="5">
        <v>4.6899999999999997E-2</v>
      </c>
      <c r="I927" s="2">
        <v>48</v>
      </c>
      <c r="J927" s="2" t="s">
        <v>44</v>
      </c>
      <c r="K927" s="2" t="s">
        <v>17</v>
      </c>
      <c r="L927" s="3">
        <v>46224</v>
      </c>
    </row>
    <row r="928" spans="1:12">
      <c r="A928" s="2" t="s">
        <v>1576</v>
      </c>
      <c r="B928" s="3">
        <v>46220</v>
      </c>
      <c r="C928" s="2" t="s">
        <v>493</v>
      </c>
      <c r="D928" s="2" t="s">
        <v>14</v>
      </c>
      <c r="E928" s="2" t="s">
        <v>15</v>
      </c>
      <c r="F928" s="2" t="s">
        <v>31</v>
      </c>
      <c r="G928" s="4">
        <v>9800</v>
      </c>
      <c r="H928" s="5">
        <v>5.1700000000000003E-2</v>
      </c>
      <c r="I928" s="2">
        <v>36</v>
      </c>
      <c r="J928" s="2" t="s">
        <v>40</v>
      </c>
      <c r="K928" s="2" t="s">
        <v>17</v>
      </c>
      <c r="L928" s="3">
        <v>46221</v>
      </c>
    </row>
    <row r="929" spans="1:12">
      <c r="A929" s="2" t="s">
        <v>1577</v>
      </c>
      <c r="B929" s="3">
        <v>46220</v>
      </c>
      <c r="C929" s="2" t="s">
        <v>1578</v>
      </c>
      <c r="D929" s="2" t="s">
        <v>54</v>
      </c>
      <c r="E929" s="2" t="s">
        <v>1360</v>
      </c>
      <c r="F929" s="2" t="s">
        <v>31</v>
      </c>
      <c r="G929" s="4">
        <v>12300</v>
      </c>
      <c r="H929" s="5">
        <v>4.4299999999999999E-2</v>
      </c>
      <c r="I929" s="2">
        <v>60</v>
      </c>
      <c r="J929" s="2" t="s">
        <v>186</v>
      </c>
      <c r="K929" s="2" t="s">
        <v>17</v>
      </c>
      <c r="L929" s="3">
        <v>46222</v>
      </c>
    </row>
    <row r="930" spans="1:12">
      <c r="A930" s="2" t="s">
        <v>1579</v>
      </c>
      <c r="B930" s="3">
        <v>46221</v>
      </c>
      <c r="C930" s="2" t="s">
        <v>1250</v>
      </c>
      <c r="D930" s="2" t="s">
        <v>20</v>
      </c>
      <c r="E930" s="2" t="s">
        <v>15</v>
      </c>
      <c r="F930" s="2" t="s">
        <v>3</v>
      </c>
      <c r="G930" s="4">
        <v>3400</v>
      </c>
      <c r="H930" s="5">
        <v>5.3800000000000001E-2</v>
      </c>
      <c r="I930" s="2">
        <v>12</v>
      </c>
      <c r="J930" s="2" t="s">
        <v>37</v>
      </c>
      <c r="K930" s="2" t="s">
        <v>17</v>
      </c>
      <c r="L930" s="3">
        <v>46222</v>
      </c>
    </row>
    <row r="931" spans="1:12">
      <c r="A931" s="2" t="s">
        <v>1580</v>
      </c>
      <c r="B931" s="3">
        <v>46221</v>
      </c>
      <c r="C931" s="2" t="s">
        <v>1581</v>
      </c>
      <c r="D931" s="2" t="s">
        <v>29</v>
      </c>
      <c r="E931" s="2" t="s">
        <v>21</v>
      </c>
      <c r="F931" s="2" t="s">
        <v>3</v>
      </c>
      <c r="G931" s="4">
        <v>155000</v>
      </c>
      <c r="H931" s="5">
        <v>3.4500000000000003E-2</v>
      </c>
      <c r="I931" s="2">
        <v>180</v>
      </c>
      <c r="J931" s="2" t="s">
        <v>32</v>
      </c>
      <c r="K931" s="2" t="s">
        <v>17</v>
      </c>
      <c r="L931" s="3">
        <v>46237</v>
      </c>
    </row>
    <row r="932" spans="1:12">
      <c r="A932" s="2" t="s">
        <v>1582</v>
      </c>
      <c r="B932" s="3">
        <v>46221</v>
      </c>
      <c r="C932" s="2" t="s">
        <v>616</v>
      </c>
      <c r="D932" s="2" t="s">
        <v>71</v>
      </c>
      <c r="E932" s="2" t="s">
        <v>15</v>
      </c>
      <c r="F932" s="2" t="s">
        <v>31</v>
      </c>
      <c r="G932" s="4">
        <v>10700</v>
      </c>
      <c r="H932" s="5">
        <v>6.1499999999999999E-2</v>
      </c>
      <c r="I932" s="2">
        <v>12</v>
      </c>
      <c r="J932" s="2" t="s">
        <v>101</v>
      </c>
      <c r="K932" s="2" t="s">
        <v>45</v>
      </c>
      <c r="L932" s="3">
        <v>46226</v>
      </c>
    </row>
    <row r="933" spans="1:12">
      <c r="A933" s="2" t="s">
        <v>1583</v>
      </c>
      <c r="B933" s="3">
        <v>46221</v>
      </c>
      <c r="C933" s="2" t="s">
        <v>1584</v>
      </c>
      <c r="D933" s="2" t="s">
        <v>25</v>
      </c>
      <c r="E933" s="2" t="s">
        <v>87</v>
      </c>
      <c r="F933" s="2" t="s">
        <v>3</v>
      </c>
      <c r="G933" s="4">
        <v>2600</v>
      </c>
      <c r="H933" s="5">
        <v>5.0500000000000003E-2</v>
      </c>
      <c r="I933" s="2">
        <v>60</v>
      </c>
      <c r="J933" s="2" t="s">
        <v>66</v>
      </c>
      <c r="K933" s="2" t="s">
        <v>17</v>
      </c>
      <c r="L933" s="3">
        <v>46227</v>
      </c>
    </row>
    <row r="934" spans="1:12">
      <c r="A934" s="2" t="s">
        <v>1585</v>
      </c>
      <c r="B934" s="3">
        <v>46222</v>
      </c>
      <c r="C934" s="2" t="s">
        <v>1043</v>
      </c>
      <c r="D934" s="2" t="s">
        <v>20</v>
      </c>
      <c r="E934" s="2" t="s">
        <v>30</v>
      </c>
      <c r="F934" s="2" t="s">
        <v>55</v>
      </c>
      <c r="G934" s="4">
        <v>14200</v>
      </c>
      <c r="H934" s="5">
        <v>4.0399999999999998E-2</v>
      </c>
      <c r="I934" s="2">
        <v>60</v>
      </c>
      <c r="J934" s="2" t="s">
        <v>22</v>
      </c>
      <c r="K934" s="2" t="s">
        <v>17</v>
      </c>
      <c r="L934" s="3">
        <v>46226</v>
      </c>
    </row>
    <row r="935" spans="1:12">
      <c r="A935" s="2" t="s">
        <v>1586</v>
      </c>
      <c r="B935" s="3">
        <v>46222</v>
      </c>
      <c r="C935" s="2" t="s">
        <v>1587</v>
      </c>
      <c r="D935" s="2" t="s">
        <v>20</v>
      </c>
      <c r="E935" s="2" t="s">
        <v>15</v>
      </c>
      <c r="F935" s="2" t="s">
        <v>3</v>
      </c>
      <c r="G935" s="4">
        <v>10600</v>
      </c>
      <c r="H935" s="5">
        <v>6.7100000000000007E-2</v>
      </c>
      <c r="I935" s="2">
        <v>60</v>
      </c>
      <c r="J935" s="2" t="s">
        <v>37</v>
      </c>
      <c r="K935" s="2" t="s">
        <v>17</v>
      </c>
      <c r="L935" s="3">
        <v>46223</v>
      </c>
    </row>
    <row r="936" spans="1:12">
      <c r="A936" s="2" t="s">
        <v>1588</v>
      </c>
      <c r="B936" s="3">
        <v>46222</v>
      </c>
      <c r="C936" s="2" t="s">
        <v>732</v>
      </c>
      <c r="D936" s="2" t="s">
        <v>14</v>
      </c>
      <c r="E936" s="2" t="s">
        <v>30</v>
      </c>
      <c r="F936" s="2" t="s">
        <v>3</v>
      </c>
      <c r="G936" s="4">
        <v>12900</v>
      </c>
      <c r="H936" s="5">
        <v>4.5400000000000003E-2</v>
      </c>
      <c r="I936" s="2">
        <v>36</v>
      </c>
      <c r="J936" s="2" t="s">
        <v>40</v>
      </c>
      <c r="K936" s="2" t="s">
        <v>17</v>
      </c>
      <c r="L936" s="3">
        <v>46224</v>
      </c>
    </row>
    <row r="937" spans="1:12">
      <c r="A937" s="2" t="s">
        <v>1589</v>
      </c>
      <c r="B937" s="3">
        <v>46222</v>
      </c>
      <c r="C937" s="2" t="s">
        <v>1590</v>
      </c>
      <c r="D937" s="2" t="s">
        <v>20</v>
      </c>
      <c r="E937" s="2" t="s">
        <v>407</v>
      </c>
      <c r="F937" s="2" t="s">
        <v>3</v>
      </c>
      <c r="G937" s="4">
        <v>12800</v>
      </c>
      <c r="H937" s="5">
        <v>4.02E-2</v>
      </c>
      <c r="I937" s="2">
        <v>48</v>
      </c>
      <c r="J937" s="2" t="s">
        <v>22</v>
      </c>
      <c r="K937" s="2" t="s">
        <v>45</v>
      </c>
      <c r="L937" s="3">
        <v>46226</v>
      </c>
    </row>
    <row r="938" spans="1:12">
      <c r="A938" s="2" t="s">
        <v>1591</v>
      </c>
      <c r="B938" s="3">
        <v>46223</v>
      </c>
      <c r="C938" s="2" t="s">
        <v>1326</v>
      </c>
      <c r="D938" s="2" t="s">
        <v>14</v>
      </c>
      <c r="E938" s="2" t="s">
        <v>43</v>
      </c>
      <c r="F938" s="2" t="s">
        <v>329</v>
      </c>
      <c r="G938" s="4">
        <v>50200</v>
      </c>
      <c r="H938" s="5">
        <v>6.4199999999999993E-2</v>
      </c>
      <c r="I938" s="2">
        <v>24</v>
      </c>
      <c r="J938" s="2" t="s">
        <v>16</v>
      </c>
      <c r="K938" s="2" t="s">
        <v>45</v>
      </c>
      <c r="L938" s="3">
        <v>46232</v>
      </c>
    </row>
    <row r="939" spans="1:12">
      <c r="A939" s="2" t="s">
        <v>1592</v>
      </c>
      <c r="B939" s="3">
        <v>46223</v>
      </c>
      <c r="C939" s="2" t="s">
        <v>1593</v>
      </c>
      <c r="D939" s="2" t="s">
        <v>20</v>
      </c>
      <c r="E939" s="2" t="s">
        <v>30</v>
      </c>
      <c r="F939" s="2" t="s">
        <v>55</v>
      </c>
      <c r="G939" s="4">
        <v>10300</v>
      </c>
      <c r="H939" s="5">
        <v>4.6600000000000003E-2</v>
      </c>
      <c r="I939" s="2">
        <v>60</v>
      </c>
      <c r="J939" s="2" t="s">
        <v>37</v>
      </c>
      <c r="K939" s="2" t="s">
        <v>17</v>
      </c>
      <c r="L939" s="3">
        <v>46227</v>
      </c>
    </row>
    <row r="940" spans="1:12">
      <c r="A940" s="2" t="s">
        <v>1594</v>
      </c>
      <c r="B940" s="3">
        <v>46223</v>
      </c>
      <c r="C940" s="2" t="s">
        <v>78</v>
      </c>
      <c r="D940" s="2" t="s">
        <v>25</v>
      </c>
      <c r="E940" s="2" t="s">
        <v>151</v>
      </c>
      <c r="F940" s="2" t="s">
        <v>3</v>
      </c>
      <c r="G940" s="4">
        <v>95700</v>
      </c>
      <c r="H940" s="5">
        <v>7.2300000000000003E-2</v>
      </c>
      <c r="I940" s="2">
        <v>36</v>
      </c>
      <c r="J940" s="2" t="s">
        <v>26</v>
      </c>
      <c r="K940" s="2" t="s">
        <v>17</v>
      </c>
      <c r="L940" s="3">
        <v>46240</v>
      </c>
    </row>
    <row r="941" spans="1:12">
      <c r="A941" s="2" t="s">
        <v>1595</v>
      </c>
      <c r="B941" s="3">
        <v>46223</v>
      </c>
      <c r="C941" s="2" t="s">
        <v>1596</v>
      </c>
      <c r="D941" s="2" t="s">
        <v>29</v>
      </c>
      <c r="E941" s="2" t="s">
        <v>30</v>
      </c>
      <c r="F941" s="2" t="s">
        <v>31</v>
      </c>
      <c r="G941" s="2" t="s">
        <v>1597</v>
      </c>
      <c r="H941" s="5">
        <v>4.1799999999999997E-2</v>
      </c>
      <c r="I941" s="2">
        <v>60</v>
      </c>
      <c r="J941" s="2" t="s">
        <v>123</v>
      </c>
      <c r="K941" s="2" t="s">
        <v>45</v>
      </c>
      <c r="L941" s="3">
        <v>46226</v>
      </c>
    </row>
    <row r="942" spans="1:12">
      <c r="A942" s="2" t="s">
        <v>1598</v>
      </c>
      <c r="B942" s="3">
        <v>46223</v>
      </c>
      <c r="C942" s="2" t="s">
        <v>1168</v>
      </c>
      <c r="D942" s="2" t="s">
        <v>20</v>
      </c>
      <c r="E942" s="2" t="s">
        <v>30</v>
      </c>
      <c r="F942" s="2" t="s">
        <v>3</v>
      </c>
      <c r="G942" s="4">
        <v>4900</v>
      </c>
      <c r="H942" s="5">
        <v>4.4400000000000002E-2</v>
      </c>
      <c r="I942" s="2">
        <v>48</v>
      </c>
      <c r="J942" s="2" t="s">
        <v>22</v>
      </c>
      <c r="K942" s="2" t="s">
        <v>17</v>
      </c>
      <c r="L942" s="3">
        <v>46225</v>
      </c>
    </row>
    <row r="943" spans="1:12">
      <c r="A943" s="2" t="s">
        <v>1599</v>
      </c>
      <c r="B943" s="3">
        <v>46223</v>
      </c>
      <c r="C943" s="2" t="s">
        <v>1209</v>
      </c>
      <c r="D943" s="2" t="s">
        <v>71</v>
      </c>
      <c r="E943" s="2" t="s">
        <v>30</v>
      </c>
      <c r="F943" s="2" t="s">
        <v>55</v>
      </c>
      <c r="G943" s="4">
        <v>19200</v>
      </c>
      <c r="H943" s="5">
        <v>3.7100000000000001E-2</v>
      </c>
      <c r="I943" s="2">
        <v>48</v>
      </c>
      <c r="J943" s="2" t="s">
        <v>94</v>
      </c>
      <c r="K943" s="2" t="s">
        <v>17</v>
      </c>
      <c r="L943" s="3">
        <v>46231</v>
      </c>
    </row>
    <row r="944" spans="1:12">
      <c r="A944" s="2" t="s">
        <v>1600</v>
      </c>
      <c r="B944" s="3">
        <v>46224</v>
      </c>
      <c r="C944" s="2" t="s">
        <v>1601</v>
      </c>
      <c r="D944" s="2" t="s">
        <v>25</v>
      </c>
      <c r="E944" s="2" t="s">
        <v>30</v>
      </c>
      <c r="F944" s="2" t="s">
        <v>55</v>
      </c>
      <c r="G944" s="4">
        <v>4600</v>
      </c>
      <c r="H944" s="5">
        <v>3.7499999999999999E-2</v>
      </c>
      <c r="I944" s="2">
        <v>48</v>
      </c>
      <c r="J944" s="2" t="s">
        <v>181</v>
      </c>
      <c r="K944" s="2" t="s">
        <v>17</v>
      </c>
      <c r="L944" s="3">
        <v>46226</v>
      </c>
    </row>
    <row r="945" spans="1:12">
      <c r="A945" s="2" t="s">
        <v>1602</v>
      </c>
      <c r="B945" s="3">
        <v>46224</v>
      </c>
      <c r="C945" s="2" t="s">
        <v>671</v>
      </c>
      <c r="D945" s="2" t="s">
        <v>54</v>
      </c>
      <c r="E945" s="2" t="s">
        <v>15</v>
      </c>
      <c r="F945" s="2" t="s">
        <v>3</v>
      </c>
      <c r="G945" s="4">
        <v>15400</v>
      </c>
      <c r="H945" s="5">
        <v>6.0600000000000001E-2</v>
      </c>
      <c r="I945" s="2">
        <v>24</v>
      </c>
      <c r="J945" s="2" t="s">
        <v>56</v>
      </c>
      <c r="K945" s="2" t="s">
        <v>17</v>
      </c>
      <c r="L945" s="3">
        <v>46227</v>
      </c>
    </row>
    <row r="946" spans="1:12">
      <c r="A946" s="2" t="s">
        <v>1603</v>
      </c>
      <c r="B946" s="3">
        <v>46224</v>
      </c>
      <c r="C946" s="2" t="s">
        <v>1604</v>
      </c>
      <c r="D946" s="2" t="s">
        <v>25</v>
      </c>
      <c r="E946" s="2" t="s">
        <v>1360</v>
      </c>
      <c r="F946" s="2" t="s">
        <v>3</v>
      </c>
      <c r="G946" s="4">
        <v>9200</v>
      </c>
      <c r="H946" s="5">
        <v>4.19E-2</v>
      </c>
      <c r="I946" s="2">
        <v>60</v>
      </c>
      <c r="J946" s="2" t="s">
        <v>26</v>
      </c>
      <c r="K946" s="2" t="s">
        <v>17</v>
      </c>
      <c r="L946" s="3">
        <v>46227</v>
      </c>
    </row>
    <row r="947" spans="1:12">
      <c r="A947" s="2" t="s">
        <v>1605</v>
      </c>
      <c r="B947" s="3">
        <v>46224</v>
      </c>
      <c r="C947" s="2" t="s">
        <v>1606</v>
      </c>
      <c r="D947" s="2" t="s">
        <v>71</v>
      </c>
      <c r="E947" s="2" t="s">
        <v>43</v>
      </c>
      <c r="F947" s="2" t="s">
        <v>3</v>
      </c>
      <c r="G947" s="4">
        <v>49400</v>
      </c>
      <c r="H947" s="5">
        <v>6.6900000000000001E-2</v>
      </c>
      <c r="I947" s="2">
        <v>36</v>
      </c>
      <c r="J947" s="2" t="s">
        <v>72</v>
      </c>
      <c r="K947" s="2" t="s">
        <v>17</v>
      </c>
      <c r="L947" s="3">
        <v>46237</v>
      </c>
    </row>
    <row r="948" spans="1:12">
      <c r="A948" s="2" t="s">
        <v>1607</v>
      </c>
      <c r="B948" s="3">
        <v>46224</v>
      </c>
      <c r="C948" s="2" t="s">
        <v>125</v>
      </c>
      <c r="D948" s="2" t="s">
        <v>20</v>
      </c>
      <c r="E948" s="2" t="s">
        <v>15</v>
      </c>
      <c r="F948" s="2" t="s">
        <v>3</v>
      </c>
      <c r="G948" s="4">
        <v>24100</v>
      </c>
      <c r="H948" s="5">
        <v>5.6000000000000001E-2</v>
      </c>
      <c r="I948" s="2">
        <v>60</v>
      </c>
      <c r="J948" s="2" t="s">
        <v>44</v>
      </c>
      <c r="K948" s="2" t="s">
        <v>17</v>
      </c>
      <c r="L948" s="3">
        <v>46227</v>
      </c>
    </row>
    <row r="949" spans="1:12">
      <c r="A949" s="2" t="s">
        <v>1608</v>
      </c>
      <c r="B949" s="3">
        <v>46225</v>
      </c>
      <c r="C949" s="2" t="s">
        <v>685</v>
      </c>
      <c r="D949" s="2" t="s">
        <v>29</v>
      </c>
      <c r="E949" s="2" t="s">
        <v>30</v>
      </c>
      <c r="F949" s="2" t="s">
        <v>3</v>
      </c>
      <c r="G949" s="4">
        <v>4100</v>
      </c>
      <c r="H949" s="5">
        <v>4.1000000000000002E-2</v>
      </c>
      <c r="I949" s="2">
        <v>48</v>
      </c>
      <c r="J949" s="2" t="s">
        <v>32</v>
      </c>
      <c r="K949" s="2" t="s">
        <v>17</v>
      </c>
      <c r="L949" s="3">
        <v>46228</v>
      </c>
    </row>
    <row r="950" spans="1:12">
      <c r="A950" s="2" t="s">
        <v>1609</v>
      </c>
      <c r="B950" s="3">
        <v>46225</v>
      </c>
      <c r="C950" s="2" t="s">
        <v>1376</v>
      </c>
      <c r="D950" s="2" t="s">
        <v>14</v>
      </c>
      <c r="E950" s="2" t="s">
        <v>43</v>
      </c>
      <c r="F950" s="2" t="s">
        <v>3</v>
      </c>
      <c r="G950" s="4">
        <v>49400</v>
      </c>
      <c r="H950" s="5">
        <v>7.9200000000000007E-2</v>
      </c>
      <c r="I950" s="2">
        <v>36</v>
      </c>
      <c r="J950" s="2" t="s">
        <v>48</v>
      </c>
      <c r="K950" s="2" t="s">
        <v>17</v>
      </c>
      <c r="L950" s="3">
        <v>46232</v>
      </c>
    </row>
    <row r="951" spans="1:12">
      <c r="A951" s="2" t="s">
        <v>1610</v>
      </c>
      <c r="B951" s="3">
        <v>46225</v>
      </c>
      <c r="C951" s="2" t="s">
        <v>607</v>
      </c>
      <c r="D951" s="2" t="s">
        <v>54</v>
      </c>
      <c r="E951" s="2" t="s">
        <v>15</v>
      </c>
      <c r="F951" s="2" t="s">
        <v>3</v>
      </c>
      <c r="G951" s="4">
        <v>19700</v>
      </c>
      <c r="H951" s="5">
        <v>5.1799999999999999E-2</v>
      </c>
      <c r="I951" s="2">
        <v>24</v>
      </c>
      <c r="J951" s="2" t="s">
        <v>148</v>
      </c>
      <c r="K951" s="2" t="s">
        <v>17</v>
      </c>
      <c r="L951" s="3">
        <v>46232</v>
      </c>
    </row>
    <row r="952" spans="1:12">
      <c r="A952" s="2" t="s">
        <v>1611</v>
      </c>
      <c r="B952" s="3">
        <v>46225</v>
      </c>
      <c r="C952" s="2" t="s">
        <v>1612</v>
      </c>
      <c r="D952" s="2" t="s">
        <v>20</v>
      </c>
      <c r="E952" s="2" t="s">
        <v>30</v>
      </c>
      <c r="F952" s="2" t="s">
        <v>3</v>
      </c>
      <c r="G952" s="4">
        <v>12200</v>
      </c>
      <c r="H952" s="5">
        <v>4.4299999999999999E-2</v>
      </c>
      <c r="I952" s="2">
        <v>48</v>
      </c>
      <c r="J952" s="2" t="s">
        <v>22</v>
      </c>
      <c r="K952" s="2" t="s">
        <v>17</v>
      </c>
      <c r="L952" s="3">
        <v>46226</v>
      </c>
    </row>
    <row r="953" spans="1:12">
      <c r="A953" s="2" t="s">
        <v>1613</v>
      </c>
      <c r="B953" s="3">
        <v>46226</v>
      </c>
      <c r="C953" s="2" t="s">
        <v>1058</v>
      </c>
      <c r="D953" s="2" t="s">
        <v>25</v>
      </c>
      <c r="E953" s="2" t="s">
        <v>21</v>
      </c>
      <c r="F953" s="2" t="s">
        <v>3</v>
      </c>
      <c r="G953" s="4">
        <v>47600</v>
      </c>
      <c r="H953" s="5">
        <v>3.8899999999999997E-2</v>
      </c>
      <c r="I953" s="2">
        <v>240</v>
      </c>
      <c r="J953" s="2" t="s">
        <v>66</v>
      </c>
      <c r="K953" s="2" t="s">
        <v>17</v>
      </c>
      <c r="L953" s="3">
        <v>46252</v>
      </c>
    </row>
    <row r="954" spans="1:12">
      <c r="A954" s="2" t="s">
        <v>1614</v>
      </c>
      <c r="B954" s="3">
        <v>46226</v>
      </c>
      <c r="C954" s="2" t="s">
        <v>222</v>
      </c>
      <c r="D954" s="2" t="s">
        <v>25</v>
      </c>
      <c r="E954" s="2" t="s">
        <v>15</v>
      </c>
      <c r="F954" s="2" t="s">
        <v>956</v>
      </c>
      <c r="G954" s="4">
        <v>18000</v>
      </c>
      <c r="H954" s="5">
        <v>6.2E-2</v>
      </c>
      <c r="I954" s="2">
        <v>36</v>
      </c>
      <c r="J954" s="2" t="s">
        <v>181</v>
      </c>
      <c r="K954" s="2" t="s">
        <v>17</v>
      </c>
      <c r="L954" s="3">
        <v>46229</v>
      </c>
    </row>
    <row r="955" spans="1:12">
      <c r="A955" s="2" t="s">
        <v>1615</v>
      </c>
      <c r="B955" s="3">
        <v>46226</v>
      </c>
      <c r="C955" s="2" t="s">
        <v>1357</v>
      </c>
      <c r="D955" s="2" t="s">
        <v>71</v>
      </c>
      <c r="E955" s="2" t="s">
        <v>30</v>
      </c>
      <c r="F955" s="2" t="s">
        <v>3</v>
      </c>
      <c r="G955" s="4">
        <v>9100</v>
      </c>
      <c r="H955" s="5">
        <v>4.5900000000000003E-2</v>
      </c>
      <c r="I955" s="2">
        <v>60</v>
      </c>
      <c r="J955" s="2" t="s">
        <v>94</v>
      </c>
      <c r="K955" s="2" t="s">
        <v>45</v>
      </c>
      <c r="L955" s="3">
        <v>46232</v>
      </c>
    </row>
    <row r="956" spans="1:12">
      <c r="A956" s="2" t="s">
        <v>1616</v>
      </c>
      <c r="B956" s="3">
        <v>46226</v>
      </c>
      <c r="C956" s="2" t="s">
        <v>1359</v>
      </c>
      <c r="D956" s="2" t="s">
        <v>29</v>
      </c>
      <c r="E956" s="2" t="s">
        <v>15</v>
      </c>
      <c r="F956" s="2" t="s">
        <v>3</v>
      </c>
      <c r="G956" s="4">
        <v>25000</v>
      </c>
      <c r="H956" s="5">
        <v>5.3100000000000001E-2</v>
      </c>
      <c r="I956" s="2">
        <v>12</v>
      </c>
      <c r="J956" s="2" t="s">
        <v>61</v>
      </c>
      <c r="K956" s="2" t="s">
        <v>17</v>
      </c>
      <c r="L956" s="3">
        <v>46228</v>
      </c>
    </row>
    <row r="957" spans="1:12">
      <c r="A957" s="2" t="s">
        <v>1617</v>
      </c>
      <c r="B957" s="3">
        <v>46226</v>
      </c>
      <c r="C957" s="2" t="s">
        <v>1048</v>
      </c>
      <c r="D957" s="2" t="s">
        <v>54</v>
      </c>
      <c r="E957" s="2" t="s">
        <v>15</v>
      </c>
      <c r="F957" s="2" t="s">
        <v>3</v>
      </c>
      <c r="G957" s="4">
        <v>13900</v>
      </c>
      <c r="H957" s="5">
        <v>6.7000000000000004E-2</v>
      </c>
      <c r="I957" s="2">
        <v>36</v>
      </c>
      <c r="J957" s="2" t="s">
        <v>148</v>
      </c>
      <c r="K957" s="2" t="s">
        <v>17</v>
      </c>
      <c r="L957" s="3">
        <v>46229</v>
      </c>
    </row>
    <row r="958" spans="1:12">
      <c r="A958" s="2" t="s">
        <v>1618</v>
      </c>
      <c r="B958" s="3">
        <v>46226</v>
      </c>
      <c r="C958" s="2" t="s">
        <v>581</v>
      </c>
      <c r="D958" s="2" t="s">
        <v>25</v>
      </c>
      <c r="E958" s="2" t="s">
        <v>43</v>
      </c>
      <c r="F958" s="2" t="s">
        <v>31</v>
      </c>
      <c r="G958" s="4">
        <v>65200</v>
      </c>
      <c r="H958" s="5">
        <v>5.8099999999999999E-2</v>
      </c>
      <c r="I958" s="2">
        <v>24</v>
      </c>
      <c r="J958" s="2" t="s">
        <v>181</v>
      </c>
      <c r="K958" s="2" t="s">
        <v>45</v>
      </c>
      <c r="L958" s="3">
        <v>46243</v>
      </c>
    </row>
    <row r="959" spans="1:12">
      <c r="A959" s="2" t="s">
        <v>1619</v>
      </c>
      <c r="B959" s="3">
        <v>46227</v>
      </c>
      <c r="C959" s="2" t="s">
        <v>1620</v>
      </c>
      <c r="D959" s="2" t="s">
        <v>20</v>
      </c>
      <c r="E959" s="2" t="s">
        <v>157</v>
      </c>
      <c r="F959" s="2" t="s">
        <v>3</v>
      </c>
      <c r="G959" s="4">
        <v>19000</v>
      </c>
      <c r="H959" s="5">
        <v>5.6099999999999997E-2</v>
      </c>
      <c r="I959" s="2">
        <v>24</v>
      </c>
      <c r="J959" s="2" t="s">
        <v>44</v>
      </c>
      <c r="K959" s="2" t="s">
        <v>45</v>
      </c>
      <c r="L959" s="3">
        <v>46233</v>
      </c>
    </row>
    <row r="960" spans="1:12">
      <c r="A960" s="2" t="s">
        <v>1621</v>
      </c>
      <c r="B960" s="3">
        <v>46227</v>
      </c>
      <c r="C960" s="2" t="s">
        <v>1622</v>
      </c>
      <c r="D960" s="2" t="s">
        <v>29</v>
      </c>
      <c r="E960" s="2" t="s">
        <v>43</v>
      </c>
      <c r="F960" s="2" t="s">
        <v>3</v>
      </c>
      <c r="G960" s="4">
        <v>77900</v>
      </c>
      <c r="H960" s="5">
        <v>5.7700000000000001E-2</v>
      </c>
      <c r="I960" s="2">
        <v>84</v>
      </c>
      <c r="J960" s="2" t="s">
        <v>123</v>
      </c>
      <c r="K960" s="2" t="s">
        <v>17</v>
      </c>
      <c r="L960" s="3">
        <v>46247</v>
      </c>
    </row>
    <row r="961" spans="1:12">
      <c r="A961" s="2" t="s">
        <v>1623</v>
      </c>
      <c r="B961" s="3">
        <v>46227</v>
      </c>
      <c r="C961" s="2" t="s">
        <v>1357</v>
      </c>
      <c r="D961" s="2" t="s">
        <v>20</v>
      </c>
      <c r="E961" s="2" t="s">
        <v>43</v>
      </c>
      <c r="F961" s="2" t="s">
        <v>329</v>
      </c>
      <c r="G961" s="4">
        <v>129500</v>
      </c>
      <c r="H961" s="5">
        <v>7.0499999999999993E-2</v>
      </c>
      <c r="I961" s="2">
        <v>24</v>
      </c>
      <c r="J961" s="2" t="s">
        <v>37</v>
      </c>
      <c r="K961" s="2" t="s">
        <v>45</v>
      </c>
      <c r="L961" s="3">
        <v>46242</v>
      </c>
    </row>
    <row r="962" spans="1:12">
      <c r="A962" s="2" t="s">
        <v>1624</v>
      </c>
      <c r="B962" s="3">
        <v>46227</v>
      </c>
      <c r="C962" s="2" t="s">
        <v>39</v>
      </c>
      <c r="D962" s="2" t="s">
        <v>25</v>
      </c>
      <c r="E962" s="2" t="s">
        <v>15</v>
      </c>
      <c r="F962" s="2" t="s">
        <v>3</v>
      </c>
      <c r="G962" s="4">
        <v>19800</v>
      </c>
      <c r="H962" s="5">
        <v>6.2799999999999995E-2</v>
      </c>
      <c r="I962" s="2">
        <v>24</v>
      </c>
      <c r="J962" s="2" t="s">
        <v>181</v>
      </c>
      <c r="K962" s="2" t="s">
        <v>45</v>
      </c>
      <c r="L962" s="3">
        <v>46230</v>
      </c>
    </row>
    <row r="963" spans="1:12">
      <c r="A963" s="2" t="s">
        <v>1625</v>
      </c>
      <c r="B963" s="3">
        <v>46227</v>
      </c>
      <c r="C963" s="2" t="s">
        <v>1261</v>
      </c>
      <c r="D963" s="2" t="s">
        <v>29</v>
      </c>
      <c r="E963" s="2" t="s">
        <v>30</v>
      </c>
      <c r="F963" s="2" t="s">
        <v>3</v>
      </c>
      <c r="G963" s="4">
        <v>14600</v>
      </c>
      <c r="H963" s="5">
        <v>4.9000000000000002E-2</v>
      </c>
      <c r="I963" s="2">
        <v>36</v>
      </c>
      <c r="J963" s="2" t="s">
        <v>61</v>
      </c>
      <c r="K963" s="2" t="s">
        <v>45</v>
      </c>
      <c r="L963" s="3">
        <v>46231</v>
      </c>
    </row>
    <row r="964" spans="1:12">
      <c r="A964" s="2" t="s">
        <v>1626</v>
      </c>
      <c r="B964" s="3">
        <v>46227</v>
      </c>
      <c r="C964" s="2" t="s">
        <v>1627</v>
      </c>
      <c r="D964" s="2" t="s">
        <v>20</v>
      </c>
      <c r="E964" s="2" t="s">
        <v>43</v>
      </c>
      <c r="F964" s="2" t="s">
        <v>31</v>
      </c>
      <c r="G964" s="4">
        <v>130700</v>
      </c>
      <c r="H964" s="5">
        <v>7.0699999999999999E-2</v>
      </c>
      <c r="I964" s="2">
        <v>60</v>
      </c>
      <c r="J964" s="2" t="s">
        <v>37</v>
      </c>
      <c r="K964" s="2" t="s">
        <v>17</v>
      </c>
      <c r="L964" s="3">
        <v>46238</v>
      </c>
    </row>
    <row r="965" spans="1:12">
      <c r="A965" s="2" t="s">
        <v>1628</v>
      </c>
      <c r="B965" s="3">
        <v>46228</v>
      </c>
      <c r="C965" s="2" t="s">
        <v>133</v>
      </c>
      <c r="D965" s="2" t="s">
        <v>20</v>
      </c>
      <c r="E965" s="2" t="s">
        <v>15</v>
      </c>
      <c r="F965" s="2" t="s">
        <v>3</v>
      </c>
      <c r="G965" s="4">
        <v>9300</v>
      </c>
      <c r="H965" s="5">
        <v>5.0200000000000002E-2</v>
      </c>
      <c r="I965" s="2">
        <v>60</v>
      </c>
      <c r="J965" s="2" t="s">
        <v>22</v>
      </c>
      <c r="K965" s="2" t="s">
        <v>17</v>
      </c>
      <c r="L965" s="3">
        <v>46232</v>
      </c>
    </row>
    <row r="966" spans="1:12">
      <c r="A966" s="2" t="s">
        <v>1629</v>
      </c>
      <c r="B966" s="3">
        <v>46228</v>
      </c>
      <c r="C966" s="2" t="s">
        <v>1219</v>
      </c>
      <c r="D966" s="2" t="s">
        <v>25</v>
      </c>
      <c r="E966" s="2" t="s">
        <v>15</v>
      </c>
      <c r="F966" s="2" t="s">
        <v>31</v>
      </c>
      <c r="G966" s="4">
        <v>6800</v>
      </c>
      <c r="H966" s="5">
        <v>6.1199999999999997E-2</v>
      </c>
      <c r="I966" s="2">
        <v>12</v>
      </c>
      <c r="J966" s="2" t="s">
        <v>181</v>
      </c>
      <c r="K966" s="2" t="s">
        <v>45</v>
      </c>
      <c r="L966" s="3">
        <v>46231</v>
      </c>
    </row>
    <row r="967" spans="1:12">
      <c r="A967" s="2" t="s">
        <v>1630</v>
      </c>
      <c r="B967" s="3">
        <v>46228</v>
      </c>
      <c r="C967" s="2" t="s">
        <v>1275</v>
      </c>
      <c r="D967" s="2" t="s">
        <v>20</v>
      </c>
      <c r="E967" s="2" t="s">
        <v>15</v>
      </c>
      <c r="F967" s="2" t="s">
        <v>3</v>
      </c>
      <c r="G967" s="4">
        <v>21200</v>
      </c>
      <c r="H967" s="5">
        <v>6.0499999999999998E-2</v>
      </c>
      <c r="I967" s="2">
        <v>24</v>
      </c>
      <c r="J967" s="2" t="s">
        <v>44</v>
      </c>
      <c r="K967" s="2" t="s">
        <v>45</v>
      </c>
      <c r="L967" s="3">
        <v>46234</v>
      </c>
    </row>
    <row r="968" spans="1:12">
      <c r="A968" s="2" t="s">
        <v>1631</v>
      </c>
      <c r="B968" s="3">
        <v>46228</v>
      </c>
      <c r="C968" s="2" t="s">
        <v>1451</v>
      </c>
      <c r="D968" s="2" t="s">
        <v>29</v>
      </c>
      <c r="E968" s="2" t="s">
        <v>43</v>
      </c>
      <c r="F968" s="2" t="s">
        <v>31</v>
      </c>
      <c r="G968" s="4">
        <v>216000</v>
      </c>
      <c r="H968" s="5">
        <v>7.6200000000000004E-2</v>
      </c>
      <c r="I968" s="2">
        <v>36</v>
      </c>
      <c r="J968" s="2" t="s">
        <v>32</v>
      </c>
      <c r="K968" s="2" t="s">
        <v>17</v>
      </c>
      <c r="L968" s="3">
        <v>46248</v>
      </c>
    </row>
    <row r="969" spans="1:12">
      <c r="A969" s="2" t="s">
        <v>1632</v>
      </c>
      <c r="B969" s="3">
        <v>46228</v>
      </c>
      <c r="C969" s="2" t="s">
        <v>607</v>
      </c>
      <c r="D969" s="2" t="s">
        <v>14</v>
      </c>
      <c r="E969" s="2" t="s">
        <v>21</v>
      </c>
      <c r="F969" s="2" t="s">
        <v>31</v>
      </c>
      <c r="G969" s="4">
        <v>44800</v>
      </c>
      <c r="H969" s="5">
        <v>3.5400000000000001E-2</v>
      </c>
      <c r="I969" s="2">
        <v>180</v>
      </c>
      <c r="J969" s="2" t="s">
        <v>40</v>
      </c>
      <c r="K969" s="2" t="s">
        <v>17</v>
      </c>
      <c r="L969" s="3">
        <v>46243</v>
      </c>
    </row>
    <row r="970" spans="1:12">
      <c r="A970" s="2" t="s">
        <v>1633</v>
      </c>
      <c r="B970" s="3">
        <v>46228</v>
      </c>
      <c r="C970" s="2" t="s">
        <v>1424</v>
      </c>
      <c r="D970" s="2" t="s">
        <v>29</v>
      </c>
      <c r="E970" s="2" t="s">
        <v>30</v>
      </c>
      <c r="F970" s="2" t="s">
        <v>3</v>
      </c>
      <c r="G970" s="4">
        <v>13900</v>
      </c>
      <c r="H970" s="5">
        <v>4.9399999999999999E-2</v>
      </c>
      <c r="I970" s="2">
        <v>48</v>
      </c>
      <c r="J970" s="2" t="s">
        <v>61</v>
      </c>
      <c r="K970" s="2" t="s">
        <v>17</v>
      </c>
      <c r="L970" s="3">
        <v>46232</v>
      </c>
    </row>
    <row r="971" spans="1:12">
      <c r="A971" s="2" t="s">
        <v>1634</v>
      </c>
      <c r="B971" s="3">
        <v>46228</v>
      </c>
      <c r="C971" s="2" t="s">
        <v>1165</v>
      </c>
      <c r="D971" s="2" t="s">
        <v>29</v>
      </c>
      <c r="E971" s="2" t="s">
        <v>21</v>
      </c>
      <c r="F971" s="2" t="s">
        <v>31</v>
      </c>
      <c r="G971" s="4">
        <v>74900</v>
      </c>
      <c r="H971" s="5">
        <v>4.0899999999999999E-2</v>
      </c>
      <c r="I971" s="2">
        <v>300</v>
      </c>
      <c r="J971" s="2" t="s">
        <v>32</v>
      </c>
      <c r="K971" s="2" t="s">
        <v>17</v>
      </c>
      <c r="L971" s="3">
        <v>46245</v>
      </c>
    </row>
    <row r="972" spans="1:12">
      <c r="A972" s="2" t="s">
        <v>1635</v>
      </c>
      <c r="B972" s="3">
        <v>46228</v>
      </c>
      <c r="C972" s="2" t="s">
        <v>1636</v>
      </c>
      <c r="D972" s="2" t="s">
        <v>14</v>
      </c>
      <c r="E972" s="2" t="s">
        <v>30</v>
      </c>
      <c r="F972" s="2" t="s">
        <v>656</v>
      </c>
      <c r="G972" s="4">
        <v>6700</v>
      </c>
      <c r="H972" s="5">
        <v>4.8500000000000001E-2</v>
      </c>
      <c r="I972" s="2">
        <v>60</v>
      </c>
      <c r="J972" s="2" t="s">
        <v>40</v>
      </c>
      <c r="K972" s="2" t="s">
        <v>17</v>
      </c>
      <c r="L972" s="3">
        <v>46232</v>
      </c>
    </row>
    <row r="973" spans="1:12">
      <c r="A973" s="2" t="s">
        <v>1637</v>
      </c>
      <c r="B973" s="3">
        <v>46228</v>
      </c>
      <c r="C973" s="2" t="s">
        <v>854</v>
      </c>
      <c r="D973" s="2" t="s">
        <v>20</v>
      </c>
      <c r="E973" s="2" t="s">
        <v>30</v>
      </c>
      <c r="F973" s="2" t="s">
        <v>3</v>
      </c>
      <c r="G973" s="4">
        <v>8400</v>
      </c>
      <c r="H973" s="5">
        <v>4.7800000000000002E-2</v>
      </c>
      <c r="I973" s="2">
        <v>36</v>
      </c>
      <c r="J973" s="2" t="s">
        <v>37</v>
      </c>
      <c r="K973" s="2" t="s">
        <v>17</v>
      </c>
      <c r="L973" s="3">
        <v>46232</v>
      </c>
    </row>
    <row r="974" spans="1:12">
      <c r="A974" s="2" t="s">
        <v>1638</v>
      </c>
      <c r="B974" s="3">
        <v>46229</v>
      </c>
      <c r="C974" s="2" t="s">
        <v>1111</v>
      </c>
      <c r="D974" s="2" t="s">
        <v>20</v>
      </c>
      <c r="E974" s="2" t="s">
        <v>15</v>
      </c>
      <c r="F974" s="2" t="s">
        <v>31</v>
      </c>
      <c r="G974" s="4">
        <v>23300</v>
      </c>
      <c r="H974" s="5">
        <v>5.0299999999999997E-2</v>
      </c>
      <c r="I974" s="2">
        <v>48</v>
      </c>
      <c r="J974" s="2" t="s">
        <v>22</v>
      </c>
      <c r="K974" s="2" t="s">
        <v>17</v>
      </c>
      <c r="L974" s="3">
        <v>46235</v>
      </c>
    </row>
    <row r="975" spans="1:12">
      <c r="A975" s="2" t="s">
        <v>1639</v>
      </c>
      <c r="B975" s="3">
        <v>46229</v>
      </c>
      <c r="C975" s="2" t="s">
        <v>621</v>
      </c>
      <c r="D975" s="2" t="s">
        <v>25</v>
      </c>
      <c r="E975" s="2" t="s">
        <v>30</v>
      </c>
      <c r="F975" s="2" t="s">
        <v>3</v>
      </c>
      <c r="G975" s="4">
        <v>10900</v>
      </c>
      <c r="H975" s="5">
        <v>3.6400000000000002E-2</v>
      </c>
      <c r="I975" s="2">
        <v>48</v>
      </c>
      <c r="J975" s="2" t="s">
        <v>181</v>
      </c>
      <c r="K975" s="2" t="s">
        <v>17</v>
      </c>
      <c r="L975" s="3">
        <v>46232</v>
      </c>
    </row>
    <row r="976" spans="1:12">
      <c r="A976" s="2" t="s">
        <v>1640</v>
      </c>
      <c r="B976" s="3">
        <v>46229</v>
      </c>
      <c r="C976" s="2" t="s">
        <v>1641</v>
      </c>
      <c r="D976" s="2" t="s">
        <v>29</v>
      </c>
      <c r="E976" s="2" t="s">
        <v>15</v>
      </c>
      <c r="F976" s="2" t="s">
        <v>3</v>
      </c>
      <c r="G976" s="4">
        <v>19800</v>
      </c>
      <c r="H976" s="5">
        <v>6.3E-2</v>
      </c>
      <c r="I976" s="2">
        <v>48</v>
      </c>
      <c r="J976" s="2" t="s">
        <v>61</v>
      </c>
      <c r="K976" s="2" t="s">
        <v>45</v>
      </c>
      <c r="L976" s="3">
        <v>46232</v>
      </c>
    </row>
    <row r="977" spans="1:12">
      <c r="A977" s="2" t="s">
        <v>1642</v>
      </c>
      <c r="B977" s="3">
        <v>46229</v>
      </c>
      <c r="C977" s="2" t="s">
        <v>1643</v>
      </c>
      <c r="D977" s="2" t="s">
        <v>25</v>
      </c>
      <c r="E977" s="2" t="s">
        <v>21</v>
      </c>
      <c r="F977" s="2" t="s">
        <v>31</v>
      </c>
      <c r="G977" s="4">
        <v>127500</v>
      </c>
      <c r="H977" s="5">
        <v>3.5299999999999998E-2</v>
      </c>
      <c r="I977" s="2">
        <v>180</v>
      </c>
      <c r="J977" s="2" t="s">
        <v>66</v>
      </c>
      <c r="K977" s="2" t="s">
        <v>45</v>
      </c>
      <c r="L977" s="3">
        <v>46246</v>
      </c>
    </row>
    <row r="978" spans="1:12">
      <c r="A978" s="2" t="s">
        <v>1644</v>
      </c>
      <c r="B978" s="3">
        <v>46230</v>
      </c>
      <c r="C978" s="2" t="s">
        <v>1645</v>
      </c>
      <c r="D978" s="2" t="s">
        <v>14</v>
      </c>
      <c r="E978" s="2" t="s">
        <v>15</v>
      </c>
      <c r="F978" s="2" t="s">
        <v>55</v>
      </c>
      <c r="G978" s="4">
        <v>25000</v>
      </c>
      <c r="H978" s="5">
        <v>5.9900000000000002E-2</v>
      </c>
      <c r="I978" s="2">
        <v>24</v>
      </c>
      <c r="J978" s="2" t="s">
        <v>16</v>
      </c>
      <c r="K978" s="2" t="s">
        <v>17</v>
      </c>
      <c r="L978" s="3">
        <v>46233</v>
      </c>
    </row>
    <row r="979" spans="1:12">
      <c r="A979" s="2" t="s">
        <v>1646</v>
      </c>
      <c r="B979" s="3">
        <v>46230</v>
      </c>
      <c r="C979" s="2" t="s">
        <v>1647</v>
      </c>
      <c r="D979" s="2" t="s">
        <v>54</v>
      </c>
      <c r="E979" s="2" t="s">
        <v>30</v>
      </c>
      <c r="F979" s="2" t="s">
        <v>31</v>
      </c>
      <c r="G979" s="4">
        <v>14800</v>
      </c>
      <c r="H979" s="5">
        <v>3.5499999999999997E-2</v>
      </c>
      <c r="I979" s="2">
        <v>60</v>
      </c>
      <c r="J979" s="2" t="s">
        <v>148</v>
      </c>
      <c r="K979" s="2" t="s">
        <v>45</v>
      </c>
      <c r="L979" s="3">
        <v>46234</v>
      </c>
    </row>
    <row r="980" spans="1:12">
      <c r="A980" s="2" t="s">
        <v>1648</v>
      </c>
      <c r="B980" s="3">
        <v>46230</v>
      </c>
      <c r="C980" s="2" t="s">
        <v>509</v>
      </c>
      <c r="D980" s="2" t="s">
        <v>14</v>
      </c>
      <c r="E980" s="2" t="s">
        <v>43</v>
      </c>
      <c r="F980" s="2" t="s">
        <v>3</v>
      </c>
      <c r="G980" s="4">
        <v>115200</v>
      </c>
      <c r="H980" s="5">
        <v>5.62E-2</v>
      </c>
      <c r="I980" s="2">
        <v>36</v>
      </c>
      <c r="J980" s="2" t="s">
        <v>40</v>
      </c>
      <c r="K980" s="2" t="s">
        <v>17</v>
      </c>
      <c r="L980" s="3">
        <v>46251</v>
      </c>
    </row>
    <row r="981" spans="1:12">
      <c r="A981" s="2" t="s">
        <v>1649</v>
      </c>
      <c r="B981" s="3">
        <v>46230</v>
      </c>
      <c r="C981" s="2" t="s">
        <v>445</v>
      </c>
      <c r="D981" s="2" t="s">
        <v>71</v>
      </c>
      <c r="E981" s="2" t="s">
        <v>43</v>
      </c>
      <c r="F981" s="2" t="s">
        <v>3</v>
      </c>
      <c r="G981" s="4">
        <v>74600</v>
      </c>
      <c r="H981" s="5">
        <v>6.83E-2</v>
      </c>
      <c r="I981" s="2">
        <v>24</v>
      </c>
      <c r="J981" s="2" t="s">
        <v>94</v>
      </c>
      <c r="K981" s="2" t="s">
        <v>45</v>
      </c>
      <c r="L981" s="3">
        <v>46243</v>
      </c>
    </row>
    <row r="982" spans="1:12">
      <c r="A982" s="2" t="s">
        <v>1650</v>
      </c>
      <c r="B982" s="3">
        <v>46230</v>
      </c>
      <c r="C982" s="2" t="s">
        <v>1651</v>
      </c>
      <c r="D982" s="2" t="s">
        <v>29</v>
      </c>
      <c r="E982" s="2" t="s">
        <v>30</v>
      </c>
      <c r="F982" s="2" t="s">
        <v>3</v>
      </c>
      <c r="G982" s="4">
        <v>5700</v>
      </c>
      <c r="H982" s="5">
        <v>4.24E-2</v>
      </c>
      <c r="I982" s="2">
        <v>48</v>
      </c>
      <c r="J982" s="2" t="s">
        <v>61</v>
      </c>
      <c r="K982" s="2" t="s">
        <v>17</v>
      </c>
      <c r="L982" s="3">
        <v>46235</v>
      </c>
    </row>
    <row r="983" spans="1:12">
      <c r="A983" s="2" t="s">
        <v>1652</v>
      </c>
      <c r="B983" s="3">
        <v>46230</v>
      </c>
      <c r="C983" s="2" t="s">
        <v>975</v>
      </c>
      <c r="D983" s="2" t="s">
        <v>20</v>
      </c>
      <c r="E983" s="2" t="s">
        <v>21</v>
      </c>
      <c r="F983" s="2" t="s">
        <v>3</v>
      </c>
      <c r="G983" s="4">
        <v>79000</v>
      </c>
      <c r="H983" s="5">
        <v>3.2300000000000002E-2</v>
      </c>
      <c r="I983" s="2">
        <v>180</v>
      </c>
      <c r="J983" s="2" t="s">
        <v>22</v>
      </c>
      <c r="K983" s="2" t="s">
        <v>17</v>
      </c>
      <c r="L983" s="3">
        <v>46247</v>
      </c>
    </row>
    <row r="984" spans="1:12">
      <c r="A984" s="2" t="s">
        <v>1653</v>
      </c>
      <c r="B984" s="3">
        <v>46230</v>
      </c>
      <c r="C984" s="2" t="s">
        <v>783</v>
      </c>
      <c r="D984" s="2" t="s">
        <v>20</v>
      </c>
      <c r="E984" s="2" t="s">
        <v>15</v>
      </c>
      <c r="F984" s="2" t="s">
        <v>31</v>
      </c>
      <c r="G984" s="4">
        <v>20600</v>
      </c>
      <c r="H984" s="5">
        <v>6.2300000000000001E-2</v>
      </c>
      <c r="I984" s="2">
        <v>36</v>
      </c>
      <c r="J984" s="2" t="s">
        <v>22</v>
      </c>
      <c r="K984" s="2" t="s">
        <v>17</v>
      </c>
      <c r="L984" s="3">
        <v>46230</v>
      </c>
    </row>
    <row r="985" spans="1:12">
      <c r="A985" s="2" t="s">
        <v>1654</v>
      </c>
      <c r="B985" s="3">
        <v>46230</v>
      </c>
      <c r="C985" s="2" t="s">
        <v>1655</v>
      </c>
      <c r="D985" s="2" t="s">
        <v>29</v>
      </c>
      <c r="E985" s="2" t="s">
        <v>21</v>
      </c>
      <c r="F985" s="2" t="s">
        <v>154</v>
      </c>
      <c r="G985" s="4">
        <v>116100</v>
      </c>
      <c r="H985" s="5">
        <v>3.7600000000000001E-2</v>
      </c>
      <c r="I985" s="2">
        <v>240</v>
      </c>
      <c r="J985" s="2" t="s">
        <v>123</v>
      </c>
      <c r="K985" s="2" t="s">
        <v>45</v>
      </c>
      <c r="L985" s="3">
        <v>46248</v>
      </c>
    </row>
    <row r="986" spans="1:12">
      <c r="A986" s="2" t="s">
        <v>1656</v>
      </c>
      <c r="B986" s="3">
        <v>46231</v>
      </c>
      <c r="C986" s="2" t="s">
        <v>720</v>
      </c>
      <c r="D986" s="2" t="s">
        <v>71</v>
      </c>
      <c r="E986" s="2" t="s">
        <v>43</v>
      </c>
      <c r="F986" s="2" t="s">
        <v>31</v>
      </c>
      <c r="G986" s="4">
        <v>155700</v>
      </c>
      <c r="H986" s="5">
        <v>6.1400000000000003E-2</v>
      </c>
      <c r="I986" s="2">
        <v>60</v>
      </c>
      <c r="J986" s="2" t="s">
        <v>94</v>
      </c>
      <c r="K986" s="2" t="s">
        <v>45</v>
      </c>
      <c r="L986" s="3">
        <v>46241</v>
      </c>
    </row>
    <row r="987" spans="1:12">
      <c r="A987" s="2" t="s">
        <v>1657</v>
      </c>
      <c r="B987" s="3">
        <v>46231</v>
      </c>
      <c r="C987" s="2" t="s">
        <v>1647</v>
      </c>
      <c r="D987" s="2" t="s">
        <v>29</v>
      </c>
      <c r="E987" s="2" t="s">
        <v>30</v>
      </c>
      <c r="F987" s="2" t="s">
        <v>3</v>
      </c>
      <c r="G987" s="4">
        <v>19400</v>
      </c>
      <c r="H987" s="5">
        <v>4.6899999999999997E-2</v>
      </c>
      <c r="I987" s="2">
        <v>36</v>
      </c>
      <c r="J987" s="2" t="s">
        <v>123</v>
      </c>
      <c r="K987" s="2" t="s">
        <v>17</v>
      </c>
      <c r="L987" s="3">
        <v>46233</v>
      </c>
    </row>
    <row r="988" spans="1:12">
      <c r="A988" s="2" t="s">
        <v>1658</v>
      </c>
      <c r="B988" s="3">
        <v>46231</v>
      </c>
      <c r="C988" s="2" t="s">
        <v>1659</v>
      </c>
      <c r="D988" s="2" t="s">
        <v>25</v>
      </c>
      <c r="E988" s="2" t="s">
        <v>30</v>
      </c>
      <c r="F988" s="2" t="s">
        <v>31</v>
      </c>
      <c r="G988" s="4">
        <v>8800</v>
      </c>
      <c r="H988" s="5">
        <v>4.5900000000000003E-2</v>
      </c>
      <c r="I988" s="2">
        <v>60</v>
      </c>
      <c r="J988" s="2" t="s">
        <v>66</v>
      </c>
      <c r="K988" s="2" t="s">
        <v>17</v>
      </c>
      <c r="L988" s="3">
        <v>46236</v>
      </c>
    </row>
    <row r="989" spans="1:12">
      <c r="A989" s="2" t="s">
        <v>1660</v>
      </c>
      <c r="B989" s="3">
        <v>46231</v>
      </c>
      <c r="C989" s="2" t="s">
        <v>1440</v>
      </c>
      <c r="D989" s="2" t="s">
        <v>14</v>
      </c>
      <c r="E989" s="2" t="s">
        <v>30</v>
      </c>
      <c r="F989" s="2" t="s">
        <v>55</v>
      </c>
      <c r="G989" s="4">
        <v>4200</v>
      </c>
      <c r="H989" s="5">
        <v>4.6600000000000003E-2</v>
      </c>
      <c r="I989" s="2">
        <v>48</v>
      </c>
      <c r="J989" s="2" t="s">
        <v>48</v>
      </c>
      <c r="K989" s="2" t="s">
        <v>17</v>
      </c>
      <c r="L989" s="3">
        <v>46236</v>
      </c>
    </row>
    <row r="990" spans="1:12">
      <c r="A990" s="2" t="s">
        <v>1661</v>
      </c>
      <c r="B990" s="3">
        <v>46231</v>
      </c>
      <c r="C990" s="2" t="s">
        <v>1590</v>
      </c>
      <c r="D990" s="2" t="s">
        <v>29</v>
      </c>
      <c r="E990" s="2" t="s">
        <v>21</v>
      </c>
      <c r="F990" s="2" t="s">
        <v>3</v>
      </c>
      <c r="G990" s="4">
        <v>167000</v>
      </c>
      <c r="H990" s="5">
        <v>3.8600000000000002E-2</v>
      </c>
      <c r="I990" s="2">
        <v>180</v>
      </c>
      <c r="J990" s="2" t="s">
        <v>123</v>
      </c>
      <c r="K990" s="2" t="s">
        <v>17</v>
      </c>
      <c r="L990" s="3">
        <v>46242</v>
      </c>
    </row>
    <row r="991" spans="1:12">
      <c r="A991" s="2" t="s">
        <v>1662</v>
      </c>
      <c r="B991" s="3">
        <v>46231</v>
      </c>
      <c r="C991" s="2" t="s">
        <v>1308</v>
      </c>
      <c r="D991" s="2" t="s">
        <v>20</v>
      </c>
      <c r="E991" s="2" t="s">
        <v>21</v>
      </c>
      <c r="F991" s="2" t="s">
        <v>31</v>
      </c>
      <c r="G991" s="4">
        <v>172200</v>
      </c>
      <c r="H991" s="5">
        <v>3.8300000000000001E-2</v>
      </c>
      <c r="I991" s="2">
        <v>120</v>
      </c>
      <c r="J991" s="2" t="s">
        <v>44</v>
      </c>
      <c r="K991" s="2" t="s">
        <v>45</v>
      </c>
      <c r="L991" s="3">
        <v>46254</v>
      </c>
    </row>
    <row r="992" spans="1:12">
      <c r="A992" s="2" t="s">
        <v>1663</v>
      </c>
      <c r="B992" s="3">
        <v>46231</v>
      </c>
      <c r="C992" s="2" t="s">
        <v>1477</v>
      </c>
      <c r="D992" s="2" t="s">
        <v>20</v>
      </c>
      <c r="E992" s="2" t="s">
        <v>15</v>
      </c>
      <c r="F992" s="2" t="s">
        <v>3</v>
      </c>
      <c r="G992" s="4">
        <v>14200</v>
      </c>
      <c r="H992" s="5">
        <v>5.8400000000000001E-2</v>
      </c>
      <c r="I992" s="2">
        <v>12</v>
      </c>
      <c r="J992" s="2" t="s">
        <v>37</v>
      </c>
      <c r="K992" s="2" t="s">
        <v>45</v>
      </c>
      <c r="L992" s="3">
        <v>46238</v>
      </c>
    </row>
    <row r="993" spans="1:12">
      <c r="A993" s="2" t="s">
        <v>1664</v>
      </c>
      <c r="B993" s="3">
        <v>46232</v>
      </c>
      <c r="C993" s="2" t="s">
        <v>409</v>
      </c>
      <c r="D993" s="2" t="s">
        <v>20</v>
      </c>
      <c r="E993" s="2" t="s">
        <v>21</v>
      </c>
      <c r="F993" s="2" t="s">
        <v>3</v>
      </c>
      <c r="G993" s="4">
        <v>188100</v>
      </c>
      <c r="H993" s="5">
        <v>3.39E-2</v>
      </c>
      <c r="I993" s="2">
        <v>300</v>
      </c>
      <c r="J993" s="2" t="s">
        <v>44</v>
      </c>
      <c r="K993" s="2" t="s">
        <v>17</v>
      </c>
      <c r="L993" s="3">
        <v>46243</v>
      </c>
    </row>
    <row r="994" spans="1:12">
      <c r="A994" s="2" t="s">
        <v>1665</v>
      </c>
      <c r="B994" s="3">
        <v>46232</v>
      </c>
      <c r="C994" s="2" t="s">
        <v>1666</v>
      </c>
      <c r="D994" s="2" t="s">
        <v>20</v>
      </c>
      <c r="E994" s="2" t="s">
        <v>15</v>
      </c>
      <c r="F994" s="2" t="s">
        <v>31</v>
      </c>
      <c r="G994" s="2" t="s">
        <v>1667</v>
      </c>
      <c r="H994" s="5">
        <v>6.1400000000000003E-2</v>
      </c>
      <c r="I994" s="2">
        <v>24</v>
      </c>
      <c r="J994" s="2" t="s">
        <v>37</v>
      </c>
      <c r="K994" s="2" t="s">
        <v>45</v>
      </c>
      <c r="L994" s="3">
        <v>46238</v>
      </c>
    </row>
    <row r="995" spans="1:12">
      <c r="A995" s="2" t="s">
        <v>1668</v>
      </c>
      <c r="B995" s="3">
        <v>46232</v>
      </c>
      <c r="C995" s="2" t="s">
        <v>1669</v>
      </c>
      <c r="D995" s="2" t="s">
        <v>71</v>
      </c>
      <c r="E995" s="2" t="s">
        <v>15</v>
      </c>
      <c r="F995" s="2" t="s">
        <v>3</v>
      </c>
      <c r="G995" s="4">
        <v>8800</v>
      </c>
      <c r="H995" s="5">
        <v>6.1699999999999998E-2</v>
      </c>
      <c r="I995" s="2">
        <v>36</v>
      </c>
      <c r="J995" s="2" t="s">
        <v>101</v>
      </c>
      <c r="K995" s="2" t="s">
        <v>17</v>
      </c>
      <c r="L995" s="3">
        <v>46240</v>
      </c>
    </row>
    <row r="996" spans="1:12">
      <c r="A996" s="2" t="s">
        <v>1670</v>
      </c>
      <c r="B996" s="3">
        <v>46232</v>
      </c>
      <c r="C996" s="2" t="s">
        <v>1671</v>
      </c>
      <c r="D996" s="2" t="s">
        <v>54</v>
      </c>
      <c r="E996" s="2" t="s">
        <v>15</v>
      </c>
      <c r="F996" s="2" t="s">
        <v>3</v>
      </c>
      <c r="G996" s="2" t="s">
        <v>1672</v>
      </c>
      <c r="H996" s="5">
        <v>6.0499999999999998E-2</v>
      </c>
      <c r="I996" s="2">
        <v>48</v>
      </c>
      <c r="J996" s="2" t="s">
        <v>148</v>
      </c>
      <c r="K996" s="2" t="s">
        <v>17</v>
      </c>
      <c r="L996" s="3">
        <v>46235</v>
      </c>
    </row>
    <row r="997" spans="1:12">
      <c r="A997" s="2" t="s">
        <v>1673</v>
      </c>
      <c r="B997" s="3">
        <v>46233</v>
      </c>
      <c r="C997" s="2" t="s">
        <v>109</v>
      </c>
      <c r="D997" s="2" t="s">
        <v>14</v>
      </c>
      <c r="E997" s="2" t="s">
        <v>43</v>
      </c>
      <c r="F997" s="2" t="s">
        <v>55</v>
      </c>
      <c r="G997" s="4">
        <v>136700</v>
      </c>
      <c r="H997" s="5">
        <v>7.8799999999999995E-2</v>
      </c>
      <c r="I997" s="2">
        <v>36</v>
      </c>
      <c r="J997" s="2" t="s">
        <v>40</v>
      </c>
      <c r="K997" s="2" t="s">
        <v>17</v>
      </c>
      <c r="L997" s="3">
        <v>46241</v>
      </c>
    </row>
    <row r="998" spans="1:12">
      <c r="A998" s="2" t="s">
        <v>1674</v>
      </c>
      <c r="B998" s="3">
        <v>46234</v>
      </c>
      <c r="C998" s="2" t="s">
        <v>1675</v>
      </c>
      <c r="D998" s="2" t="s">
        <v>20</v>
      </c>
      <c r="E998" s="2" t="s">
        <v>15</v>
      </c>
      <c r="F998" s="2" t="s">
        <v>332</v>
      </c>
      <c r="G998" s="4">
        <v>5200</v>
      </c>
      <c r="H998" s="5">
        <v>5.2600000000000001E-2</v>
      </c>
      <c r="I998" s="2">
        <v>36</v>
      </c>
      <c r="J998" s="2" t="s">
        <v>37</v>
      </c>
      <c r="K998" s="2" t="s">
        <v>17</v>
      </c>
      <c r="L998" s="3">
        <v>46237</v>
      </c>
    </row>
    <row r="999" spans="1:12">
      <c r="A999" s="2" t="s">
        <v>1676</v>
      </c>
      <c r="B999" s="3">
        <v>46234</v>
      </c>
      <c r="C999" s="2" t="s">
        <v>1677</v>
      </c>
      <c r="D999" s="2" t="s">
        <v>20</v>
      </c>
      <c r="E999" s="2" t="s">
        <v>30</v>
      </c>
      <c r="F999" s="2" t="s">
        <v>31</v>
      </c>
      <c r="G999" s="4">
        <v>16000</v>
      </c>
      <c r="H999" s="5">
        <v>4.0599999999999997E-2</v>
      </c>
      <c r="I999" s="2">
        <v>36</v>
      </c>
      <c r="J999" s="2" t="s">
        <v>44</v>
      </c>
      <c r="K999" s="2" t="s">
        <v>17</v>
      </c>
      <c r="L999" s="3">
        <v>46236</v>
      </c>
    </row>
    <row r="1000" spans="1:12">
      <c r="A1000" s="2" t="s">
        <v>1678</v>
      </c>
      <c r="B1000" s="3">
        <v>46234</v>
      </c>
      <c r="C1000" s="2" t="s">
        <v>1679</v>
      </c>
      <c r="D1000" s="2" t="s">
        <v>20</v>
      </c>
      <c r="E1000" s="2" t="s">
        <v>21</v>
      </c>
      <c r="F1000" s="2" t="s">
        <v>55</v>
      </c>
      <c r="G1000" s="4">
        <v>138000</v>
      </c>
      <c r="H1000" s="5">
        <v>4.24E-2</v>
      </c>
      <c r="I1000" s="2">
        <v>180</v>
      </c>
      <c r="J1000" s="2" t="s">
        <v>22</v>
      </c>
      <c r="K1000" s="2" t="s">
        <v>17</v>
      </c>
      <c r="L1000" s="3">
        <v>46263</v>
      </c>
    </row>
    <row r="1001" spans="1:12">
      <c r="A1001" s="2" t="s">
        <v>1680</v>
      </c>
      <c r="B1001" s="3">
        <v>46234</v>
      </c>
      <c r="C1001" s="2" t="s">
        <v>854</v>
      </c>
      <c r="D1001" s="2" t="s">
        <v>20</v>
      </c>
      <c r="E1001" s="2" t="s">
        <v>30</v>
      </c>
      <c r="F1001" s="2" t="s">
        <v>3</v>
      </c>
      <c r="G1001" s="4">
        <v>5300</v>
      </c>
      <c r="H1001" s="5">
        <v>4.5699999999999998E-2</v>
      </c>
      <c r="I1001" s="2">
        <v>48</v>
      </c>
      <c r="J1001" s="2" t="s">
        <v>44</v>
      </c>
      <c r="K1001" s="2" t="s">
        <v>17</v>
      </c>
      <c r="L1001" s="3">
        <v>46236</v>
      </c>
    </row>
    <row r="1002" spans="1:12">
      <c r="A1002" s="2" t="s">
        <v>1681</v>
      </c>
      <c r="B1002" s="3">
        <v>46234</v>
      </c>
      <c r="C1002" s="2" t="s">
        <v>159</v>
      </c>
      <c r="D1002" s="2" t="s">
        <v>14</v>
      </c>
      <c r="E1002" s="2" t="s">
        <v>30</v>
      </c>
      <c r="F1002" s="2" t="s">
        <v>55</v>
      </c>
      <c r="G1002" s="4">
        <v>5500</v>
      </c>
      <c r="H1002" s="5">
        <v>3.5700000000000003E-2</v>
      </c>
      <c r="I1002" s="2">
        <v>36</v>
      </c>
      <c r="J1002" s="2" t="s">
        <v>16</v>
      </c>
      <c r="K1002" s="2" t="s">
        <v>17</v>
      </c>
      <c r="L1002" s="3">
        <v>46238</v>
      </c>
    </row>
    <row r="1003" spans="1:12">
      <c r="A1003" s="2" t="s">
        <v>1682</v>
      </c>
      <c r="B1003" s="3">
        <v>46234</v>
      </c>
      <c r="C1003" s="2" t="s">
        <v>1683</v>
      </c>
      <c r="D1003" s="2" t="s">
        <v>29</v>
      </c>
      <c r="E1003" s="2" t="s">
        <v>51</v>
      </c>
      <c r="F1003" s="2" t="s">
        <v>3</v>
      </c>
      <c r="G1003" s="4">
        <v>11100</v>
      </c>
      <c r="H1003" s="5">
        <v>4.53E-2</v>
      </c>
      <c r="I1003" s="2">
        <v>48</v>
      </c>
      <c r="J1003" s="2" t="s">
        <v>32</v>
      </c>
      <c r="K1003" s="2" t="s">
        <v>17</v>
      </c>
      <c r="L1003" s="3">
        <v>46237</v>
      </c>
    </row>
    <row r="1004" spans="1:12">
      <c r="A1004" s="2" t="s">
        <v>1684</v>
      </c>
      <c r="B1004" s="3">
        <v>46234</v>
      </c>
      <c r="C1004" s="2" t="s">
        <v>864</v>
      </c>
      <c r="D1004" s="2" t="s">
        <v>14</v>
      </c>
      <c r="E1004" s="2" t="s">
        <v>15</v>
      </c>
      <c r="F1004" s="2" t="s">
        <v>3</v>
      </c>
      <c r="G1004" s="4">
        <v>18100</v>
      </c>
      <c r="H1004" s="5">
        <v>6.2799999999999995E-2</v>
      </c>
      <c r="I1004" s="2">
        <v>48</v>
      </c>
      <c r="J1004" s="2" t="s">
        <v>16</v>
      </c>
      <c r="K1004" s="2" t="s">
        <v>45</v>
      </c>
      <c r="L1004" s="3">
        <v>46236</v>
      </c>
    </row>
    <row r="1005" spans="1:12">
      <c r="A1005" s="2" t="s">
        <v>1685</v>
      </c>
      <c r="B1005" s="3">
        <v>46234</v>
      </c>
      <c r="C1005" s="2" t="s">
        <v>1686</v>
      </c>
      <c r="D1005" s="2" t="s">
        <v>25</v>
      </c>
      <c r="E1005" s="2" t="s">
        <v>21</v>
      </c>
      <c r="F1005" s="2" t="s">
        <v>3</v>
      </c>
      <c r="G1005" s="4">
        <v>202800</v>
      </c>
      <c r="H1005" s="5">
        <v>4.2200000000000001E-2</v>
      </c>
      <c r="I1005" s="2">
        <v>240</v>
      </c>
      <c r="J1005" s="2" t="s">
        <v>181</v>
      </c>
      <c r="K1005" s="2" t="s">
        <v>17</v>
      </c>
      <c r="L1005" s="3">
        <v>46261</v>
      </c>
    </row>
    <row r="1006" spans="1:12">
      <c r="A1006" s="2" t="s">
        <v>1687</v>
      </c>
      <c r="B1006" s="3">
        <v>46235</v>
      </c>
      <c r="C1006" s="2" t="s">
        <v>453</v>
      </c>
      <c r="D1006" s="2" t="s">
        <v>71</v>
      </c>
      <c r="E1006" s="2" t="s">
        <v>15</v>
      </c>
      <c r="F1006" s="2" t="s">
        <v>147</v>
      </c>
      <c r="G1006" s="4">
        <v>15900</v>
      </c>
      <c r="H1006" s="5">
        <v>5.1799999999999999E-2</v>
      </c>
      <c r="I1006" s="2">
        <v>24</v>
      </c>
      <c r="J1006" s="2" t="s">
        <v>72</v>
      </c>
      <c r="K1006" s="2" t="s">
        <v>45</v>
      </c>
      <c r="L1006" s="3">
        <v>46243</v>
      </c>
    </row>
    <row r="1007" spans="1:12">
      <c r="A1007" s="2" t="s">
        <v>1688</v>
      </c>
      <c r="B1007" s="3">
        <v>46236</v>
      </c>
      <c r="C1007" s="2" t="s">
        <v>1547</v>
      </c>
      <c r="D1007" s="2" t="s">
        <v>20</v>
      </c>
      <c r="E1007" s="2" t="s">
        <v>15</v>
      </c>
      <c r="F1007" s="2" t="s">
        <v>31</v>
      </c>
      <c r="G1007" s="4">
        <v>20900</v>
      </c>
      <c r="H1007" s="5">
        <v>6.6600000000000006E-2</v>
      </c>
      <c r="I1007" s="2">
        <v>36</v>
      </c>
      <c r="J1007" s="2" t="s">
        <v>37</v>
      </c>
      <c r="K1007" s="2" t="s">
        <v>45</v>
      </c>
      <c r="L1007" s="3">
        <v>46241</v>
      </c>
    </row>
    <row r="1008" spans="1:12">
      <c r="A1008" s="2" t="s">
        <v>1689</v>
      </c>
      <c r="B1008" s="3">
        <v>46236</v>
      </c>
      <c r="C1008" s="2" t="s">
        <v>475</v>
      </c>
      <c r="D1008" s="2" t="s">
        <v>25</v>
      </c>
      <c r="E1008" s="2" t="s">
        <v>51</v>
      </c>
      <c r="F1008" s="2" t="s">
        <v>3</v>
      </c>
      <c r="G1008" s="4">
        <v>11400</v>
      </c>
      <c r="H1008" s="5">
        <v>4.2500000000000003E-2</v>
      </c>
      <c r="I1008" s="2">
        <v>48</v>
      </c>
      <c r="J1008" s="2" t="s">
        <v>66</v>
      </c>
      <c r="K1008" s="2" t="s">
        <v>45</v>
      </c>
      <c r="L1008" s="3">
        <v>46239</v>
      </c>
    </row>
    <row r="1009" spans="1:12">
      <c r="A1009" s="2" t="s">
        <v>1690</v>
      </c>
      <c r="B1009" s="3">
        <v>46236</v>
      </c>
      <c r="C1009" s="2" t="s">
        <v>1310</v>
      </c>
      <c r="D1009" s="2" t="s">
        <v>20</v>
      </c>
      <c r="E1009" s="2" t="s">
        <v>43</v>
      </c>
      <c r="F1009" s="2" t="s">
        <v>55</v>
      </c>
      <c r="G1009" s="4">
        <v>102100</v>
      </c>
      <c r="H1009" s="5">
        <v>5.8799999999999998E-2</v>
      </c>
      <c r="I1009" s="2">
        <v>84</v>
      </c>
      <c r="J1009" s="2" t="s">
        <v>22</v>
      </c>
      <c r="K1009" s="2" t="s">
        <v>17</v>
      </c>
      <c r="L1009" s="3">
        <v>46243</v>
      </c>
    </row>
    <row r="1010" spans="1:12">
      <c r="A1010" s="2" t="s">
        <v>1691</v>
      </c>
      <c r="B1010" s="3">
        <v>46236</v>
      </c>
      <c r="C1010" s="2" t="s">
        <v>1692</v>
      </c>
      <c r="D1010" s="2" t="s">
        <v>71</v>
      </c>
      <c r="E1010" s="2" t="s">
        <v>21</v>
      </c>
      <c r="F1010" s="2" t="s">
        <v>329</v>
      </c>
      <c r="G1010" s="4">
        <v>193600</v>
      </c>
      <c r="H1010" s="5">
        <v>4.0099999999999997E-2</v>
      </c>
      <c r="I1010" s="2">
        <v>120</v>
      </c>
      <c r="J1010" s="2" t="s">
        <v>72</v>
      </c>
      <c r="K1010" s="2" t="s">
        <v>45</v>
      </c>
      <c r="L1010" s="3">
        <v>46270</v>
      </c>
    </row>
    <row r="1011" spans="1:12">
      <c r="A1011" s="2" t="s">
        <v>1693</v>
      </c>
      <c r="B1011" s="3">
        <v>46236</v>
      </c>
      <c r="C1011" s="2" t="s">
        <v>65</v>
      </c>
      <c r="D1011" s="2" t="s">
        <v>71</v>
      </c>
      <c r="E1011" s="2" t="s">
        <v>30</v>
      </c>
      <c r="F1011" s="2" t="s">
        <v>3</v>
      </c>
      <c r="G1011" s="4">
        <v>7500</v>
      </c>
      <c r="H1011" s="5">
        <v>3.7699999999999997E-2</v>
      </c>
      <c r="I1011" s="2">
        <v>48</v>
      </c>
      <c r="J1011" s="2" t="s">
        <v>94</v>
      </c>
      <c r="K1011" s="2" t="s">
        <v>45</v>
      </c>
      <c r="L1011" s="3">
        <v>46245</v>
      </c>
    </row>
    <row r="1012" spans="1:12">
      <c r="A1012" s="2" t="s">
        <v>1694</v>
      </c>
      <c r="B1012" s="3">
        <v>46236</v>
      </c>
      <c r="C1012" s="2" t="s">
        <v>431</v>
      </c>
      <c r="D1012" s="2" t="s">
        <v>14</v>
      </c>
      <c r="E1012" s="2" t="s">
        <v>21</v>
      </c>
      <c r="F1012" s="2" t="s">
        <v>3</v>
      </c>
      <c r="G1012" s="4">
        <v>166400</v>
      </c>
      <c r="H1012" s="5">
        <v>3.3300000000000003E-2</v>
      </c>
      <c r="I1012" s="2">
        <v>120</v>
      </c>
      <c r="J1012" s="2" t="s">
        <v>48</v>
      </c>
      <c r="K1012" s="2" t="s">
        <v>17</v>
      </c>
      <c r="L1012" s="3">
        <v>46261</v>
      </c>
    </row>
    <row r="1013" spans="1:12">
      <c r="A1013" s="2" t="s">
        <v>1695</v>
      </c>
      <c r="B1013" s="3">
        <v>46236</v>
      </c>
      <c r="C1013" s="2" t="s">
        <v>1696</v>
      </c>
      <c r="D1013" s="2" t="s">
        <v>29</v>
      </c>
      <c r="E1013" s="2" t="s">
        <v>30</v>
      </c>
      <c r="F1013" s="2" t="s">
        <v>31</v>
      </c>
      <c r="G1013" s="4">
        <v>5100</v>
      </c>
      <c r="H1013" s="5">
        <v>3.8800000000000001E-2</v>
      </c>
      <c r="I1013" s="2">
        <v>60</v>
      </c>
      <c r="J1013" s="2" t="s">
        <v>123</v>
      </c>
      <c r="K1013" s="2" t="s">
        <v>17</v>
      </c>
      <c r="L1013" s="3">
        <v>46240</v>
      </c>
    </row>
    <row r="1014" spans="1:12">
      <c r="A1014" s="2" t="s">
        <v>1697</v>
      </c>
      <c r="B1014" s="3">
        <v>46236</v>
      </c>
      <c r="C1014" s="2" t="s">
        <v>1477</v>
      </c>
      <c r="D1014" s="2" t="s">
        <v>14</v>
      </c>
      <c r="E1014" s="2" t="s">
        <v>15</v>
      </c>
      <c r="F1014" s="2" t="s">
        <v>31</v>
      </c>
      <c r="G1014" s="4">
        <v>23400</v>
      </c>
      <c r="H1014" s="5">
        <v>6.7599999999999993E-2</v>
      </c>
      <c r="I1014" s="2">
        <v>24</v>
      </c>
      <c r="J1014" s="2" t="s">
        <v>40</v>
      </c>
      <c r="K1014" s="2" t="s">
        <v>17</v>
      </c>
      <c r="L1014" s="3">
        <v>46237</v>
      </c>
    </row>
    <row r="1015" spans="1:12">
      <c r="A1015" s="2" t="s">
        <v>1698</v>
      </c>
      <c r="B1015" s="3">
        <v>46237</v>
      </c>
      <c r="C1015" s="2" t="s">
        <v>776</v>
      </c>
      <c r="D1015" s="2" t="s">
        <v>71</v>
      </c>
      <c r="E1015" s="2" t="s">
        <v>157</v>
      </c>
      <c r="F1015" s="2" t="s">
        <v>31</v>
      </c>
      <c r="G1015" s="4">
        <v>15500</v>
      </c>
      <c r="H1015" s="5">
        <v>5.2200000000000003E-2</v>
      </c>
      <c r="I1015" s="2">
        <v>12</v>
      </c>
      <c r="J1015" s="2" t="s">
        <v>72</v>
      </c>
      <c r="K1015" s="2" t="s">
        <v>45</v>
      </c>
      <c r="L1015" s="3">
        <v>46243</v>
      </c>
    </row>
    <row r="1016" spans="1:12">
      <c r="A1016" s="2" t="s">
        <v>1699</v>
      </c>
      <c r="B1016" s="3">
        <v>46237</v>
      </c>
      <c r="C1016" s="2" t="s">
        <v>1183</v>
      </c>
      <c r="D1016" s="2" t="s">
        <v>25</v>
      </c>
      <c r="E1016" s="2" t="s">
        <v>30</v>
      </c>
      <c r="F1016" s="2" t="s">
        <v>31</v>
      </c>
      <c r="G1016" s="4">
        <v>4300</v>
      </c>
      <c r="H1016" s="5">
        <v>3.7699999999999997E-2</v>
      </c>
      <c r="I1016" s="2">
        <v>60</v>
      </c>
      <c r="J1016" s="2" t="s">
        <v>66</v>
      </c>
      <c r="K1016" s="2" t="s">
        <v>17</v>
      </c>
      <c r="L1016" s="3">
        <v>46240</v>
      </c>
    </row>
    <row r="1017" spans="1:12">
      <c r="A1017" s="2" t="s">
        <v>1700</v>
      </c>
      <c r="B1017" s="3">
        <v>46237</v>
      </c>
      <c r="C1017" s="2" t="s">
        <v>479</v>
      </c>
      <c r="D1017" s="2" t="s">
        <v>29</v>
      </c>
      <c r="E1017" s="2" t="s">
        <v>30</v>
      </c>
      <c r="F1017" s="2" t="s">
        <v>3</v>
      </c>
      <c r="G1017" s="4">
        <v>9900</v>
      </c>
      <c r="H1017" s="5">
        <v>4.3299999999999998E-2</v>
      </c>
      <c r="I1017" s="2">
        <v>60</v>
      </c>
      <c r="J1017" s="2" t="s">
        <v>61</v>
      </c>
      <c r="K1017" s="2" t="s">
        <v>17</v>
      </c>
      <c r="L1017" s="3">
        <v>46241</v>
      </c>
    </row>
    <row r="1018" spans="1:12">
      <c r="A1018" s="2" t="s">
        <v>1701</v>
      </c>
      <c r="B1018" s="3">
        <v>46237</v>
      </c>
      <c r="C1018" s="2" t="s">
        <v>50</v>
      </c>
      <c r="D1018" s="2" t="s">
        <v>29</v>
      </c>
      <c r="E1018" s="2" t="s">
        <v>15</v>
      </c>
      <c r="F1018" s="2" t="s">
        <v>3</v>
      </c>
      <c r="G1018" s="4">
        <v>6700</v>
      </c>
      <c r="H1018" s="5">
        <v>5.9700000000000003E-2</v>
      </c>
      <c r="I1018" s="2">
        <v>60</v>
      </c>
      <c r="J1018" s="2" t="s">
        <v>32</v>
      </c>
      <c r="K1018" s="2" t="s">
        <v>17</v>
      </c>
      <c r="L1018" s="3">
        <v>46241</v>
      </c>
    </row>
    <row r="1019" spans="1:12">
      <c r="A1019" s="2" t="s">
        <v>1702</v>
      </c>
      <c r="B1019" s="3">
        <v>46237</v>
      </c>
      <c r="C1019" s="2" t="s">
        <v>738</v>
      </c>
      <c r="D1019" s="2" t="s">
        <v>14</v>
      </c>
      <c r="E1019" s="2" t="s">
        <v>30</v>
      </c>
      <c r="F1019" s="2" t="s">
        <v>3</v>
      </c>
      <c r="G1019" s="4">
        <v>12400</v>
      </c>
      <c r="H1019" s="5">
        <v>4.87E-2</v>
      </c>
      <c r="I1019" s="2">
        <v>60</v>
      </c>
      <c r="J1019" s="2" t="s">
        <v>16</v>
      </c>
      <c r="K1019" s="2" t="s">
        <v>17</v>
      </c>
      <c r="L1019" s="3">
        <v>46242</v>
      </c>
    </row>
    <row r="1020" spans="1:12">
      <c r="A1020" s="2" t="s">
        <v>1703</v>
      </c>
      <c r="B1020" s="3">
        <v>46238</v>
      </c>
      <c r="C1020" s="2" t="s">
        <v>1217</v>
      </c>
      <c r="D1020" s="2" t="s">
        <v>29</v>
      </c>
      <c r="E1020" s="2" t="s">
        <v>21</v>
      </c>
      <c r="F1020" s="2" t="s">
        <v>3</v>
      </c>
      <c r="G1020" s="4">
        <v>94000</v>
      </c>
      <c r="H1020" s="5">
        <v>3.3399999999999999E-2</v>
      </c>
      <c r="I1020" s="2">
        <v>180</v>
      </c>
      <c r="J1020" s="2" t="s">
        <v>123</v>
      </c>
      <c r="K1020" s="2" t="s">
        <v>45</v>
      </c>
      <c r="L1020" s="3">
        <v>46258</v>
      </c>
    </row>
    <row r="1021" spans="1:12">
      <c r="A1021" s="2" t="s">
        <v>1704</v>
      </c>
      <c r="B1021" s="3">
        <v>46239</v>
      </c>
      <c r="C1021" s="2" t="s">
        <v>515</v>
      </c>
      <c r="D1021" s="2" t="s">
        <v>20</v>
      </c>
      <c r="E1021" s="2" t="s">
        <v>43</v>
      </c>
      <c r="F1021" s="2" t="s">
        <v>956</v>
      </c>
      <c r="G1021" s="4">
        <v>119400</v>
      </c>
      <c r="H1021" s="5">
        <v>6.83E-2</v>
      </c>
      <c r="I1021" s="2">
        <v>60</v>
      </c>
      <c r="J1021" s="2" t="s">
        <v>22</v>
      </c>
      <c r="K1021" s="2" t="s">
        <v>45</v>
      </c>
      <c r="L1021" s="3">
        <v>46249</v>
      </c>
    </row>
    <row r="1022" spans="1:12">
      <c r="A1022" s="2" t="s">
        <v>1705</v>
      </c>
      <c r="B1022" s="3">
        <v>46239</v>
      </c>
      <c r="C1022" s="2" t="s">
        <v>1706</v>
      </c>
      <c r="D1022" s="2" t="s">
        <v>54</v>
      </c>
      <c r="E1022" s="2" t="s">
        <v>30</v>
      </c>
      <c r="F1022" s="2" t="s">
        <v>31</v>
      </c>
      <c r="G1022" s="4">
        <v>16400</v>
      </c>
      <c r="H1022" s="5">
        <v>4.0399999999999998E-2</v>
      </c>
      <c r="I1022" s="2">
        <v>48</v>
      </c>
      <c r="J1022" s="2" t="s">
        <v>186</v>
      </c>
      <c r="K1022" s="2" t="s">
        <v>17</v>
      </c>
      <c r="L1022" s="3">
        <v>46239</v>
      </c>
    </row>
    <row r="1023" spans="1:12">
      <c r="A1023" s="2" t="s">
        <v>1707</v>
      </c>
      <c r="B1023" s="3">
        <v>46239</v>
      </c>
      <c r="C1023" s="2" t="s">
        <v>1708</v>
      </c>
      <c r="D1023" s="2" t="s">
        <v>25</v>
      </c>
      <c r="E1023" s="2" t="s">
        <v>30</v>
      </c>
      <c r="F1023" s="2" t="s">
        <v>31</v>
      </c>
      <c r="G1023" s="4">
        <v>5500</v>
      </c>
      <c r="H1023" s="5">
        <v>4.4999999999999998E-2</v>
      </c>
      <c r="I1023" s="2">
        <v>48</v>
      </c>
      <c r="J1023" s="2" t="s">
        <v>66</v>
      </c>
      <c r="K1023" s="2" t="s">
        <v>45</v>
      </c>
      <c r="L1023" s="3">
        <v>46241</v>
      </c>
    </row>
    <row r="1024" spans="1:12">
      <c r="A1024" s="2" t="s">
        <v>1709</v>
      </c>
      <c r="B1024" s="3">
        <v>46239</v>
      </c>
      <c r="C1024" s="2" t="s">
        <v>1211</v>
      </c>
      <c r="D1024" s="2" t="s">
        <v>29</v>
      </c>
      <c r="E1024" s="2" t="s">
        <v>15</v>
      </c>
      <c r="F1024" s="2" t="s">
        <v>3</v>
      </c>
      <c r="G1024" s="4">
        <v>24800</v>
      </c>
      <c r="H1024" s="5">
        <v>6.7900000000000002E-2</v>
      </c>
      <c r="I1024" s="2">
        <v>36</v>
      </c>
      <c r="J1024" s="2" t="s">
        <v>32</v>
      </c>
      <c r="K1024" s="2" t="s">
        <v>17</v>
      </c>
      <c r="L1024" s="3">
        <v>46241</v>
      </c>
    </row>
    <row r="1025" spans="1:12">
      <c r="A1025" s="2" t="s">
        <v>1709</v>
      </c>
      <c r="B1025" s="3">
        <v>46239</v>
      </c>
      <c r="C1025" s="2" t="s">
        <v>1211</v>
      </c>
      <c r="D1025" s="2" t="s">
        <v>29</v>
      </c>
      <c r="E1025" s="2" t="s">
        <v>15</v>
      </c>
      <c r="F1025" s="2" t="s">
        <v>3</v>
      </c>
      <c r="G1025" s="4">
        <v>24800</v>
      </c>
      <c r="H1025" s="5">
        <v>6.7900000000000002E-2</v>
      </c>
      <c r="I1025" s="2">
        <v>36</v>
      </c>
      <c r="J1025" s="2" t="s">
        <v>32</v>
      </c>
      <c r="K1025" s="2" t="s">
        <v>17</v>
      </c>
      <c r="L1025" s="3">
        <v>46241</v>
      </c>
    </row>
    <row r="1026" spans="1:12">
      <c r="A1026" s="2" t="s">
        <v>1710</v>
      </c>
      <c r="B1026" s="3">
        <v>46239</v>
      </c>
      <c r="C1026" s="2" t="s">
        <v>940</v>
      </c>
      <c r="D1026" s="2" t="s">
        <v>71</v>
      </c>
      <c r="E1026" s="2" t="s">
        <v>43</v>
      </c>
      <c r="F1026" s="2" t="s">
        <v>55</v>
      </c>
      <c r="G1026" s="4">
        <v>58700</v>
      </c>
      <c r="H1026" s="5">
        <v>6.3E-2</v>
      </c>
      <c r="I1026" s="2">
        <v>24</v>
      </c>
      <c r="J1026" s="2" t="s">
        <v>94</v>
      </c>
      <c r="K1026" s="2" t="s">
        <v>45</v>
      </c>
      <c r="L1026" s="3">
        <v>46252</v>
      </c>
    </row>
    <row r="1027" spans="1:12">
      <c r="A1027" s="2" t="s">
        <v>1711</v>
      </c>
      <c r="B1027" s="3">
        <v>46239</v>
      </c>
      <c r="C1027" s="2" t="s">
        <v>1369</v>
      </c>
      <c r="D1027" s="2" t="s">
        <v>71</v>
      </c>
      <c r="E1027" s="2" t="s">
        <v>30</v>
      </c>
      <c r="F1027" s="2" t="s">
        <v>55</v>
      </c>
      <c r="G1027" s="4">
        <v>14000</v>
      </c>
      <c r="H1027" s="5">
        <v>4.7699999999999999E-2</v>
      </c>
      <c r="I1027" s="2">
        <v>36</v>
      </c>
      <c r="J1027" s="2" t="s">
        <v>101</v>
      </c>
      <c r="K1027" s="2" t="s">
        <v>17</v>
      </c>
      <c r="L1027" s="3">
        <v>46247</v>
      </c>
    </row>
    <row r="1028" spans="1:12">
      <c r="A1028" s="2" t="s">
        <v>1712</v>
      </c>
      <c r="B1028" s="3">
        <v>46240</v>
      </c>
      <c r="C1028" s="2" t="s">
        <v>1713</v>
      </c>
      <c r="D1028" s="2" t="s">
        <v>14</v>
      </c>
      <c r="E1028" s="2" t="s">
        <v>15</v>
      </c>
      <c r="F1028" s="2" t="s">
        <v>31</v>
      </c>
      <c r="G1028" s="4">
        <v>23000</v>
      </c>
      <c r="H1028" s="5">
        <v>6.6100000000000006E-2</v>
      </c>
      <c r="I1028" s="2">
        <v>48</v>
      </c>
      <c r="J1028" s="2" t="s">
        <v>40</v>
      </c>
      <c r="K1028" s="2" t="s">
        <v>17</v>
      </c>
      <c r="L1028" s="3">
        <v>46246</v>
      </c>
    </row>
    <row r="1029" spans="1:12">
      <c r="A1029" s="2" t="s">
        <v>1714</v>
      </c>
      <c r="B1029" s="3">
        <v>46240</v>
      </c>
      <c r="C1029" s="2" t="s">
        <v>1715</v>
      </c>
      <c r="D1029" s="2" t="s">
        <v>54</v>
      </c>
      <c r="E1029" s="2" t="s">
        <v>43</v>
      </c>
      <c r="F1029" s="2" t="s">
        <v>31</v>
      </c>
      <c r="G1029" s="4">
        <v>75900</v>
      </c>
      <c r="H1029" s="5">
        <v>5.5800000000000002E-2</v>
      </c>
      <c r="I1029" s="2">
        <v>60</v>
      </c>
      <c r="J1029" s="2" t="s">
        <v>148</v>
      </c>
      <c r="K1029" s="2" t="s">
        <v>17</v>
      </c>
      <c r="L1029" s="3">
        <v>46260</v>
      </c>
    </row>
    <row r="1030" spans="1:12">
      <c r="A1030" s="2" t="s">
        <v>1716</v>
      </c>
      <c r="B1030" s="3">
        <v>46240</v>
      </c>
      <c r="C1030" s="2" t="s">
        <v>769</v>
      </c>
      <c r="D1030" s="2" t="s">
        <v>54</v>
      </c>
      <c r="E1030" s="2" t="s">
        <v>43</v>
      </c>
      <c r="F1030" s="2" t="s">
        <v>31</v>
      </c>
      <c r="G1030" s="4">
        <v>93200</v>
      </c>
      <c r="H1030" s="5">
        <v>6.0600000000000001E-2</v>
      </c>
      <c r="I1030" s="2">
        <v>36</v>
      </c>
      <c r="J1030" s="2" t="s">
        <v>148</v>
      </c>
      <c r="K1030" s="2" t="s">
        <v>17</v>
      </c>
      <c r="L1030" s="3">
        <v>46256</v>
      </c>
    </row>
    <row r="1031" spans="1:12">
      <c r="A1031" s="2" t="s">
        <v>1717</v>
      </c>
      <c r="B1031" s="3">
        <v>46240</v>
      </c>
      <c r="C1031" s="2" t="s">
        <v>453</v>
      </c>
      <c r="D1031" s="2" t="s">
        <v>20</v>
      </c>
      <c r="E1031" s="2" t="s">
        <v>30</v>
      </c>
      <c r="F1031" s="2" t="s">
        <v>31</v>
      </c>
      <c r="G1031" s="4">
        <v>9200</v>
      </c>
      <c r="H1031" s="5">
        <v>4.0099999999999997E-2</v>
      </c>
      <c r="I1031" s="2">
        <v>60</v>
      </c>
      <c r="J1031" s="2" t="s">
        <v>44</v>
      </c>
      <c r="K1031" s="2" t="s">
        <v>17</v>
      </c>
      <c r="L1031" s="3">
        <v>46240</v>
      </c>
    </row>
    <row r="1032" spans="1:12">
      <c r="A1032" s="2" t="s">
        <v>1718</v>
      </c>
      <c r="B1032" s="3">
        <v>46240</v>
      </c>
      <c r="C1032" s="2" t="s">
        <v>109</v>
      </c>
      <c r="D1032" s="2" t="s">
        <v>20</v>
      </c>
      <c r="E1032" s="2" t="s">
        <v>15</v>
      </c>
      <c r="F1032" s="2" t="s">
        <v>3</v>
      </c>
      <c r="G1032" s="4">
        <v>19800</v>
      </c>
      <c r="H1032" s="5">
        <v>6.8599999999999994E-2</v>
      </c>
      <c r="I1032" s="2">
        <v>12</v>
      </c>
      <c r="J1032" s="2" t="s">
        <v>44</v>
      </c>
      <c r="K1032" s="2" t="s">
        <v>17</v>
      </c>
      <c r="L1032" s="3">
        <v>46243</v>
      </c>
    </row>
    <row r="1033" spans="1:12">
      <c r="A1033" s="2" t="s">
        <v>1719</v>
      </c>
      <c r="B1033" s="3">
        <v>46240</v>
      </c>
      <c r="C1033" s="2" t="s">
        <v>98</v>
      </c>
      <c r="D1033" s="2" t="s">
        <v>71</v>
      </c>
      <c r="E1033" s="2" t="s">
        <v>30</v>
      </c>
      <c r="F1033" s="2" t="s">
        <v>31</v>
      </c>
      <c r="G1033" s="4">
        <v>10200</v>
      </c>
      <c r="H1033" s="5">
        <v>4.8300000000000003E-2</v>
      </c>
      <c r="I1033" s="2">
        <v>48</v>
      </c>
      <c r="J1033" s="2" t="s">
        <v>94</v>
      </c>
      <c r="K1033" s="2" t="s">
        <v>17</v>
      </c>
      <c r="L1033" s="3">
        <v>46248</v>
      </c>
    </row>
    <row r="1034" spans="1:12">
      <c r="A1034" s="2" t="s">
        <v>1720</v>
      </c>
      <c r="B1034" s="3">
        <v>46240</v>
      </c>
      <c r="C1034" s="2" t="s">
        <v>627</v>
      </c>
      <c r="D1034" s="2" t="s">
        <v>20</v>
      </c>
      <c r="E1034" s="2" t="s">
        <v>15</v>
      </c>
      <c r="F1034" s="2" t="s">
        <v>3</v>
      </c>
      <c r="G1034" s="4">
        <v>23900</v>
      </c>
      <c r="H1034" s="5">
        <v>5.9400000000000001E-2</v>
      </c>
      <c r="I1034" s="2">
        <v>48</v>
      </c>
      <c r="J1034" s="2" t="s">
        <v>37</v>
      </c>
      <c r="K1034" s="2" t="s">
        <v>17</v>
      </c>
      <c r="L1034" s="3">
        <v>46244</v>
      </c>
    </row>
    <row r="1035" spans="1:12">
      <c r="A1035" s="2" t="s">
        <v>1721</v>
      </c>
      <c r="B1035" s="3">
        <v>46240</v>
      </c>
      <c r="C1035" s="2" t="s">
        <v>1722</v>
      </c>
      <c r="D1035" s="2" t="s">
        <v>54</v>
      </c>
      <c r="E1035" s="2" t="s">
        <v>30</v>
      </c>
      <c r="F1035" s="2" t="s">
        <v>3</v>
      </c>
      <c r="G1035" s="4">
        <v>7300</v>
      </c>
      <c r="H1035" s="5">
        <v>3.8300000000000001E-2</v>
      </c>
      <c r="I1035" s="2">
        <v>36</v>
      </c>
      <c r="J1035" s="2" t="s">
        <v>148</v>
      </c>
      <c r="K1035" s="2" t="s">
        <v>17</v>
      </c>
      <c r="L1035" s="3">
        <v>46245</v>
      </c>
    </row>
    <row r="1036" spans="1:12">
      <c r="A1036" s="2" t="s">
        <v>1723</v>
      </c>
      <c r="B1036" s="3">
        <v>46240</v>
      </c>
      <c r="C1036" s="2" t="s">
        <v>477</v>
      </c>
      <c r="D1036" s="2" t="s">
        <v>54</v>
      </c>
      <c r="E1036" s="2" t="s">
        <v>30</v>
      </c>
      <c r="F1036" s="2" t="s">
        <v>55</v>
      </c>
      <c r="G1036" s="4">
        <v>8900</v>
      </c>
      <c r="H1036" s="5">
        <v>4.53E-2</v>
      </c>
      <c r="I1036" s="2">
        <v>48</v>
      </c>
      <c r="J1036" s="2" t="s">
        <v>186</v>
      </c>
      <c r="K1036" s="2" t="s">
        <v>45</v>
      </c>
      <c r="L1036" s="3">
        <v>46244</v>
      </c>
    </row>
    <row r="1037" spans="1:12">
      <c r="A1037" s="2" t="s">
        <v>1724</v>
      </c>
      <c r="B1037" s="3">
        <v>46240</v>
      </c>
      <c r="C1037" s="2" t="s">
        <v>1482</v>
      </c>
      <c r="D1037" s="2" t="s">
        <v>54</v>
      </c>
      <c r="E1037" s="2" t="s">
        <v>21</v>
      </c>
      <c r="F1037" s="2" t="s">
        <v>3</v>
      </c>
      <c r="G1037" s="4">
        <v>134300</v>
      </c>
      <c r="H1037" s="5">
        <v>3.8699999999999998E-2</v>
      </c>
      <c r="I1037" s="2">
        <v>300</v>
      </c>
      <c r="J1037" s="2" t="s">
        <v>148</v>
      </c>
      <c r="K1037" s="2" t="s">
        <v>17</v>
      </c>
      <c r="L1037" s="3">
        <v>46258</v>
      </c>
    </row>
    <row r="1038" spans="1:12">
      <c r="A1038" s="2" t="s">
        <v>1724</v>
      </c>
      <c r="B1038" s="3">
        <v>46240</v>
      </c>
      <c r="C1038" s="2" t="s">
        <v>1482</v>
      </c>
      <c r="D1038" s="2" t="s">
        <v>54</v>
      </c>
      <c r="E1038" s="2" t="s">
        <v>21</v>
      </c>
      <c r="F1038" s="2" t="s">
        <v>3</v>
      </c>
      <c r="G1038" s="4">
        <v>134300</v>
      </c>
      <c r="H1038" s="5">
        <v>3.8699999999999998E-2</v>
      </c>
      <c r="I1038" s="2">
        <v>300</v>
      </c>
      <c r="J1038" s="2" t="s">
        <v>148</v>
      </c>
      <c r="K1038" s="2" t="s">
        <v>17</v>
      </c>
      <c r="L1038" s="3">
        <v>46258</v>
      </c>
    </row>
    <row r="1039" spans="1:12">
      <c r="A1039" s="2" t="s">
        <v>1725</v>
      </c>
      <c r="B1039" s="3">
        <v>46241</v>
      </c>
      <c r="C1039" s="2" t="s">
        <v>1726</v>
      </c>
      <c r="D1039" s="2" t="s">
        <v>71</v>
      </c>
      <c r="E1039" s="2" t="s">
        <v>30</v>
      </c>
      <c r="F1039" s="2" t="s">
        <v>3</v>
      </c>
      <c r="G1039" s="4">
        <v>11800</v>
      </c>
      <c r="H1039" s="5">
        <v>4.8300000000000003E-2</v>
      </c>
      <c r="I1039" s="2">
        <v>36</v>
      </c>
      <c r="J1039" s="2" t="s">
        <v>101</v>
      </c>
      <c r="K1039" s="2" t="s">
        <v>17</v>
      </c>
      <c r="L1039" s="3">
        <v>46250</v>
      </c>
    </row>
    <row r="1040" spans="1:12">
      <c r="A1040" s="2" t="s">
        <v>1727</v>
      </c>
      <c r="B1040" s="3">
        <v>46241</v>
      </c>
      <c r="C1040" s="2" t="s">
        <v>979</v>
      </c>
      <c r="D1040" s="2" t="s">
        <v>25</v>
      </c>
      <c r="E1040" s="2" t="s">
        <v>21</v>
      </c>
      <c r="F1040" s="2" t="s">
        <v>3</v>
      </c>
      <c r="G1040" s="4">
        <v>125600</v>
      </c>
      <c r="H1040" s="5">
        <v>3.3399999999999999E-2</v>
      </c>
      <c r="I1040" s="2">
        <v>120</v>
      </c>
      <c r="J1040" s="2" t="s">
        <v>26</v>
      </c>
      <c r="K1040" s="2" t="s">
        <v>17</v>
      </c>
      <c r="L1040" s="3">
        <v>46252</v>
      </c>
    </row>
    <row r="1041" spans="1:12">
      <c r="A1041" s="2" t="s">
        <v>1728</v>
      </c>
      <c r="B1041" s="3">
        <v>46241</v>
      </c>
      <c r="C1041" s="2" t="s">
        <v>1438</v>
      </c>
      <c r="D1041" s="2" t="s">
        <v>20</v>
      </c>
      <c r="E1041" s="2" t="s">
        <v>30</v>
      </c>
      <c r="F1041" s="2" t="s">
        <v>3</v>
      </c>
      <c r="G1041" s="4">
        <v>10800</v>
      </c>
      <c r="H1041" s="5">
        <v>4.6899999999999997E-2</v>
      </c>
      <c r="I1041" s="2">
        <v>36</v>
      </c>
      <c r="J1041" s="2" t="s">
        <v>37</v>
      </c>
      <c r="K1041" s="2" t="s">
        <v>17</v>
      </c>
      <c r="L1041" s="3">
        <v>46245</v>
      </c>
    </row>
    <row r="1042" spans="1:12">
      <c r="A1042" s="2" t="s">
        <v>1729</v>
      </c>
      <c r="B1042" s="3">
        <v>46242</v>
      </c>
      <c r="C1042" s="2" t="s">
        <v>1440</v>
      </c>
      <c r="D1042" s="2" t="s">
        <v>71</v>
      </c>
      <c r="E1042" s="2" t="s">
        <v>30</v>
      </c>
      <c r="F1042" s="2" t="s">
        <v>3</v>
      </c>
      <c r="G1042" s="4">
        <v>5900</v>
      </c>
      <c r="H1042" s="5">
        <v>4.2999999999999997E-2</v>
      </c>
      <c r="I1042" s="2">
        <v>36</v>
      </c>
      <c r="J1042" s="2" t="s">
        <v>72</v>
      </c>
      <c r="K1042" s="2" t="s">
        <v>17</v>
      </c>
      <c r="L1042" s="3">
        <v>46250</v>
      </c>
    </row>
    <row r="1043" spans="1:12">
      <c r="A1043" s="2" t="s">
        <v>1730</v>
      </c>
      <c r="B1043" s="3">
        <v>46242</v>
      </c>
      <c r="C1043" s="2" t="s">
        <v>1731</v>
      </c>
      <c r="D1043" s="2" t="s">
        <v>20</v>
      </c>
      <c r="E1043" s="2" t="s">
        <v>30</v>
      </c>
      <c r="F1043" s="2" t="s">
        <v>55</v>
      </c>
      <c r="G1043" s="4">
        <v>9200</v>
      </c>
      <c r="H1043" s="5">
        <v>3.5799999999999998E-2</v>
      </c>
      <c r="I1043" s="2">
        <v>36</v>
      </c>
      <c r="J1043" s="2" t="s">
        <v>37</v>
      </c>
      <c r="K1043" s="2" t="s">
        <v>17</v>
      </c>
      <c r="L1043" s="3">
        <v>46245</v>
      </c>
    </row>
    <row r="1044" spans="1:12">
      <c r="A1044" s="2" t="s">
        <v>1732</v>
      </c>
      <c r="B1044" s="3">
        <v>46242</v>
      </c>
      <c r="C1044" s="2" t="s">
        <v>1733</v>
      </c>
      <c r="D1044" s="2" t="s">
        <v>29</v>
      </c>
      <c r="E1044" s="2" t="s">
        <v>21</v>
      </c>
      <c r="F1044" s="2" t="s">
        <v>31</v>
      </c>
      <c r="G1044" s="4">
        <v>207200</v>
      </c>
      <c r="H1044" s="5">
        <v>3.5999999999999997E-2</v>
      </c>
      <c r="I1044" s="2">
        <v>240</v>
      </c>
      <c r="J1044" s="2" t="s">
        <v>123</v>
      </c>
      <c r="K1044" s="2" t="s">
        <v>45</v>
      </c>
      <c r="L1044" s="3">
        <v>46257</v>
      </c>
    </row>
    <row r="1045" spans="1:12">
      <c r="A1045" s="2" t="s">
        <v>1734</v>
      </c>
      <c r="B1045" s="3">
        <v>46242</v>
      </c>
      <c r="C1045" s="2" t="s">
        <v>63</v>
      </c>
      <c r="D1045" s="2" t="s">
        <v>71</v>
      </c>
      <c r="E1045" s="2" t="s">
        <v>30</v>
      </c>
      <c r="F1045" s="2" t="s">
        <v>31</v>
      </c>
      <c r="G1045" s="4">
        <v>11800</v>
      </c>
      <c r="H1045" s="5">
        <v>3.5900000000000001E-2</v>
      </c>
      <c r="I1045" s="2">
        <v>36</v>
      </c>
      <c r="J1045" s="2" t="s">
        <v>94</v>
      </c>
      <c r="K1045" s="2" t="s">
        <v>17</v>
      </c>
      <c r="L1045" s="3">
        <v>46248</v>
      </c>
    </row>
    <row r="1046" spans="1:12">
      <c r="A1046" s="2" t="s">
        <v>1735</v>
      </c>
      <c r="B1046" s="3">
        <v>46242</v>
      </c>
      <c r="C1046" s="2" t="s">
        <v>928</v>
      </c>
      <c r="D1046" s="2" t="s">
        <v>71</v>
      </c>
      <c r="E1046" s="2" t="s">
        <v>30</v>
      </c>
      <c r="F1046" s="2" t="s">
        <v>3</v>
      </c>
      <c r="G1046" s="4">
        <v>16800</v>
      </c>
      <c r="H1046" s="5">
        <v>4.4999999999999998E-2</v>
      </c>
      <c r="I1046" s="2">
        <v>36</v>
      </c>
      <c r="J1046" s="2" t="s">
        <v>72</v>
      </c>
      <c r="K1046" s="2" t="s">
        <v>45</v>
      </c>
      <c r="L1046" s="3">
        <v>46247</v>
      </c>
    </row>
    <row r="1047" spans="1:12">
      <c r="A1047" s="2" t="s">
        <v>1736</v>
      </c>
      <c r="B1047" s="3">
        <v>46242</v>
      </c>
      <c r="C1047" s="2" t="s">
        <v>324</v>
      </c>
      <c r="D1047" s="2" t="s">
        <v>20</v>
      </c>
      <c r="E1047" s="2" t="s">
        <v>15</v>
      </c>
      <c r="F1047" s="2" t="s">
        <v>3</v>
      </c>
      <c r="G1047" s="4">
        <v>18100</v>
      </c>
      <c r="H1047" s="5">
        <v>5.0799999999999998E-2</v>
      </c>
      <c r="I1047" s="2">
        <v>60</v>
      </c>
      <c r="J1047" s="2" t="s">
        <v>22</v>
      </c>
      <c r="K1047" s="2" t="s">
        <v>17</v>
      </c>
      <c r="L1047" s="3">
        <v>46247</v>
      </c>
    </row>
    <row r="1048" spans="1:12">
      <c r="A1048" s="2" t="s">
        <v>1737</v>
      </c>
      <c r="B1048" s="3">
        <v>46242</v>
      </c>
      <c r="C1048" s="2" t="s">
        <v>1738</v>
      </c>
      <c r="D1048" s="2" t="s">
        <v>29</v>
      </c>
      <c r="E1048" s="2" t="s">
        <v>30</v>
      </c>
      <c r="F1048" s="2" t="s">
        <v>31</v>
      </c>
      <c r="G1048" s="2" t="s">
        <v>1739</v>
      </c>
      <c r="H1048" s="5">
        <v>4.6600000000000003E-2</v>
      </c>
      <c r="I1048" s="2">
        <v>36</v>
      </c>
      <c r="J1048" s="2" t="s">
        <v>123</v>
      </c>
      <c r="K1048" s="2" t="s">
        <v>17</v>
      </c>
      <c r="L1048" s="3">
        <v>46243</v>
      </c>
    </row>
    <row r="1049" spans="1:12">
      <c r="A1049" s="2" t="s">
        <v>1740</v>
      </c>
      <c r="B1049" s="3">
        <v>46243</v>
      </c>
      <c r="C1049" s="2" t="s">
        <v>1741</v>
      </c>
      <c r="D1049" s="2" t="s">
        <v>20</v>
      </c>
      <c r="E1049" s="2" t="s">
        <v>21</v>
      </c>
      <c r="F1049" s="2" t="s">
        <v>3</v>
      </c>
      <c r="G1049" s="4">
        <v>199800</v>
      </c>
      <c r="H1049" s="5">
        <v>4.1000000000000002E-2</v>
      </c>
      <c r="I1049" s="2">
        <v>300</v>
      </c>
      <c r="J1049" s="2" t="s">
        <v>22</v>
      </c>
      <c r="K1049" s="2" t="s">
        <v>17</v>
      </c>
      <c r="L1049" s="3">
        <v>46260</v>
      </c>
    </row>
    <row r="1050" spans="1:12">
      <c r="A1050" s="2" t="s">
        <v>1742</v>
      </c>
      <c r="B1050" s="3">
        <v>46243</v>
      </c>
      <c r="C1050" s="2" t="s">
        <v>431</v>
      </c>
      <c r="D1050" s="2" t="s">
        <v>54</v>
      </c>
      <c r="E1050" s="2" t="s">
        <v>30</v>
      </c>
      <c r="F1050" s="2" t="s">
        <v>31</v>
      </c>
      <c r="G1050" s="4">
        <v>5200</v>
      </c>
      <c r="H1050" s="5">
        <v>4.41E-2</v>
      </c>
      <c r="I1050" s="2">
        <v>48</v>
      </c>
      <c r="J1050" s="2" t="s">
        <v>148</v>
      </c>
      <c r="K1050" s="2" t="s">
        <v>17</v>
      </c>
      <c r="L1050" s="3">
        <v>46243</v>
      </c>
    </row>
    <row r="1051" spans="1:12">
      <c r="A1051" s="2" t="s">
        <v>1743</v>
      </c>
      <c r="B1051" s="3">
        <v>46243</v>
      </c>
      <c r="C1051" s="2" t="s">
        <v>1744</v>
      </c>
      <c r="D1051" s="2" t="s">
        <v>29</v>
      </c>
      <c r="E1051" s="2" t="s">
        <v>30</v>
      </c>
      <c r="F1051" s="2" t="s">
        <v>31</v>
      </c>
      <c r="G1051" s="2" t="s">
        <v>1745</v>
      </c>
      <c r="H1051" s="5">
        <v>3.8199999999999998E-2</v>
      </c>
      <c r="I1051" s="2">
        <v>48</v>
      </c>
      <c r="J1051" s="2" t="s">
        <v>61</v>
      </c>
      <c r="K1051" s="2" t="s">
        <v>45</v>
      </c>
      <c r="L1051" s="3">
        <v>46245</v>
      </c>
    </row>
    <row r="1052" spans="1:12">
      <c r="A1052" s="2" t="s">
        <v>1746</v>
      </c>
      <c r="B1052" s="3">
        <v>46243</v>
      </c>
      <c r="C1052" s="2" t="s">
        <v>1096</v>
      </c>
      <c r="D1052" s="2" t="s">
        <v>20</v>
      </c>
      <c r="E1052" s="2" t="s">
        <v>30</v>
      </c>
      <c r="F1052" s="2" t="s">
        <v>3</v>
      </c>
      <c r="G1052" s="4">
        <v>7000</v>
      </c>
      <c r="H1052" s="5">
        <v>4.5400000000000003E-2</v>
      </c>
      <c r="I1052" s="2">
        <v>60</v>
      </c>
      <c r="J1052" s="2" t="s">
        <v>37</v>
      </c>
      <c r="K1052" s="2" t="s">
        <v>17</v>
      </c>
      <c r="L1052" s="3">
        <v>46244</v>
      </c>
    </row>
    <row r="1053" spans="1:12">
      <c r="A1053" s="2" t="s">
        <v>1747</v>
      </c>
      <c r="B1053" s="3">
        <v>46243</v>
      </c>
      <c r="C1053" s="2" t="s">
        <v>1748</v>
      </c>
      <c r="D1053" s="2" t="s">
        <v>54</v>
      </c>
      <c r="E1053" s="2" t="s">
        <v>15</v>
      </c>
      <c r="F1053" s="2" t="s">
        <v>31</v>
      </c>
      <c r="G1053" s="2" t="s">
        <v>1749</v>
      </c>
      <c r="H1053" s="5">
        <v>5.96E-2</v>
      </c>
      <c r="I1053" s="2">
        <v>12</v>
      </c>
      <c r="J1053" s="2" t="s">
        <v>148</v>
      </c>
      <c r="K1053" s="2" t="s">
        <v>45</v>
      </c>
      <c r="L1053" s="3">
        <v>46249</v>
      </c>
    </row>
    <row r="1054" spans="1:12">
      <c r="A1054" s="2" t="s">
        <v>1750</v>
      </c>
      <c r="B1054" s="3">
        <v>46243</v>
      </c>
      <c r="C1054" s="2" t="s">
        <v>1547</v>
      </c>
      <c r="D1054" s="2" t="s">
        <v>14</v>
      </c>
      <c r="E1054" s="2" t="s">
        <v>43</v>
      </c>
      <c r="F1054" s="2" t="s">
        <v>31</v>
      </c>
      <c r="G1054" s="4">
        <v>70100</v>
      </c>
      <c r="H1054" s="5">
        <v>6.4699999999999994E-2</v>
      </c>
      <c r="I1054" s="2">
        <v>84</v>
      </c>
      <c r="J1054" s="2" t="s">
        <v>40</v>
      </c>
      <c r="K1054" s="2" t="s">
        <v>17</v>
      </c>
      <c r="L1054" s="3">
        <v>46251</v>
      </c>
    </row>
    <row r="1055" spans="1:12">
      <c r="A1055" s="2" t="s">
        <v>1751</v>
      </c>
      <c r="B1055" s="3">
        <v>46244</v>
      </c>
      <c r="C1055" s="2" t="s">
        <v>1708</v>
      </c>
      <c r="D1055" s="2" t="s">
        <v>20</v>
      </c>
      <c r="E1055" s="2" t="s">
        <v>30</v>
      </c>
      <c r="F1055" s="2" t="s">
        <v>55</v>
      </c>
      <c r="G1055" s="2"/>
      <c r="H1055" s="5">
        <v>4.3299999999999998E-2</v>
      </c>
      <c r="I1055" s="2">
        <v>36</v>
      </c>
      <c r="J1055" s="2" t="s">
        <v>37</v>
      </c>
      <c r="K1055" s="2" t="s">
        <v>17</v>
      </c>
      <c r="L1055" s="3">
        <v>46245</v>
      </c>
    </row>
    <row r="1056" spans="1:12">
      <c r="A1056" s="2" t="s">
        <v>1752</v>
      </c>
      <c r="B1056" s="3">
        <v>46244</v>
      </c>
      <c r="C1056" s="2" t="s">
        <v>1753</v>
      </c>
      <c r="D1056" s="2" t="s">
        <v>54</v>
      </c>
      <c r="E1056" s="2" t="s">
        <v>21</v>
      </c>
      <c r="F1056" s="2" t="s">
        <v>55</v>
      </c>
      <c r="G1056" s="4">
        <v>358800</v>
      </c>
      <c r="H1056" s="5">
        <v>4.0500000000000001E-2</v>
      </c>
      <c r="I1056" s="2">
        <v>300</v>
      </c>
      <c r="J1056" s="2" t="s">
        <v>148</v>
      </c>
      <c r="K1056" s="2" t="s">
        <v>45</v>
      </c>
      <c r="L1056" s="3">
        <v>46274</v>
      </c>
    </row>
    <row r="1057" spans="1:12">
      <c r="A1057" s="2" t="s">
        <v>1754</v>
      </c>
      <c r="B1057" s="3">
        <v>46244</v>
      </c>
      <c r="C1057" s="2" t="s">
        <v>1464</v>
      </c>
      <c r="D1057" s="2" t="s">
        <v>25</v>
      </c>
      <c r="E1057" s="2" t="s">
        <v>43</v>
      </c>
      <c r="F1057" s="2" t="s">
        <v>3</v>
      </c>
      <c r="G1057" s="4">
        <v>78600</v>
      </c>
      <c r="H1057" s="5">
        <v>6.3799999999999996E-2</v>
      </c>
      <c r="I1057" s="2">
        <v>24</v>
      </c>
      <c r="J1057" s="2" t="s">
        <v>26</v>
      </c>
      <c r="K1057" s="2" t="s">
        <v>17</v>
      </c>
      <c r="L1057" s="3">
        <v>46256</v>
      </c>
    </row>
    <row r="1058" spans="1:12">
      <c r="A1058" s="2" t="s">
        <v>1755</v>
      </c>
      <c r="B1058" s="3">
        <v>46245</v>
      </c>
      <c r="C1058" s="2" t="s">
        <v>1424</v>
      </c>
      <c r="D1058" s="2" t="s">
        <v>20</v>
      </c>
      <c r="E1058" s="2" t="s">
        <v>30</v>
      </c>
      <c r="F1058" s="2" t="s">
        <v>3</v>
      </c>
      <c r="G1058" s="4">
        <v>13700</v>
      </c>
      <c r="H1058" s="5">
        <v>4.1799999999999997E-2</v>
      </c>
      <c r="I1058" s="2">
        <v>48</v>
      </c>
      <c r="J1058" s="2" t="s">
        <v>22</v>
      </c>
      <c r="K1058" s="2" t="s">
        <v>17</v>
      </c>
      <c r="L1058" s="3">
        <v>46248</v>
      </c>
    </row>
    <row r="1059" spans="1:12">
      <c r="A1059" s="2" t="s">
        <v>1756</v>
      </c>
      <c r="B1059" s="3">
        <v>46245</v>
      </c>
      <c r="C1059" s="2" t="s">
        <v>141</v>
      </c>
      <c r="D1059" s="2" t="s">
        <v>14</v>
      </c>
      <c r="E1059" s="2" t="s">
        <v>43</v>
      </c>
      <c r="F1059" s="2" t="s">
        <v>55</v>
      </c>
      <c r="G1059" s="4">
        <v>155700</v>
      </c>
      <c r="H1059" s="5">
        <v>6.25E-2</v>
      </c>
      <c r="I1059" s="2">
        <v>36</v>
      </c>
      <c r="J1059" s="2" t="s">
        <v>40</v>
      </c>
      <c r="K1059" s="2" t="s">
        <v>45</v>
      </c>
      <c r="L1059" s="3">
        <v>46263</v>
      </c>
    </row>
    <row r="1060" spans="1:12">
      <c r="A1060" s="2" t="s">
        <v>1757</v>
      </c>
      <c r="B1060" s="3">
        <v>46245</v>
      </c>
      <c r="C1060" s="2" t="s">
        <v>805</v>
      </c>
      <c r="D1060" s="2" t="s">
        <v>71</v>
      </c>
      <c r="E1060" s="2" t="s">
        <v>15</v>
      </c>
      <c r="F1060" s="2" t="s">
        <v>3</v>
      </c>
      <c r="G1060" s="4">
        <v>23900</v>
      </c>
      <c r="H1060" s="5">
        <v>5.0999999999999997E-2</v>
      </c>
      <c r="I1060" s="2">
        <v>48</v>
      </c>
      <c r="J1060" s="2" t="s">
        <v>94</v>
      </c>
      <c r="K1060" s="2" t="s">
        <v>17</v>
      </c>
      <c r="L1060" s="3">
        <v>46253</v>
      </c>
    </row>
    <row r="1061" spans="1:12">
      <c r="A1061" s="2" t="s">
        <v>1758</v>
      </c>
      <c r="B1061" s="3">
        <v>46245</v>
      </c>
      <c r="C1061" s="2" t="s">
        <v>1759</v>
      </c>
      <c r="D1061" s="2" t="s">
        <v>20</v>
      </c>
      <c r="E1061" s="2" t="s">
        <v>15</v>
      </c>
      <c r="F1061" s="2" t="s">
        <v>55</v>
      </c>
      <c r="G1061" s="4">
        <v>18700</v>
      </c>
      <c r="H1061" s="5">
        <v>6.8500000000000005E-2</v>
      </c>
      <c r="I1061" s="2">
        <v>24</v>
      </c>
      <c r="J1061" s="2" t="s">
        <v>22</v>
      </c>
      <c r="K1061" s="2" t="s">
        <v>17</v>
      </c>
      <c r="L1061" s="3">
        <v>46246</v>
      </c>
    </row>
    <row r="1062" spans="1:12">
      <c r="A1062" s="2" t="s">
        <v>1760</v>
      </c>
      <c r="B1062" s="3">
        <v>46245</v>
      </c>
      <c r="C1062" s="2" t="s">
        <v>1761</v>
      </c>
      <c r="D1062" s="2" t="s">
        <v>14</v>
      </c>
      <c r="E1062" s="2" t="s">
        <v>30</v>
      </c>
      <c r="F1062" s="2" t="s">
        <v>31</v>
      </c>
      <c r="G1062" s="4">
        <v>9400</v>
      </c>
      <c r="H1062" s="5">
        <v>4.4200000000000003E-2</v>
      </c>
      <c r="I1062" s="2">
        <v>60</v>
      </c>
      <c r="J1062" s="2" t="s">
        <v>40</v>
      </c>
      <c r="K1062" s="2" t="s">
        <v>17</v>
      </c>
      <c r="L1062" s="3">
        <v>46246</v>
      </c>
    </row>
    <row r="1063" spans="1:12">
      <c r="A1063" s="2" t="s">
        <v>1762</v>
      </c>
      <c r="B1063" s="3">
        <v>46245</v>
      </c>
      <c r="C1063" s="2" t="s">
        <v>1442</v>
      </c>
      <c r="D1063" s="2" t="s">
        <v>20</v>
      </c>
      <c r="E1063" s="2" t="s">
        <v>15</v>
      </c>
      <c r="F1063" s="2" t="s">
        <v>31</v>
      </c>
      <c r="G1063" s="4">
        <v>24700</v>
      </c>
      <c r="H1063" s="5">
        <v>5.4699999999999999E-2</v>
      </c>
      <c r="I1063" s="2">
        <v>36</v>
      </c>
      <c r="J1063" s="2" t="s">
        <v>37</v>
      </c>
      <c r="K1063" s="2" t="s">
        <v>17</v>
      </c>
      <c r="L1063" s="3">
        <v>46247</v>
      </c>
    </row>
    <row r="1064" spans="1:12">
      <c r="A1064" s="2" t="s">
        <v>1763</v>
      </c>
      <c r="B1064" s="3">
        <v>46245</v>
      </c>
      <c r="C1064" s="2" t="s">
        <v>1124</v>
      </c>
      <c r="D1064" s="2" t="s">
        <v>25</v>
      </c>
      <c r="E1064" s="2" t="s">
        <v>43</v>
      </c>
      <c r="F1064" s="2" t="s">
        <v>3</v>
      </c>
      <c r="G1064" s="4">
        <v>91600</v>
      </c>
      <c r="H1064" s="5">
        <v>6.4199999999999993E-2</v>
      </c>
      <c r="I1064" s="2">
        <v>36</v>
      </c>
      <c r="J1064" s="2" t="s">
        <v>66</v>
      </c>
      <c r="K1064" s="2" t="s">
        <v>17</v>
      </c>
      <c r="L1064" s="3">
        <v>46255</v>
      </c>
    </row>
    <row r="1065" spans="1:12">
      <c r="A1065" s="2" t="s">
        <v>1764</v>
      </c>
      <c r="B1065" s="3">
        <v>46246</v>
      </c>
      <c r="C1065" s="2" t="s">
        <v>1765</v>
      </c>
      <c r="D1065" s="2" t="s">
        <v>54</v>
      </c>
      <c r="E1065" s="2" t="s">
        <v>30</v>
      </c>
      <c r="F1065" s="2" t="s">
        <v>3</v>
      </c>
      <c r="G1065" s="4">
        <v>10400</v>
      </c>
      <c r="H1065" s="5">
        <v>4.1200000000000001E-2</v>
      </c>
      <c r="I1065" s="2">
        <v>60</v>
      </c>
      <c r="J1065" s="2" t="s">
        <v>148</v>
      </c>
      <c r="K1065" s="2" t="s">
        <v>17</v>
      </c>
      <c r="L1065" s="3">
        <v>46251</v>
      </c>
    </row>
    <row r="1066" spans="1:12">
      <c r="A1066" s="2" t="s">
        <v>1766</v>
      </c>
      <c r="B1066" s="3">
        <v>46246</v>
      </c>
      <c r="C1066" s="2" t="s">
        <v>1173</v>
      </c>
      <c r="D1066" s="2" t="s">
        <v>25</v>
      </c>
      <c r="E1066" s="2" t="s">
        <v>30</v>
      </c>
      <c r="F1066" s="2" t="s">
        <v>31</v>
      </c>
      <c r="G1066" s="4">
        <v>14000</v>
      </c>
      <c r="H1066" s="5">
        <v>4.1200000000000001E-2</v>
      </c>
      <c r="I1066" s="2">
        <v>48</v>
      </c>
      <c r="J1066" s="2" t="s">
        <v>26</v>
      </c>
      <c r="K1066" s="2" t="s">
        <v>17</v>
      </c>
      <c r="L1066" s="3">
        <v>46247</v>
      </c>
    </row>
    <row r="1067" spans="1:12">
      <c r="A1067" s="2" t="s">
        <v>1767</v>
      </c>
      <c r="B1067" s="3">
        <v>46246</v>
      </c>
      <c r="C1067" s="2" t="s">
        <v>120</v>
      </c>
      <c r="D1067" s="2" t="s">
        <v>71</v>
      </c>
      <c r="E1067" s="2" t="s">
        <v>15</v>
      </c>
      <c r="F1067" s="2" t="s">
        <v>3</v>
      </c>
      <c r="G1067" s="4">
        <v>20500</v>
      </c>
      <c r="H1067" s="5">
        <v>6.5199999999999994E-2</v>
      </c>
      <c r="I1067" s="2">
        <v>36</v>
      </c>
      <c r="J1067" s="2" t="s">
        <v>94</v>
      </c>
      <c r="K1067" s="2" t="s">
        <v>45</v>
      </c>
      <c r="L1067" s="3">
        <v>46254</v>
      </c>
    </row>
    <row r="1068" spans="1:12">
      <c r="A1068" s="2" t="s">
        <v>1768</v>
      </c>
      <c r="B1068" s="3">
        <v>46246</v>
      </c>
      <c r="C1068" s="2" t="s">
        <v>709</v>
      </c>
      <c r="D1068" s="2" t="s">
        <v>29</v>
      </c>
      <c r="E1068" s="2" t="s">
        <v>30</v>
      </c>
      <c r="F1068" s="2" t="s">
        <v>329</v>
      </c>
      <c r="G1068" s="4">
        <v>7000</v>
      </c>
      <c r="H1068" s="5">
        <v>4.6600000000000003E-2</v>
      </c>
      <c r="I1068" s="2">
        <v>36</v>
      </c>
      <c r="J1068" s="2" t="s">
        <v>123</v>
      </c>
      <c r="K1068" s="2" t="s">
        <v>45</v>
      </c>
      <c r="L1068" s="3">
        <v>46250</v>
      </c>
    </row>
    <row r="1069" spans="1:12">
      <c r="A1069" s="2" t="s">
        <v>1769</v>
      </c>
      <c r="B1069" s="3">
        <v>46246</v>
      </c>
      <c r="C1069" s="2" t="s">
        <v>1715</v>
      </c>
      <c r="D1069" s="2" t="s">
        <v>29</v>
      </c>
      <c r="E1069" s="2" t="s">
        <v>43</v>
      </c>
      <c r="F1069" s="2" t="s">
        <v>55</v>
      </c>
      <c r="G1069" s="4">
        <v>104800</v>
      </c>
      <c r="H1069" s="5">
        <v>6.7900000000000002E-2</v>
      </c>
      <c r="I1069" s="2">
        <v>24</v>
      </c>
      <c r="J1069" s="2" t="s">
        <v>61</v>
      </c>
      <c r="K1069" s="2" t="s">
        <v>45</v>
      </c>
      <c r="L1069" s="3">
        <v>46263</v>
      </c>
    </row>
    <row r="1070" spans="1:12">
      <c r="A1070" s="2" t="s">
        <v>1770</v>
      </c>
      <c r="B1070" s="3">
        <v>46246</v>
      </c>
      <c r="C1070" s="2" t="s">
        <v>1771</v>
      </c>
      <c r="D1070" s="2" t="s">
        <v>25</v>
      </c>
      <c r="E1070" s="2" t="s">
        <v>43</v>
      </c>
      <c r="F1070" s="2" t="s">
        <v>31</v>
      </c>
      <c r="G1070" s="4">
        <v>20700</v>
      </c>
      <c r="H1070" s="5">
        <v>0.06</v>
      </c>
      <c r="I1070" s="2">
        <v>60</v>
      </c>
      <c r="J1070" s="2" t="s">
        <v>26</v>
      </c>
      <c r="K1070" s="2" t="s">
        <v>45</v>
      </c>
      <c r="L1070" s="3">
        <v>46264</v>
      </c>
    </row>
    <row r="1071" spans="1:12">
      <c r="A1071" s="2" t="s">
        <v>1772</v>
      </c>
      <c r="B1071" s="3">
        <v>46246</v>
      </c>
      <c r="C1071" s="2" t="s">
        <v>1773</v>
      </c>
      <c r="D1071" s="2" t="s">
        <v>25</v>
      </c>
      <c r="E1071" s="2" t="s">
        <v>43</v>
      </c>
      <c r="F1071" s="2" t="s">
        <v>31</v>
      </c>
      <c r="G1071" s="4">
        <v>156700</v>
      </c>
      <c r="H1071" s="5">
        <v>5.9400000000000001E-2</v>
      </c>
      <c r="I1071" s="2">
        <v>24</v>
      </c>
      <c r="J1071" s="2" t="s">
        <v>181</v>
      </c>
      <c r="K1071" s="2" t="s">
        <v>17</v>
      </c>
      <c r="L1071" s="3">
        <v>46258</v>
      </c>
    </row>
    <row r="1072" spans="1:12">
      <c r="A1072" s="2" t="s">
        <v>1774</v>
      </c>
      <c r="B1072" s="3">
        <v>46246</v>
      </c>
      <c r="C1072" s="2" t="s">
        <v>1775</v>
      </c>
      <c r="D1072" s="2" t="s">
        <v>25</v>
      </c>
      <c r="E1072" s="2" t="s">
        <v>15</v>
      </c>
      <c r="F1072" s="2" t="s">
        <v>31</v>
      </c>
      <c r="G1072" s="4">
        <v>13300</v>
      </c>
      <c r="H1072" s="5">
        <v>6.9000000000000006E-2</v>
      </c>
      <c r="I1072" s="2">
        <v>48</v>
      </c>
      <c r="J1072" s="2" t="s">
        <v>26</v>
      </c>
      <c r="K1072" s="2" t="s">
        <v>17</v>
      </c>
      <c r="L1072" s="3">
        <v>46251</v>
      </c>
    </row>
    <row r="1073" spans="1:12">
      <c r="A1073" s="2" t="s">
        <v>1776</v>
      </c>
      <c r="B1073" s="3">
        <v>46247</v>
      </c>
      <c r="C1073" s="2" t="s">
        <v>495</v>
      </c>
      <c r="D1073" s="2" t="s">
        <v>25</v>
      </c>
      <c r="E1073" s="2" t="s">
        <v>30</v>
      </c>
      <c r="F1073" s="2" t="s">
        <v>31</v>
      </c>
      <c r="G1073" s="4">
        <v>14300</v>
      </c>
      <c r="H1073" s="5">
        <v>4.2700000000000002E-2</v>
      </c>
      <c r="I1073" s="2">
        <v>48</v>
      </c>
      <c r="J1073" s="2" t="s">
        <v>66</v>
      </c>
      <c r="K1073" s="2" t="s">
        <v>17</v>
      </c>
      <c r="L1073" s="3">
        <v>46248</v>
      </c>
    </row>
    <row r="1074" spans="1:12">
      <c r="A1074" s="2" t="s">
        <v>1777</v>
      </c>
      <c r="B1074" s="3">
        <v>46247</v>
      </c>
      <c r="C1074" s="2" t="s">
        <v>1778</v>
      </c>
      <c r="D1074" s="2" t="s">
        <v>20</v>
      </c>
      <c r="E1074" s="2" t="s">
        <v>30</v>
      </c>
      <c r="F1074" s="2" t="s">
        <v>55</v>
      </c>
      <c r="G1074" s="2" t="s">
        <v>1779</v>
      </c>
      <c r="H1074" s="5">
        <v>4.2000000000000003E-2</v>
      </c>
      <c r="I1074" s="2">
        <v>48</v>
      </c>
      <c r="J1074" s="2" t="s">
        <v>22</v>
      </c>
      <c r="K1074" s="2" t="s">
        <v>17</v>
      </c>
      <c r="L1074" s="3">
        <v>46248</v>
      </c>
    </row>
    <row r="1075" spans="1:12">
      <c r="A1075" s="2" t="s">
        <v>1780</v>
      </c>
      <c r="B1075" s="3">
        <v>46248</v>
      </c>
      <c r="C1075" s="2" t="s">
        <v>195</v>
      </c>
      <c r="D1075" s="2" t="s">
        <v>54</v>
      </c>
      <c r="E1075" s="2" t="s">
        <v>15</v>
      </c>
      <c r="F1075" s="2" t="s">
        <v>3</v>
      </c>
      <c r="G1075" s="4">
        <v>24900</v>
      </c>
      <c r="H1075" s="5">
        <v>5.1400000000000001E-2</v>
      </c>
      <c r="I1075" s="2">
        <v>36</v>
      </c>
      <c r="J1075" s="2" t="s">
        <v>56</v>
      </c>
      <c r="K1075" s="2" t="s">
        <v>17</v>
      </c>
      <c r="L1075" s="3">
        <v>46249</v>
      </c>
    </row>
    <row r="1076" spans="1:12">
      <c r="A1076" s="2" t="s">
        <v>1781</v>
      </c>
      <c r="B1076" s="3">
        <v>46248</v>
      </c>
      <c r="C1076" s="2" t="s">
        <v>579</v>
      </c>
      <c r="D1076" s="2" t="s">
        <v>71</v>
      </c>
      <c r="E1076" s="2" t="s">
        <v>15</v>
      </c>
      <c r="F1076" s="2" t="s">
        <v>31</v>
      </c>
      <c r="G1076" s="4">
        <v>25000</v>
      </c>
      <c r="H1076" s="5">
        <v>6.3E-2</v>
      </c>
      <c r="I1076" s="2">
        <v>48</v>
      </c>
      <c r="J1076" s="2" t="s">
        <v>94</v>
      </c>
      <c r="K1076" s="2" t="s">
        <v>17</v>
      </c>
      <c r="L1076" s="3">
        <v>46254</v>
      </c>
    </row>
    <row r="1077" spans="1:12">
      <c r="A1077" s="2" t="s">
        <v>1782</v>
      </c>
      <c r="B1077" s="3">
        <v>46248</v>
      </c>
      <c r="C1077" s="2" t="s">
        <v>1783</v>
      </c>
      <c r="D1077" s="2" t="s">
        <v>29</v>
      </c>
      <c r="E1077" s="2" t="s">
        <v>15</v>
      </c>
      <c r="F1077" s="2" t="s">
        <v>55</v>
      </c>
      <c r="G1077" s="4">
        <v>3700</v>
      </c>
      <c r="H1077" s="5">
        <v>6.4799999999999996E-2</v>
      </c>
      <c r="I1077" s="2">
        <v>36</v>
      </c>
      <c r="J1077" s="2" t="s">
        <v>123</v>
      </c>
      <c r="K1077" s="2" t="s">
        <v>17</v>
      </c>
      <c r="L1077" s="3">
        <v>46250</v>
      </c>
    </row>
    <row r="1078" spans="1:12">
      <c r="A1078" s="2" t="s">
        <v>1784</v>
      </c>
      <c r="B1078" s="3">
        <v>46248</v>
      </c>
      <c r="C1078" s="2" t="s">
        <v>1106</v>
      </c>
      <c r="D1078" s="2" t="s">
        <v>14</v>
      </c>
      <c r="E1078" s="2" t="s">
        <v>340</v>
      </c>
      <c r="F1078" s="2" t="s">
        <v>3</v>
      </c>
      <c r="G1078" s="4">
        <v>3800</v>
      </c>
      <c r="H1078" s="5">
        <v>5.5599999999999997E-2</v>
      </c>
      <c r="I1078" s="2">
        <v>48</v>
      </c>
      <c r="J1078" s="2" t="s">
        <v>48</v>
      </c>
      <c r="K1078" s="2" t="s">
        <v>17</v>
      </c>
      <c r="L1078" s="3">
        <v>46251</v>
      </c>
    </row>
    <row r="1079" spans="1:12">
      <c r="A1079" s="2" t="s">
        <v>1785</v>
      </c>
      <c r="B1079" s="3">
        <v>46249</v>
      </c>
      <c r="C1079" s="2" t="s">
        <v>307</v>
      </c>
      <c r="D1079" s="2" t="s">
        <v>71</v>
      </c>
      <c r="E1079" s="2" t="s">
        <v>30</v>
      </c>
      <c r="F1079" s="2" t="s">
        <v>3</v>
      </c>
      <c r="G1079" s="4">
        <v>9400</v>
      </c>
      <c r="H1079" s="5">
        <v>4.3999999999999997E-2</v>
      </c>
      <c r="I1079" s="2">
        <v>36</v>
      </c>
      <c r="J1079" s="2" t="s">
        <v>101</v>
      </c>
      <c r="K1079" s="2" t="s">
        <v>17</v>
      </c>
      <c r="L1079" s="3">
        <v>46256</v>
      </c>
    </row>
    <row r="1080" spans="1:12">
      <c r="A1080" s="2" t="s">
        <v>1786</v>
      </c>
      <c r="B1080" s="3">
        <v>46249</v>
      </c>
      <c r="C1080" s="2" t="s">
        <v>1488</v>
      </c>
      <c r="D1080" s="2" t="s">
        <v>20</v>
      </c>
      <c r="E1080" s="2" t="s">
        <v>21</v>
      </c>
      <c r="F1080" s="2" t="s">
        <v>3</v>
      </c>
      <c r="G1080" s="4">
        <v>126000</v>
      </c>
      <c r="H1080" s="5">
        <v>4.0099999999999997E-2</v>
      </c>
      <c r="I1080" s="2">
        <v>240</v>
      </c>
      <c r="J1080" s="2" t="s">
        <v>22</v>
      </c>
      <c r="K1080" s="2" t="s">
        <v>45</v>
      </c>
      <c r="L1080" s="3">
        <v>46268</v>
      </c>
    </row>
    <row r="1081" spans="1:12">
      <c r="A1081" s="2" t="s">
        <v>1787</v>
      </c>
      <c r="B1081" s="3">
        <v>46249</v>
      </c>
      <c r="C1081" s="2" t="s">
        <v>1788</v>
      </c>
      <c r="D1081" s="2" t="s">
        <v>54</v>
      </c>
      <c r="E1081" s="2" t="s">
        <v>340</v>
      </c>
      <c r="F1081" s="2" t="s">
        <v>3</v>
      </c>
      <c r="G1081" s="4">
        <v>8000</v>
      </c>
      <c r="H1081" s="5">
        <v>6.1100000000000002E-2</v>
      </c>
      <c r="I1081" s="2">
        <v>36</v>
      </c>
      <c r="J1081" s="2" t="s">
        <v>186</v>
      </c>
      <c r="K1081" s="2" t="s">
        <v>45</v>
      </c>
      <c r="L1081" s="3">
        <v>46255</v>
      </c>
    </row>
    <row r="1082" spans="1:12">
      <c r="A1082" s="2" t="s">
        <v>1789</v>
      </c>
      <c r="B1082" s="3">
        <v>46249</v>
      </c>
      <c r="C1082" s="2" t="s">
        <v>1753</v>
      </c>
      <c r="D1082" s="2" t="s">
        <v>14</v>
      </c>
      <c r="E1082" s="2" t="s">
        <v>15</v>
      </c>
      <c r="F1082" s="2" t="s">
        <v>3</v>
      </c>
      <c r="G1082" s="4">
        <v>25000</v>
      </c>
      <c r="H1082" s="5">
        <v>5.0200000000000002E-2</v>
      </c>
      <c r="I1082" s="2">
        <v>60</v>
      </c>
      <c r="J1082" s="2" t="s">
        <v>16</v>
      </c>
      <c r="K1082" s="2" t="s">
        <v>17</v>
      </c>
      <c r="L1082" s="3">
        <v>46253</v>
      </c>
    </row>
    <row r="1083" spans="1:12">
      <c r="A1083" s="2" t="s">
        <v>1790</v>
      </c>
      <c r="B1083" s="3">
        <v>46249</v>
      </c>
      <c r="C1083" s="2" t="s">
        <v>1791</v>
      </c>
      <c r="D1083" s="2" t="s">
        <v>25</v>
      </c>
      <c r="E1083" s="2" t="s">
        <v>21</v>
      </c>
      <c r="F1083" s="2" t="s">
        <v>31</v>
      </c>
      <c r="G1083" s="2" t="s">
        <v>1792</v>
      </c>
      <c r="H1083" s="5">
        <v>3.04E-2</v>
      </c>
      <c r="I1083" s="2">
        <v>120</v>
      </c>
      <c r="J1083" s="2" t="s">
        <v>181</v>
      </c>
      <c r="K1083" s="2" t="s">
        <v>17</v>
      </c>
      <c r="L1083" s="3">
        <v>46264</v>
      </c>
    </row>
    <row r="1084" spans="1:12">
      <c r="A1084" s="2" t="s">
        <v>1793</v>
      </c>
      <c r="B1084" s="3">
        <v>46250</v>
      </c>
      <c r="C1084" s="2" t="s">
        <v>1571</v>
      </c>
      <c r="D1084" s="2" t="s">
        <v>29</v>
      </c>
      <c r="E1084" s="2" t="s">
        <v>15</v>
      </c>
      <c r="F1084" s="2" t="s">
        <v>3</v>
      </c>
      <c r="G1084" s="4">
        <v>23300</v>
      </c>
      <c r="H1084" s="5">
        <v>5.6500000000000002E-2</v>
      </c>
      <c r="I1084" s="2">
        <v>36</v>
      </c>
      <c r="J1084" s="2" t="s">
        <v>123</v>
      </c>
      <c r="K1084" s="2" t="s">
        <v>17</v>
      </c>
      <c r="L1084" s="3">
        <v>46254</v>
      </c>
    </row>
    <row r="1085" spans="1:12">
      <c r="A1085" s="2" t="s">
        <v>1794</v>
      </c>
      <c r="B1085" s="3">
        <v>46250</v>
      </c>
      <c r="C1085" s="2" t="s">
        <v>1270</v>
      </c>
      <c r="D1085" s="2" t="s">
        <v>29</v>
      </c>
      <c r="E1085" s="2" t="s">
        <v>43</v>
      </c>
      <c r="F1085" s="2" t="s">
        <v>3</v>
      </c>
      <c r="G1085" s="4">
        <v>35900</v>
      </c>
      <c r="H1085" s="5">
        <v>7.22E-2</v>
      </c>
      <c r="I1085" s="2">
        <v>24</v>
      </c>
      <c r="J1085" s="2" t="s">
        <v>61</v>
      </c>
      <c r="K1085" s="2" t="s">
        <v>17</v>
      </c>
      <c r="L1085" s="3">
        <v>46270</v>
      </c>
    </row>
    <row r="1086" spans="1:12">
      <c r="A1086" s="2" t="s">
        <v>1795</v>
      </c>
      <c r="B1086" s="3">
        <v>46250</v>
      </c>
      <c r="C1086" s="2" t="s">
        <v>1796</v>
      </c>
      <c r="D1086" s="2" t="s">
        <v>71</v>
      </c>
      <c r="E1086" s="2" t="s">
        <v>30</v>
      </c>
      <c r="F1086" s="2" t="s">
        <v>55</v>
      </c>
      <c r="G1086" s="4">
        <v>10400</v>
      </c>
      <c r="H1086" s="5">
        <v>4.6399999999999997E-2</v>
      </c>
      <c r="I1086" s="2">
        <v>36</v>
      </c>
      <c r="J1086" s="2" t="s">
        <v>101</v>
      </c>
      <c r="K1086" s="2" t="s">
        <v>17</v>
      </c>
      <c r="L1086" s="3">
        <v>46256</v>
      </c>
    </row>
    <row r="1087" spans="1:12">
      <c r="A1087" s="2" t="s">
        <v>1797</v>
      </c>
      <c r="B1087" s="3">
        <v>46250</v>
      </c>
      <c r="C1087" s="2" t="s">
        <v>507</v>
      </c>
      <c r="D1087" s="2" t="s">
        <v>14</v>
      </c>
      <c r="E1087" s="2" t="s">
        <v>21</v>
      </c>
      <c r="F1087" s="2" t="s">
        <v>31</v>
      </c>
      <c r="G1087" s="4">
        <v>211600</v>
      </c>
      <c r="H1087" s="5">
        <v>3.2500000000000001E-2</v>
      </c>
      <c r="I1087" s="2">
        <v>120</v>
      </c>
      <c r="J1087" s="2" t="s">
        <v>48</v>
      </c>
      <c r="K1087" s="2" t="s">
        <v>17</v>
      </c>
      <c r="L1087" s="3">
        <v>46265</v>
      </c>
    </row>
    <row r="1088" spans="1:12">
      <c r="A1088" s="2" t="s">
        <v>1798</v>
      </c>
      <c r="B1088" s="3">
        <v>46250</v>
      </c>
      <c r="C1088" s="2" t="s">
        <v>1799</v>
      </c>
      <c r="D1088" s="2" t="s">
        <v>14</v>
      </c>
      <c r="E1088" s="2" t="s">
        <v>21</v>
      </c>
      <c r="F1088" s="2" t="s">
        <v>329</v>
      </c>
      <c r="G1088" s="4">
        <v>141900</v>
      </c>
      <c r="H1088" s="5">
        <v>3.7100000000000001E-2</v>
      </c>
      <c r="I1088" s="2">
        <v>240</v>
      </c>
      <c r="J1088" s="2" t="s">
        <v>40</v>
      </c>
      <c r="K1088" s="2" t="s">
        <v>45</v>
      </c>
      <c r="L1088" s="3">
        <v>46272</v>
      </c>
    </row>
    <row r="1089" spans="1:12">
      <c r="A1089" s="2" t="s">
        <v>1800</v>
      </c>
      <c r="B1089" s="3">
        <v>46250</v>
      </c>
      <c r="C1089" s="2" t="s">
        <v>1801</v>
      </c>
      <c r="D1089" s="2" t="s">
        <v>54</v>
      </c>
      <c r="E1089" s="2" t="s">
        <v>21</v>
      </c>
      <c r="F1089" s="2" t="s">
        <v>31</v>
      </c>
      <c r="G1089" s="4">
        <v>229300</v>
      </c>
      <c r="H1089" s="5">
        <v>3.6700000000000003E-2</v>
      </c>
      <c r="I1089" s="2">
        <v>240</v>
      </c>
      <c r="J1089" s="2" t="s">
        <v>186</v>
      </c>
      <c r="K1089" s="2" t="s">
        <v>17</v>
      </c>
      <c r="L1089" s="3">
        <v>46263</v>
      </c>
    </row>
    <row r="1090" spans="1:12">
      <c r="A1090" s="2" t="s">
        <v>1802</v>
      </c>
      <c r="B1090" s="3">
        <v>46250</v>
      </c>
      <c r="C1090" s="2" t="s">
        <v>1791</v>
      </c>
      <c r="D1090" s="2" t="s">
        <v>20</v>
      </c>
      <c r="E1090" s="2" t="s">
        <v>30</v>
      </c>
      <c r="F1090" s="2" t="s">
        <v>332</v>
      </c>
      <c r="G1090" s="4">
        <v>8600</v>
      </c>
      <c r="H1090" s="5">
        <v>4.5499999999999999E-2</v>
      </c>
      <c r="I1090" s="2">
        <v>36</v>
      </c>
      <c r="J1090" s="2" t="s">
        <v>22</v>
      </c>
      <c r="K1090" s="2" t="s">
        <v>17</v>
      </c>
      <c r="L1090" s="3">
        <v>46254</v>
      </c>
    </row>
    <row r="1091" spans="1:12">
      <c r="A1091" s="2" t="s">
        <v>1803</v>
      </c>
      <c r="B1091" s="3">
        <v>46250</v>
      </c>
      <c r="C1091" s="2" t="s">
        <v>560</v>
      </c>
      <c r="D1091" s="2" t="s">
        <v>14</v>
      </c>
      <c r="E1091" s="2" t="s">
        <v>15</v>
      </c>
      <c r="F1091" s="2" t="s">
        <v>3</v>
      </c>
      <c r="G1091" s="4">
        <v>16500</v>
      </c>
      <c r="H1091" s="5">
        <v>6.6199999999999995E-2</v>
      </c>
      <c r="I1091" s="2">
        <v>48</v>
      </c>
      <c r="J1091" s="2" t="s">
        <v>40</v>
      </c>
      <c r="K1091" s="2" t="s">
        <v>17</v>
      </c>
      <c r="L1091" s="3">
        <v>46253</v>
      </c>
    </row>
    <row r="1092" spans="1:12">
      <c r="A1092" s="2" t="s">
        <v>1804</v>
      </c>
      <c r="B1092" s="3">
        <v>46251</v>
      </c>
      <c r="C1092" s="2" t="s">
        <v>1479</v>
      </c>
      <c r="D1092" s="2" t="s">
        <v>29</v>
      </c>
      <c r="E1092" s="2" t="s">
        <v>30</v>
      </c>
      <c r="F1092" s="2" t="s">
        <v>3</v>
      </c>
      <c r="G1092" s="4">
        <v>8000</v>
      </c>
      <c r="H1092" s="5">
        <v>4.48E-2</v>
      </c>
      <c r="I1092" s="2">
        <v>60</v>
      </c>
      <c r="J1092" s="2" t="s">
        <v>123</v>
      </c>
      <c r="K1092" s="2" t="s">
        <v>17</v>
      </c>
      <c r="L1092" s="3">
        <v>46255</v>
      </c>
    </row>
    <row r="1093" spans="1:12">
      <c r="A1093" s="2" t="s">
        <v>1805</v>
      </c>
      <c r="B1093" s="3">
        <v>46251</v>
      </c>
      <c r="C1093" s="2" t="s">
        <v>1806</v>
      </c>
      <c r="D1093" s="2" t="s">
        <v>20</v>
      </c>
      <c r="E1093" s="2" t="s">
        <v>30</v>
      </c>
      <c r="F1093" s="2" t="s">
        <v>31</v>
      </c>
      <c r="G1093" s="4">
        <v>4300</v>
      </c>
      <c r="H1093" s="5">
        <v>3.9800000000000002E-2</v>
      </c>
      <c r="I1093" s="2">
        <v>36</v>
      </c>
      <c r="J1093" s="2" t="s">
        <v>44</v>
      </c>
      <c r="K1093" s="2" t="s">
        <v>45</v>
      </c>
      <c r="L1093" s="3">
        <v>46253</v>
      </c>
    </row>
    <row r="1094" spans="1:12">
      <c r="A1094" s="2" t="s">
        <v>1807</v>
      </c>
      <c r="B1094" s="3">
        <v>46251</v>
      </c>
      <c r="C1094" s="2" t="s">
        <v>1808</v>
      </c>
      <c r="D1094" s="2" t="s">
        <v>25</v>
      </c>
      <c r="E1094" s="2" t="s">
        <v>15</v>
      </c>
      <c r="F1094" s="2" t="s">
        <v>31</v>
      </c>
      <c r="G1094" s="4">
        <v>20400</v>
      </c>
      <c r="H1094" s="5">
        <v>5.6899999999999999E-2</v>
      </c>
      <c r="I1094" s="2">
        <v>60</v>
      </c>
      <c r="J1094" s="2" t="s">
        <v>26</v>
      </c>
      <c r="K1094" s="2" t="s">
        <v>17</v>
      </c>
      <c r="L1094" s="3">
        <v>46257</v>
      </c>
    </row>
    <row r="1095" spans="1:12">
      <c r="A1095" s="2" t="s">
        <v>1809</v>
      </c>
      <c r="B1095" s="3">
        <v>46251</v>
      </c>
      <c r="C1095" s="2" t="s">
        <v>1810</v>
      </c>
      <c r="D1095" s="2" t="s">
        <v>25</v>
      </c>
      <c r="E1095" s="2" t="s">
        <v>30</v>
      </c>
      <c r="F1095" s="2" t="s">
        <v>3</v>
      </c>
      <c r="G1095" s="4">
        <v>7400</v>
      </c>
      <c r="H1095" s="5">
        <v>4.5199999999999997E-2</v>
      </c>
      <c r="I1095" s="2">
        <v>36</v>
      </c>
      <c r="J1095" s="2" t="s">
        <v>181</v>
      </c>
      <c r="K1095" s="2" t="s">
        <v>17</v>
      </c>
      <c r="L1095" s="3">
        <v>46254</v>
      </c>
    </row>
    <row r="1096" spans="1:12">
      <c r="A1096" s="2" t="s">
        <v>1811</v>
      </c>
      <c r="B1096" s="3">
        <v>46251</v>
      </c>
      <c r="C1096" s="2" t="s">
        <v>1683</v>
      </c>
      <c r="D1096" s="2" t="s">
        <v>25</v>
      </c>
      <c r="E1096" s="2" t="s">
        <v>30</v>
      </c>
      <c r="F1096" s="2" t="s">
        <v>956</v>
      </c>
      <c r="G1096" s="4">
        <v>10000</v>
      </c>
      <c r="H1096" s="5">
        <v>3.78E-2</v>
      </c>
      <c r="I1096" s="2">
        <v>60</v>
      </c>
      <c r="J1096" s="2" t="s">
        <v>66</v>
      </c>
      <c r="K1096" s="2" t="s">
        <v>45</v>
      </c>
      <c r="L1096" s="3">
        <v>46253</v>
      </c>
    </row>
    <row r="1097" spans="1:12">
      <c r="A1097" s="2" t="s">
        <v>1812</v>
      </c>
      <c r="B1097" s="3">
        <v>46251</v>
      </c>
      <c r="C1097" s="2" t="s">
        <v>278</v>
      </c>
      <c r="D1097" s="2" t="s">
        <v>25</v>
      </c>
      <c r="E1097" s="2" t="s">
        <v>30</v>
      </c>
      <c r="F1097" s="2" t="s">
        <v>31</v>
      </c>
      <c r="G1097" s="4">
        <v>16200</v>
      </c>
      <c r="H1097" s="5">
        <v>3.6200000000000003E-2</v>
      </c>
      <c r="I1097" s="2">
        <v>36</v>
      </c>
      <c r="J1097" s="2" t="s">
        <v>181</v>
      </c>
      <c r="K1097" s="2" t="s">
        <v>17</v>
      </c>
      <c r="L1097" s="3">
        <v>46251</v>
      </c>
    </row>
    <row r="1098" spans="1:12">
      <c r="A1098" s="2" t="s">
        <v>1813</v>
      </c>
      <c r="B1098" s="3">
        <v>46251</v>
      </c>
      <c r="C1098" s="2" t="s">
        <v>1801</v>
      </c>
      <c r="D1098" s="2" t="s">
        <v>54</v>
      </c>
      <c r="E1098" s="2" t="s">
        <v>21</v>
      </c>
      <c r="F1098" s="2" t="s">
        <v>3</v>
      </c>
      <c r="G1098" s="4">
        <v>337500</v>
      </c>
      <c r="H1098" s="5">
        <v>3.49E-2</v>
      </c>
      <c r="I1098" s="2">
        <v>300</v>
      </c>
      <c r="J1098" s="2" t="s">
        <v>148</v>
      </c>
      <c r="K1098" s="2" t="s">
        <v>45</v>
      </c>
      <c r="L1098" s="3">
        <v>46269</v>
      </c>
    </row>
    <row r="1099" spans="1:12">
      <c r="A1099" s="2" t="s">
        <v>1814</v>
      </c>
      <c r="B1099" s="3">
        <v>46251</v>
      </c>
      <c r="C1099" s="2" t="s">
        <v>1815</v>
      </c>
      <c r="D1099" s="2" t="s">
        <v>14</v>
      </c>
      <c r="E1099" s="2" t="s">
        <v>30</v>
      </c>
      <c r="F1099" s="2" t="s">
        <v>55</v>
      </c>
      <c r="G1099" s="4">
        <v>13000</v>
      </c>
      <c r="H1099" s="5">
        <v>4.8399999999999999E-2</v>
      </c>
      <c r="I1099" s="2">
        <v>48</v>
      </c>
      <c r="J1099" s="2" t="s">
        <v>40</v>
      </c>
      <c r="K1099" s="2" t="s">
        <v>17</v>
      </c>
      <c r="L1099" s="3">
        <v>46253</v>
      </c>
    </row>
    <row r="1100" spans="1:12">
      <c r="A1100" s="2" t="s">
        <v>1816</v>
      </c>
      <c r="B1100" s="3">
        <v>46251</v>
      </c>
      <c r="C1100" s="2" t="s">
        <v>270</v>
      </c>
      <c r="D1100" s="2" t="s">
        <v>14</v>
      </c>
      <c r="E1100" s="2" t="s">
        <v>15</v>
      </c>
      <c r="F1100" s="2" t="s">
        <v>3</v>
      </c>
      <c r="G1100" s="4">
        <v>19700</v>
      </c>
      <c r="H1100" s="5">
        <v>6.8500000000000005E-2</v>
      </c>
      <c r="I1100" s="2">
        <v>60</v>
      </c>
      <c r="J1100" s="2" t="s">
        <v>40</v>
      </c>
      <c r="K1100" s="2" t="s">
        <v>17</v>
      </c>
      <c r="L1100" s="3">
        <v>46254</v>
      </c>
    </row>
    <row r="1101" spans="1:12">
      <c r="A1101" s="2" t="s">
        <v>1817</v>
      </c>
      <c r="B1101" s="3">
        <v>46252</v>
      </c>
      <c r="C1101" s="2" t="s">
        <v>423</v>
      </c>
      <c r="D1101" s="2" t="s">
        <v>71</v>
      </c>
      <c r="E1101" s="2" t="s">
        <v>43</v>
      </c>
      <c r="F1101" s="2" t="s">
        <v>31</v>
      </c>
      <c r="G1101" s="4">
        <v>55400</v>
      </c>
      <c r="H1101" s="5">
        <v>7.7499999999999999E-2</v>
      </c>
      <c r="I1101" s="2">
        <v>36</v>
      </c>
      <c r="J1101" s="2" t="s">
        <v>72</v>
      </c>
      <c r="K1101" s="2" t="s">
        <v>45</v>
      </c>
      <c r="L1101" s="3">
        <v>46264</v>
      </c>
    </row>
    <row r="1102" spans="1:12">
      <c r="A1102" s="2" t="s">
        <v>1818</v>
      </c>
      <c r="B1102" s="3">
        <v>46252</v>
      </c>
      <c r="C1102" s="2" t="s">
        <v>1173</v>
      </c>
      <c r="D1102" s="2" t="s">
        <v>54</v>
      </c>
      <c r="E1102" s="2" t="s">
        <v>15</v>
      </c>
      <c r="F1102" s="2" t="s">
        <v>31</v>
      </c>
      <c r="G1102" s="4">
        <v>7700</v>
      </c>
      <c r="H1102" s="5">
        <v>5.3100000000000001E-2</v>
      </c>
      <c r="I1102" s="2">
        <v>48</v>
      </c>
      <c r="J1102" s="2" t="s">
        <v>56</v>
      </c>
      <c r="K1102" s="2" t="s">
        <v>45</v>
      </c>
      <c r="L1102" s="3">
        <v>46254</v>
      </c>
    </row>
    <row r="1103" spans="1:12">
      <c r="A1103" s="2" t="s">
        <v>1819</v>
      </c>
      <c r="B1103" s="3">
        <v>46252</v>
      </c>
      <c r="C1103" s="2" t="s">
        <v>98</v>
      </c>
      <c r="D1103" s="2" t="s">
        <v>20</v>
      </c>
      <c r="E1103" s="2" t="s">
        <v>15</v>
      </c>
      <c r="F1103" s="2" t="s">
        <v>3</v>
      </c>
      <c r="G1103" s="2"/>
      <c r="H1103" s="5">
        <v>6.4600000000000005E-2</v>
      </c>
      <c r="I1103" s="2">
        <v>48</v>
      </c>
      <c r="J1103" s="2" t="s">
        <v>37</v>
      </c>
      <c r="K1103" s="2" t="s">
        <v>45</v>
      </c>
      <c r="L1103" s="3">
        <v>46255</v>
      </c>
    </row>
    <row r="1104" spans="1:12">
      <c r="A1104" s="2" t="s">
        <v>1820</v>
      </c>
      <c r="B1104" s="3">
        <v>46252</v>
      </c>
      <c r="C1104" s="2" t="s">
        <v>370</v>
      </c>
      <c r="D1104" s="2" t="s">
        <v>25</v>
      </c>
      <c r="E1104" s="2" t="s">
        <v>21</v>
      </c>
      <c r="F1104" s="2" t="s">
        <v>55</v>
      </c>
      <c r="G1104" s="4">
        <v>64800</v>
      </c>
      <c r="H1104" s="5">
        <v>3.4299999999999997E-2</v>
      </c>
      <c r="I1104" s="2">
        <v>300</v>
      </c>
      <c r="J1104" s="2" t="s">
        <v>181</v>
      </c>
      <c r="K1104" s="2" t="s">
        <v>17</v>
      </c>
      <c r="L1104" s="3">
        <v>46267</v>
      </c>
    </row>
    <row r="1105" spans="1:12">
      <c r="A1105" s="2" t="s">
        <v>1821</v>
      </c>
      <c r="B1105" s="3">
        <v>46252</v>
      </c>
      <c r="C1105" s="2" t="s">
        <v>746</v>
      </c>
      <c r="D1105" s="2" t="s">
        <v>20</v>
      </c>
      <c r="E1105" s="2" t="s">
        <v>30</v>
      </c>
      <c r="F1105" s="2" t="s">
        <v>31</v>
      </c>
      <c r="G1105" s="4">
        <v>8800</v>
      </c>
      <c r="H1105" s="5">
        <v>3.8199999999999998E-2</v>
      </c>
      <c r="I1105" s="2">
        <v>60</v>
      </c>
      <c r="J1105" s="2" t="s">
        <v>44</v>
      </c>
      <c r="K1105" s="2" t="s">
        <v>45</v>
      </c>
      <c r="L1105" s="3">
        <v>46256</v>
      </c>
    </row>
    <row r="1106" spans="1:12">
      <c r="A1106" s="2" t="s">
        <v>1822</v>
      </c>
      <c r="B1106" s="3">
        <v>46252</v>
      </c>
      <c r="C1106" s="2" t="s">
        <v>443</v>
      </c>
      <c r="D1106" s="2" t="s">
        <v>54</v>
      </c>
      <c r="E1106" s="2" t="s">
        <v>15</v>
      </c>
      <c r="F1106" s="2" t="s">
        <v>3</v>
      </c>
      <c r="G1106" s="4">
        <v>23600</v>
      </c>
      <c r="H1106" s="5">
        <v>6.3500000000000001E-2</v>
      </c>
      <c r="I1106" s="2">
        <v>36</v>
      </c>
      <c r="J1106" s="2" t="s">
        <v>56</v>
      </c>
      <c r="K1106" s="2" t="s">
        <v>17</v>
      </c>
      <c r="L1106" s="3">
        <v>46258</v>
      </c>
    </row>
    <row r="1107" spans="1:12">
      <c r="A1107" s="2" t="s">
        <v>1823</v>
      </c>
      <c r="B1107" s="3">
        <v>46253</v>
      </c>
      <c r="C1107" s="2" t="s">
        <v>451</v>
      </c>
      <c r="D1107" s="2" t="s">
        <v>14</v>
      </c>
      <c r="E1107" s="2" t="s">
        <v>157</v>
      </c>
      <c r="F1107" s="2" t="s">
        <v>3</v>
      </c>
      <c r="G1107" s="4">
        <v>20700</v>
      </c>
      <c r="H1107" s="5">
        <v>5.62E-2</v>
      </c>
      <c r="I1107" s="2">
        <v>36</v>
      </c>
      <c r="J1107" s="2" t="s">
        <v>16</v>
      </c>
      <c r="K1107" s="2" t="s">
        <v>45</v>
      </c>
      <c r="L1107" s="3">
        <v>46255</v>
      </c>
    </row>
    <row r="1108" spans="1:12">
      <c r="A1108" s="2" t="s">
        <v>1824</v>
      </c>
      <c r="B1108" s="3">
        <v>46253</v>
      </c>
      <c r="C1108" s="2" t="s">
        <v>803</v>
      </c>
      <c r="D1108" s="2" t="s">
        <v>71</v>
      </c>
      <c r="E1108" s="2" t="s">
        <v>30</v>
      </c>
      <c r="F1108" s="2" t="s">
        <v>55</v>
      </c>
      <c r="G1108" s="4">
        <v>16000</v>
      </c>
      <c r="H1108" s="5">
        <v>4.8300000000000003E-2</v>
      </c>
      <c r="I1108" s="2">
        <v>60</v>
      </c>
      <c r="J1108" s="2" t="s">
        <v>94</v>
      </c>
      <c r="K1108" s="2" t="s">
        <v>17</v>
      </c>
      <c r="L1108" s="3">
        <v>46261</v>
      </c>
    </row>
    <row r="1109" spans="1:12">
      <c r="A1109" s="2" t="s">
        <v>1825</v>
      </c>
      <c r="B1109" s="3">
        <v>46253</v>
      </c>
      <c r="C1109" s="2" t="s">
        <v>571</v>
      </c>
      <c r="D1109" s="2" t="s">
        <v>14</v>
      </c>
      <c r="E1109" s="2" t="s">
        <v>30</v>
      </c>
      <c r="F1109" s="2" t="s">
        <v>31</v>
      </c>
      <c r="G1109" s="4">
        <v>5200</v>
      </c>
      <c r="H1109" s="5">
        <v>4.8500000000000001E-2</v>
      </c>
      <c r="I1109" s="2">
        <v>48</v>
      </c>
      <c r="J1109" s="2" t="s">
        <v>40</v>
      </c>
      <c r="K1109" s="2" t="s">
        <v>17</v>
      </c>
      <c r="L1109" s="3">
        <v>46258</v>
      </c>
    </row>
    <row r="1110" spans="1:12">
      <c r="A1110" s="2" t="s">
        <v>1826</v>
      </c>
      <c r="B1110" s="3">
        <v>46253</v>
      </c>
      <c r="C1110" s="2" t="s">
        <v>1004</v>
      </c>
      <c r="D1110" s="2" t="s">
        <v>71</v>
      </c>
      <c r="E1110" s="2" t="s">
        <v>21</v>
      </c>
      <c r="F1110" s="2" t="s">
        <v>55</v>
      </c>
      <c r="G1110" s="4">
        <v>141200</v>
      </c>
      <c r="H1110" s="5">
        <v>4.4299999999999999E-2</v>
      </c>
      <c r="I1110" s="2">
        <v>240</v>
      </c>
      <c r="J1110" s="2" t="s">
        <v>72</v>
      </c>
      <c r="K1110" s="2" t="s">
        <v>17</v>
      </c>
      <c r="L1110" s="3">
        <v>46285</v>
      </c>
    </row>
    <row r="1111" spans="1:12">
      <c r="A1111" s="2" t="s">
        <v>1827</v>
      </c>
      <c r="B1111" s="3">
        <v>46253</v>
      </c>
      <c r="C1111" s="2" t="s">
        <v>1828</v>
      </c>
      <c r="D1111" s="2" t="s">
        <v>14</v>
      </c>
      <c r="E1111" s="2" t="s">
        <v>30</v>
      </c>
      <c r="F1111" s="2" t="s">
        <v>55</v>
      </c>
      <c r="G1111" s="4">
        <v>17000</v>
      </c>
      <c r="H1111" s="5">
        <v>4.8300000000000003E-2</v>
      </c>
      <c r="I1111" s="2">
        <v>60</v>
      </c>
      <c r="J1111" s="2" t="s">
        <v>40</v>
      </c>
      <c r="K1111" s="2" t="s">
        <v>17</v>
      </c>
      <c r="L1111" s="3">
        <v>46254</v>
      </c>
    </row>
    <row r="1112" spans="1:12">
      <c r="A1112" s="2" t="s">
        <v>1829</v>
      </c>
      <c r="B1112" s="3">
        <v>46254</v>
      </c>
      <c r="C1112" s="2" t="s">
        <v>1830</v>
      </c>
      <c r="D1112" s="2" t="s">
        <v>25</v>
      </c>
      <c r="E1112" s="2" t="s">
        <v>43</v>
      </c>
      <c r="F1112" s="2" t="s">
        <v>3</v>
      </c>
      <c r="G1112" s="4">
        <v>50700</v>
      </c>
      <c r="H1112" s="5">
        <v>7.9500000000000001E-2</v>
      </c>
      <c r="I1112" s="2">
        <v>84</v>
      </c>
      <c r="J1112" s="2" t="s">
        <v>181</v>
      </c>
      <c r="K1112" s="2" t="s">
        <v>17</v>
      </c>
      <c r="L1112" s="3">
        <v>46273</v>
      </c>
    </row>
    <row r="1113" spans="1:12">
      <c r="A1113" s="2" t="s">
        <v>1831</v>
      </c>
      <c r="B1113" s="3">
        <v>46254</v>
      </c>
      <c r="C1113" s="2" t="s">
        <v>751</v>
      </c>
      <c r="D1113" s="2" t="s">
        <v>20</v>
      </c>
      <c r="E1113" s="2" t="s">
        <v>43</v>
      </c>
      <c r="F1113" s="2" t="s">
        <v>3</v>
      </c>
      <c r="G1113" s="4">
        <v>132200</v>
      </c>
      <c r="H1113" s="5">
        <v>6.3100000000000003E-2</v>
      </c>
      <c r="I1113" s="2">
        <v>36</v>
      </c>
      <c r="J1113" s="2" t="s">
        <v>37</v>
      </c>
      <c r="K1113" s="2" t="s">
        <v>45</v>
      </c>
      <c r="L1113" s="3">
        <v>46269</v>
      </c>
    </row>
    <row r="1114" spans="1:12">
      <c r="A1114" s="2" t="s">
        <v>1832</v>
      </c>
      <c r="B1114" s="3">
        <v>46254</v>
      </c>
      <c r="C1114" s="2" t="s">
        <v>1833</v>
      </c>
      <c r="D1114" s="2" t="s">
        <v>54</v>
      </c>
      <c r="E1114" s="2" t="s">
        <v>15</v>
      </c>
      <c r="F1114" s="2" t="s">
        <v>154</v>
      </c>
      <c r="G1114" s="4">
        <v>20400</v>
      </c>
      <c r="H1114" s="5">
        <v>5.7000000000000002E-2</v>
      </c>
      <c r="I1114" s="2">
        <v>48</v>
      </c>
      <c r="J1114" s="2" t="s">
        <v>56</v>
      </c>
      <c r="K1114" s="2" t="s">
        <v>17</v>
      </c>
      <c r="L1114" s="3">
        <v>46259</v>
      </c>
    </row>
    <row r="1115" spans="1:12">
      <c r="A1115" s="2" t="s">
        <v>1834</v>
      </c>
      <c r="B1115" s="3">
        <v>46254</v>
      </c>
      <c r="C1115" s="2" t="s">
        <v>1835</v>
      </c>
      <c r="D1115" s="2" t="s">
        <v>20</v>
      </c>
      <c r="E1115" s="2" t="s">
        <v>30</v>
      </c>
      <c r="F1115" s="2" t="s">
        <v>31</v>
      </c>
      <c r="G1115" s="4">
        <v>7900</v>
      </c>
      <c r="H1115" s="5">
        <v>3.6900000000000002E-2</v>
      </c>
      <c r="I1115" s="2">
        <v>48</v>
      </c>
      <c r="J1115" s="2" t="s">
        <v>44</v>
      </c>
      <c r="K1115" s="2" t="s">
        <v>17</v>
      </c>
      <c r="L1115" s="3">
        <v>46257</v>
      </c>
    </row>
    <row r="1116" spans="1:12">
      <c r="A1116" s="2" t="s">
        <v>1836</v>
      </c>
      <c r="B1116" s="3">
        <v>46254</v>
      </c>
      <c r="C1116" s="2" t="s">
        <v>1601</v>
      </c>
      <c r="D1116" s="2" t="s">
        <v>25</v>
      </c>
      <c r="E1116" s="2" t="s">
        <v>15</v>
      </c>
      <c r="F1116" s="2" t="s">
        <v>3</v>
      </c>
      <c r="G1116" s="4">
        <v>15100</v>
      </c>
      <c r="H1116" s="5">
        <v>5.4800000000000001E-2</v>
      </c>
      <c r="I1116" s="2">
        <v>36</v>
      </c>
      <c r="J1116" s="2" t="s">
        <v>26</v>
      </c>
      <c r="K1116" s="2" t="s">
        <v>45</v>
      </c>
      <c r="L1116" s="3">
        <v>46261</v>
      </c>
    </row>
    <row r="1117" spans="1:12">
      <c r="A1117" s="2" t="s">
        <v>1837</v>
      </c>
      <c r="B1117" s="3">
        <v>46254</v>
      </c>
      <c r="C1117" s="2" t="s">
        <v>468</v>
      </c>
      <c r="D1117" s="2" t="s">
        <v>14</v>
      </c>
      <c r="E1117" s="2" t="s">
        <v>15</v>
      </c>
      <c r="F1117" s="2" t="s">
        <v>3</v>
      </c>
      <c r="G1117" s="4">
        <v>17800</v>
      </c>
      <c r="H1117" s="5">
        <v>5.0900000000000001E-2</v>
      </c>
      <c r="I1117" s="2">
        <v>48</v>
      </c>
      <c r="J1117" s="2" t="s">
        <v>16</v>
      </c>
      <c r="K1117" s="2" t="s">
        <v>17</v>
      </c>
      <c r="L1117" s="3">
        <v>46261</v>
      </c>
    </row>
    <row r="1118" spans="1:12">
      <c r="A1118" s="2" t="s">
        <v>1838</v>
      </c>
      <c r="B1118" s="3">
        <v>46254</v>
      </c>
      <c r="C1118" s="2" t="s">
        <v>244</v>
      </c>
      <c r="D1118" s="2" t="s">
        <v>14</v>
      </c>
      <c r="E1118" s="2" t="s">
        <v>43</v>
      </c>
      <c r="F1118" s="2" t="s">
        <v>3</v>
      </c>
      <c r="G1118" s="4">
        <v>125200</v>
      </c>
      <c r="H1118" s="5">
        <v>7.5800000000000006E-2</v>
      </c>
      <c r="I1118" s="2">
        <v>84</v>
      </c>
      <c r="J1118" s="2" t="s">
        <v>40</v>
      </c>
      <c r="K1118" s="2" t="s">
        <v>45</v>
      </c>
      <c r="L1118" s="3">
        <v>46262</v>
      </c>
    </row>
    <row r="1119" spans="1:12">
      <c r="A1119" s="2" t="s">
        <v>1839</v>
      </c>
      <c r="B1119" s="3">
        <v>46254</v>
      </c>
      <c r="C1119" s="2" t="s">
        <v>1840</v>
      </c>
      <c r="D1119" s="2" t="s">
        <v>54</v>
      </c>
      <c r="E1119" s="2" t="s">
        <v>30</v>
      </c>
      <c r="F1119" s="2" t="s">
        <v>55</v>
      </c>
      <c r="G1119" s="4">
        <v>7500</v>
      </c>
      <c r="H1119" s="5">
        <v>4.9700000000000001E-2</v>
      </c>
      <c r="I1119" s="2">
        <v>60</v>
      </c>
      <c r="J1119" s="2" t="s">
        <v>186</v>
      </c>
      <c r="K1119" s="2" t="s">
        <v>45</v>
      </c>
      <c r="L1119" s="3">
        <v>46257</v>
      </c>
    </row>
    <row r="1120" spans="1:12">
      <c r="A1120" s="2" t="s">
        <v>1841</v>
      </c>
      <c r="B1120" s="3">
        <v>46255</v>
      </c>
      <c r="C1120" s="2" t="s">
        <v>1842</v>
      </c>
      <c r="D1120" s="2" t="s">
        <v>29</v>
      </c>
      <c r="E1120" s="2" t="s">
        <v>15</v>
      </c>
      <c r="F1120" s="2" t="s">
        <v>329</v>
      </c>
      <c r="G1120" s="4">
        <v>7400</v>
      </c>
      <c r="H1120" s="5">
        <v>6.2300000000000001E-2</v>
      </c>
      <c r="I1120" s="2">
        <v>36</v>
      </c>
      <c r="J1120" s="2" t="s">
        <v>123</v>
      </c>
      <c r="K1120" s="2" t="s">
        <v>17</v>
      </c>
      <c r="L1120" s="3">
        <v>46259</v>
      </c>
    </row>
    <row r="1121" spans="1:12">
      <c r="A1121" s="2" t="s">
        <v>1843</v>
      </c>
      <c r="B1121" s="3">
        <v>46255</v>
      </c>
      <c r="C1121" s="2" t="s">
        <v>1194</v>
      </c>
      <c r="D1121" s="2" t="s">
        <v>14</v>
      </c>
      <c r="E1121" s="2" t="s">
        <v>15</v>
      </c>
      <c r="F1121" s="2" t="s">
        <v>3</v>
      </c>
      <c r="G1121" s="4">
        <v>19400</v>
      </c>
      <c r="H1121" s="5">
        <v>5.2699999999999997E-2</v>
      </c>
      <c r="I1121" s="2">
        <v>12</v>
      </c>
      <c r="J1121" s="2" t="s">
        <v>16</v>
      </c>
      <c r="K1121" s="2" t="s">
        <v>17</v>
      </c>
      <c r="L1121" s="3">
        <v>46262</v>
      </c>
    </row>
    <row r="1122" spans="1:12">
      <c r="A1122" s="2" t="s">
        <v>1844</v>
      </c>
      <c r="B1122" s="3">
        <v>46255</v>
      </c>
      <c r="C1122" s="2" t="s">
        <v>1845</v>
      </c>
      <c r="D1122" s="2" t="s">
        <v>14</v>
      </c>
      <c r="E1122" s="2" t="s">
        <v>1360</v>
      </c>
      <c r="F1122" s="2" t="s">
        <v>3</v>
      </c>
      <c r="G1122" s="4">
        <v>8200</v>
      </c>
      <c r="H1122" s="5">
        <v>4.1500000000000002E-2</v>
      </c>
      <c r="I1122" s="2">
        <v>36</v>
      </c>
      <c r="J1122" s="2" t="s">
        <v>16</v>
      </c>
      <c r="K1122" s="2" t="s">
        <v>17</v>
      </c>
      <c r="L1122" s="3">
        <v>46258</v>
      </c>
    </row>
    <row r="1123" spans="1:12">
      <c r="A1123" s="2" t="s">
        <v>1846</v>
      </c>
      <c r="B1123" s="3">
        <v>46255</v>
      </c>
      <c r="C1123" s="2" t="s">
        <v>1847</v>
      </c>
      <c r="D1123" s="2" t="s">
        <v>25</v>
      </c>
      <c r="E1123" s="2" t="s">
        <v>30</v>
      </c>
      <c r="F1123" s="2" t="s">
        <v>3</v>
      </c>
      <c r="G1123" s="4">
        <v>9800</v>
      </c>
      <c r="H1123" s="5">
        <v>4.36E-2</v>
      </c>
      <c r="I1123" s="2">
        <v>60</v>
      </c>
      <c r="J1123" s="2" t="s">
        <v>181</v>
      </c>
      <c r="K1123" s="2" t="s">
        <v>17</v>
      </c>
      <c r="L1123" s="3">
        <v>46258</v>
      </c>
    </row>
    <row r="1124" spans="1:12">
      <c r="A1124" s="2" t="s">
        <v>1848</v>
      </c>
      <c r="B1124" s="3">
        <v>46255</v>
      </c>
      <c r="C1124" s="2" t="s">
        <v>552</v>
      </c>
      <c r="D1124" s="2" t="s">
        <v>20</v>
      </c>
      <c r="E1124" s="2" t="s">
        <v>15</v>
      </c>
      <c r="F1124" s="2" t="s">
        <v>3</v>
      </c>
      <c r="G1124" s="4">
        <v>11400</v>
      </c>
      <c r="H1124" s="5">
        <v>6.6600000000000006E-2</v>
      </c>
      <c r="I1124" s="2">
        <v>36</v>
      </c>
      <c r="J1124" s="2" t="s">
        <v>37</v>
      </c>
      <c r="K1124" s="2" t="s">
        <v>17</v>
      </c>
      <c r="L1124" s="3">
        <v>46259</v>
      </c>
    </row>
    <row r="1125" spans="1:12">
      <c r="A1125" s="2" t="s">
        <v>1849</v>
      </c>
      <c r="B1125" s="3">
        <v>46255</v>
      </c>
      <c r="C1125" s="2" t="s">
        <v>433</v>
      </c>
      <c r="D1125" s="2" t="s">
        <v>71</v>
      </c>
      <c r="E1125" s="2" t="s">
        <v>43</v>
      </c>
      <c r="F1125" s="2" t="s">
        <v>31</v>
      </c>
      <c r="G1125" s="4">
        <v>154600</v>
      </c>
      <c r="H1125" s="5">
        <v>5.57E-2</v>
      </c>
      <c r="I1125" s="2">
        <v>36</v>
      </c>
      <c r="J1125" s="2" t="s">
        <v>72</v>
      </c>
      <c r="K1125" s="2" t="s">
        <v>45</v>
      </c>
      <c r="L1125" s="3">
        <v>46271</v>
      </c>
    </row>
    <row r="1126" spans="1:12">
      <c r="A1126" s="2" t="s">
        <v>1850</v>
      </c>
      <c r="B1126" s="3">
        <v>46255</v>
      </c>
      <c r="C1126" s="2" t="s">
        <v>1851</v>
      </c>
      <c r="D1126" s="2" t="s">
        <v>20</v>
      </c>
      <c r="E1126" s="2" t="s">
        <v>15</v>
      </c>
      <c r="F1126" s="2" t="s">
        <v>3</v>
      </c>
      <c r="G1126" s="4">
        <v>14600</v>
      </c>
      <c r="H1126" s="5">
        <v>5.4600000000000003E-2</v>
      </c>
      <c r="I1126" s="2">
        <v>36</v>
      </c>
      <c r="J1126" s="2" t="s">
        <v>22</v>
      </c>
      <c r="K1126" s="2" t="s">
        <v>17</v>
      </c>
      <c r="L1126" s="3">
        <v>46256</v>
      </c>
    </row>
    <row r="1127" spans="1:12">
      <c r="A1127" s="2" t="s">
        <v>1852</v>
      </c>
      <c r="B1127" s="3">
        <v>46256</v>
      </c>
      <c r="C1127" s="2" t="s">
        <v>1154</v>
      </c>
      <c r="D1127" s="2" t="s">
        <v>71</v>
      </c>
      <c r="E1127" s="2" t="s">
        <v>30</v>
      </c>
      <c r="F1127" s="2" t="s">
        <v>31</v>
      </c>
      <c r="G1127" s="4">
        <v>14500</v>
      </c>
      <c r="H1127" s="5">
        <v>4.48E-2</v>
      </c>
      <c r="I1127" s="2">
        <v>48</v>
      </c>
      <c r="J1127" s="2" t="s">
        <v>94</v>
      </c>
      <c r="K1127" s="2" t="s">
        <v>45</v>
      </c>
      <c r="L1127" s="3">
        <v>46264</v>
      </c>
    </row>
    <row r="1128" spans="1:12">
      <c r="A1128" s="2" t="s">
        <v>1853</v>
      </c>
      <c r="B1128" s="3">
        <v>46256</v>
      </c>
      <c r="C1128" s="2" t="s">
        <v>1451</v>
      </c>
      <c r="D1128" s="2" t="s">
        <v>14</v>
      </c>
      <c r="E1128" s="2" t="s">
        <v>21</v>
      </c>
      <c r="F1128" s="2" t="s">
        <v>3</v>
      </c>
      <c r="G1128" s="4">
        <v>315100</v>
      </c>
      <c r="H1128" s="5">
        <v>3.2599999999999997E-2</v>
      </c>
      <c r="I1128" s="2">
        <v>240</v>
      </c>
      <c r="J1128" s="2" t="s">
        <v>40</v>
      </c>
      <c r="K1128" s="2" t="s">
        <v>17</v>
      </c>
      <c r="L1128" s="3">
        <v>46283</v>
      </c>
    </row>
    <row r="1129" spans="1:12">
      <c r="A1129" s="2" t="s">
        <v>1854</v>
      </c>
      <c r="B1129" s="3">
        <v>46257</v>
      </c>
      <c r="C1129" s="2" t="s">
        <v>751</v>
      </c>
      <c r="D1129" s="2" t="s">
        <v>25</v>
      </c>
      <c r="E1129" s="2" t="s">
        <v>15</v>
      </c>
      <c r="F1129" s="2" t="s">
        <v>31</v>
      </c>
      <c r="G1129" s="4">
        <v>15600</v>
      </c>
      <c r="H1129" s="5">
        <v>6.7799999999999999E-2</v>
      </c>
      <c r="I1129" s="2">
        <v>24</v>
      </c>
      <c r="J1129" s="2" t="s">
        <v>66</v>
      </c>
      <c r="K1129" s="2" t="s">
        <v>17</v>
      </c>
      <c r="L1129" s="3">
        <v>46262</v>
      </c>
    </row>
    <row r="1130" spans="1:12">
      <c r="A1130" s="2" t="s">
        <v>1855</v>
      </c>
      <c r="B1130" s="3">
        <v>46257</v>
      </c>
      <c r="C1130" s="2" t="s">
        <v>1643</v>
      </c>
      <c r="D1130" s="2" t="s">
        <v>14</v>
      </c>
      <c r="E1130" s="2" t="s">
        <v>340</v>
      </c>
      <c r="F1130" s="2" t="s">
        <v>55</v>
      </c>
      <c r="G1130" s="4">
        <v>17000</v>
      </c>
      <c r="H1130" s="5">
        <v>5.5500000000000001E-2</v>
      </c>
      <c r="I1130" s="2">
        <v>36</v>
      </c>
      <c r="J1130" s="2" t="s">
        <v>16</v>
      </c>
      <c r="K1130" s="2" t="s">
        <v>17</v>
      </c>
      <c r="L1130" s="3">
        <v>46258</v>
      </c>
    </row>
    <row r="1131" spans="1:12">
      <c r="A1131" s="2" t="s">
        <v>1856</v>
      </c>
      <c r="B1131" s="3">
        <v>46257</v>
      </c>
      <c r="C1131" s="2" t="s">
        <v>366</v>
      </c>
      <c r="D1131" s="2" t="s">
        <v>71</v>
      </c>
      <c r="E1131" s="2" t="s">
        <v>30</v>
      </c>
      <c r="F1131" s="2" t="s">
        <v>3</v>
      </c>
      <c r="G1131" s="4">
        <v>4100</v>
      </c>
      <c r="H1131" s="5">
        <v>4.7199999999999999E-2</v>
      </c>
      <c r="I1131" s="2">
        <v>36</v>
      </c>
      <c r="J1131" s="2" t="s">
        <v>72</v>
      </c>
      <c r="K1131" s="2" t="s">
        <v>45</v>
      </c>
      <c r="L1131" s="3">
        <v>46265</v>
      </c>
    </row>
    <row r="1132" spans="1:12">
      <c r="A1132" s="2" t="s">
        <v>1857</v>
      </c>
      <c r="B1132" s="3">
        <v>46257</v>
      </c>
      <c r="C1132" s="2" t="s">
        <v>1726</v>
      </c>
      <c r="D1132" s="2" t="s">
        <v>14</v>
      </c>
      <c r="E1132" s="2" t="s">
        <v>30</v>
      </c>
      <c r="F1132" s="2" t="s">
        <v>31</v>
      </c>
      <c r="G1132" s="4">
        <v>16800</v>
      </c>
      <c r="H1132" s="5">
        <v>4.7399999999999998E-2</v>
      </c>
      <c r="I1132" s="2">
        <v>36</v>
      </c>
      <c r="J1132" s="2" t="s">
        <v>16</v>
      </c>
      <c r="K1132" s="2" t="s">
        <v>17</v>
      </c>
      <c r="L1132" s="3">
        <v>46257</v>
      </c>
    </row>
    <row r="1133" spans="1:12">
      <c r="A1133" s="2" t="s">
        <v>1858</v>
      </c>
      <c r="B1133" s="3">
        <v>46258</v>
      </c>
      <c r="C1133" s="2" t="s">
        <v>1666</v>
      </c>
      <c r="D1133" s="2" t="s">
        <v>71</v>
      </c>
      <c r="E1133" s="2" t="s">
        <v>15</v>
      </c>
      <c r="F1133" s="2" t="s">
        <v>3</v>
      </c>
      <c r="G1133" s="4">
        <v>24500</v>
      </c>
      <c r="H1133" s="5">
        <v>6.7699999999999996E-2</v>
      </c>
      <c r="I1133" s="2">
        <v>60</v>
      </c>
      <c r="J1133" s="2" t="s">
        <v>101</v>
      </c>
      <c r="K1133" s="2" t="s">
        <v>45</v>
      </c>
      <c r="L1133" s="3">
        <v>46266</v>
      </c>
    </row>
    <row r="1134" spans="1:12">
      <c r="A1134" s="2" t="s">
        <v>1859</v>
      </c>
      <c r="B1134" s="3">
        <v>46258</v>
      </c>
      <c r="C1134" s="2" t="s">
        <v>1722</v>
      </c>
      <c r="D1134" s="2" t="s">
        <v>20</v>
      </c>
      <c r="E1134" s="2" t="s">
        <v>30</v>
      </c>
      <c r="F1134" s="2" t="s">
        <v>3</v>
      </c>
      <c r="G1134" s="4">
        <v>4600</v>
      </c>
      <c r="H1134" s="5">
        <v>4.1300000000000003E-2</v>
      </c>
      <c r="I1134" s="2">
        <v>48</v>
      </c>
      <c r="J1134" s="2" t="s">
        <v>37</v>
      </c>
      <c r="K1134" s="2" t="s">
        <v>17</v>
      </c>
      <c r="L1134" s="3">
        <v>46260</v>
      </c>
    </row>
    <row r="1135" spans="1:12">
      <c r="A1135" s="2" t="s">
        <v>1860</v>
      </c>
      <c r="B1135" s="3">
        <v>46258</v>
      </c>
      <c r="C1135" s="2" t="s">
        <v>337</v>
      </c>
      <c r="D1135" s="2" t="s">
        <v>14</v>
      </c>
      <c r="E1135" s="2" t="s">
        <v>30</v>
      </c>
      <c r="F1135" s="2" t="s">
        <v>55</v>
      </c>
      <c r="G1135" s="4">
        <v>11100</v>
      </c>
      <c r="H1135" s="5">
        <v>4.2900000000000001E-2</v>
      </c>
      <c r="I1135" s="2">
        <v>48</v>
      </c>
      <c r="J1135" s="2" t="s">
        <v>40</v>
      </c>
      <c r="K1135" s="2" t="s">
        <v>17</v>
      </c>
      <c r="L1135" s="3">
        <v>46263</v>
      </c>
    </row>
    <row r="1136" spans="1:12">
      <c r="A1136" s="2" t="s">
        <v>1861</v>
      </c>
      <c r="B1136" s="3">
        <v>46258</v>
      </c>
      <c r="C1136" s="2" t="s">
        <v>746</v>
      </c>
      <c r="D1136" s="2" t="s">
        <v>29</v>
      </c>
      <c r="E1136" s="2" t="s">
        <v>407</v>
      </c>
      <c r="F1136" s="2" t="s">
        <v>3</v>
      </c>
      <c r="G1136" s="4">
        <v>14800</v>
      </c>
      <c r="H1136" s="5">
        <v>3.8300000000000001E-2</v>
      </c>
      <c r="I1136" s="2">
        <v>60</v>
      </c>
      <c r="J1136" s="2" t="s">
        <v>61</v>
      </c>
      <c r="K1136" s="2" t="s">
        <v>17</v>
      </c>
      <c r="L1136" s="3">
        <v>46262</v>
      </c>
    </row>
    <row r="1137" spans="1:12">
      <c r="A1137" s="2" t="s">
        <v>1862</v>
      </c>
      <c r="B1137" s="3">
        <v>46259</v>
      </c>
      <c r="C1137" s="2" t="s">
        <v>864</v>
      </c>
      <c r="D1137" s="2" t="s">
        <v>20</v>
      </c>
      <c r="E1137" s="2" t="s">
        <v>15</v>
      </c>
      <c r="F1137" s="2" t="s">
        <v>154</v>
      </c>
      <c r="G1137" s="4">
        <v>17900</v>
      </c>
      <c r="H1137" s="5">
        <v>6.8000000000000005E-2</v>
      </c>
      <c r="I1137" s="2">
        <v>60</v>
      </c>
      <c r="J1137" s="2" t="s">
        <v>22</v>
      </c>
      <c r="K1137" s="2" t="s">
        <v>45</v>
      </c>
      <c r="L1137" s="3">
        <v>46262</v>
      </c>
    </row>
    <row r="1138" spans="1:12">
      <c r="A1138" s="2" t="s">
        <v>1863</v>
      </c>
      <c r="B1138" s="3">
        <v>46259</v>
      </c>
      <c r="C1138" s="2" t="s">
        <v>888</v>
      </c>
      <c r="D1138" s="2" t="s">
        <v>29</v>
      </c>
      <c r="E1138" s="2" t="s">
        <v>30</v>
      </c>
      <c r="F1138" s="2" t="s">
        <v>3</v>
      </c>
      <c r="G1138" s="4">
        <v>13800</v>
      </c>
      <c r="H1138" s="5">
        <v>4.9599999999999998E-2</v>
      </c>
      <c r="I1138" s="2">
        <v>36</v>
      </c>
      <c r="J1138" s="2" t="s">
        <v>123</v>
      </c>
      <c r="K1138" s="2" t="s">
        <v>17</v>
      </c>
      <c r="L1138" s="3">
        <v>46264</v>
      </c>
    </row>
    <row r="1139" spans="1:12">
      <c r="A1139" s="2" t="s">
        <v>1864</v>
      </c>
      <c r="B1139" s="3">
        <v>46259</v>
      </c>
      <c r="C1139" s="2" t="s">
        <v>1865</v>
      </c>
      <c r="D1139" s="2" t="s">
        <v>14</v>
      </c>
      <c r="E1139" s="2" t="s">
        <v>43</v>
      </c>
      <c r="F1139" s="2" t="s">
        <v>3</v>
      </c>
      <c r="G1139" s="2" t="s">
        <v>1866</v>
      </c>
      <c r="H1139" s="5">
        <v>7.2099999999999997E-2</v>
      </c>
      <c r="I1139" s="2">
        <v>36</v>
      </c>
      <c r="J1139" s="2" t="s">
        <v>16</v>
      </c>
      <c r="K1139" s="2" t="s">
        <v>17</v>
      </c>
      <c r="L1139" s="3">
        <v>46272</v>
      </c>
    </row>
    <row r="1140" spans="1:12">
      <c r="A1140" s="2" t="s">
        <v>1867</v>
      </c>
      <c r="B1140" s="3">
        <v>46259</v>
      </c>
      <c r="C1140" s="2" t="s">
        <v>917</v>
      </c>
      <c r="D1140" s="2" t="s">
        <v>14</v>
      </c>
      <c r="E1140" s="2" t="s">
        <v>43</v>
      </c>
      <c r="F1140" s="2" t="s">
        <v>3</v>
      </c>
      <c r="G1140" s="4">
        <v>121200</v>
      </c>
      <c r="H1140" s="5">
        <v>7.2599999999999998E-2</v>
      </c>
      <c r="I1140" s="2">
        <v>24</v>
      </c>
      <c r="J1140" s="2" t="s">
        <v>40</v>
      </c>
      <c r="K1140" s="2" t="s">
        <v>17</v>
      </c>
      <c r="L1140" s="3">
        <v>46273</v>
      </c>
    </row>
    <row r="1141" spans="1:12">
      <c r="A1141" s="2" t="s">
        <v>1868</v>
      </c>
      <c r="B1141" s="3">
        <v>46259</v>
      </c>
      <c r="C1141" s="2" t="s">
        <v>80</v>
      </c>
      <c r="D1141" s="2" t="s">
        <v>20</v>
      </c>
      <c r="E1141" s="2" t="s">
        <v>43</v>
      </c>
      <c r="F1141" s="2" t="s">
        <v>3</v>
      </c>
      <c r="G1141" s="4">
        <v>68800</v>
      </c>
      <c r="H1141" s="5">
        <v>5.7299999999999997E-2</v>
      </c>
      <c r="I1141" s="2">
        <v>60</v>
      </c>
      <c r="J1141" s="2" t="s">
        <v>37</v>
      </c>
      <c r="K1141" s="2" t="s">
        <v>45</v>
      </c>
      <c r="L1141" s="3">
        <v>46275</v>
      </c>
    </row>
    <row r="1142" spans="1:12">
      <c r="A1142" s="2" t="s">
        <v>1869</v>
      </c>
      <c r="B1142" s="3">
        <v>46260</v>
      </c>
      <c r="C1142" s="2" t="s">
        <v>1641</v>
      </c>
      <c r="D1142" s="2" t="s">
        <v>14</v>
      </c>
      <c r="E1142" s="2" t="s">
        <v>15</v>
      </c>
      <c r="F1142" s="2" t="s">
        <v>31</v>
      </c>
      <c r="G1142" s="4">
        <v>15300</v>
      </c>
      <c r="H1142" s="5">
        <v>5.2999999999999999E-2</v>
      </c>
      <c r="I1142" s="2">
        <v>12</v>
      </c>
      <c r="J1142" s="2" t="s">
        <v>48</v>
      </c>
      <c r="K1142" s="2" t="s">
        <v>17</v>
      </c>
      <c r="L1142" s="3">
        <v>46265</v>
      </c>
    </row>
    <row r="1143" spans="1:12">
      <c r="A1143" s="2" t="s">
        <v>1870</v>
      </c>
      <c r="B1143" s="3">
        <v>46260</v>
      </c>
      <c r="C1143" s="2" t="s">
        <v>1871</v>
      </c>
      <c r="D1143" s="2" t="s">
        <v>25</v>
      </c>
      <c r="E1143" s="2" t="s">
        <v>30</v>
      </c>
      <c r="F1143" s="2" t="s">
        <v>55</v>
      </c>
      <c r="G1143" s="2" t="s">
        <v>1872</v>
      </c>
      <c r="H1143" s="5">
        <v>4.07E-2</v>
      </c>
      <c r="I1143" s="2">
        <v>36</v>
      </c>
      <c r="J1143" s="2" t="s">
        <v>181</v>
      </c>
      <c r="K1143" s="2" t="s">
        <v>17</v>
      </c>
      <c r="L1143" s="3">
        <v>46261</v>
      </c>
    </row>
    <row r="1144" spans="1:12">
      <c r="A1144" s="2" t="s">
        <v>1873</v>
      </c>
      <c r="B1144" s="3">
        <v>46260</v>
      </c>
      <c r="C1144" s="2" t="s">
        <v>1491</v>
      </c>
      <c r="D1144" s="2" t="s">
        <v>29</v>
      </c>
      <c r="E1144" s="2" t="s">
        <v>15</v>
      </c>
      <c r="F1144" s="2" t="s">
        <v>3</v>
      </c>
      <c r="G1144" s="4">
        <v>25000</v>
      </c>
      <c r="H1144" s="5">
        <v>6.3299999999999995E-2</v>
      </c>
      <c r="I1144" s="2">
        <v>48</v>
      </c>
      <c r="J1144" s="2" t="s">
        <v>32</v>
      </c>
      <c r="K1144" s="2" t="s">
        <v>17</v>
      </c>
      <c r="L1144" s="3">
        <v>46261</v>
      </c>
    </row>
    <row r="1145" spans="1:12">
      <c r="A1145" s="2" t="s">
        <v>1874</v>
      </c>
      <c r="B1145" s="3">
        <v>46260</v>
      </c>
      <c r="C1145" s="2" t="s">
        <v>726</v>
      </c>
      <c r="D1145" s="2" t="s">
        <v>20</v>
      </c>
      <c r="E1145" s="2" t="s">
        <v>30</v>
      </c>
      <c r="F1145" s="2" t="s">
        <v>55</v>
      </c>
      <c r="G1145" s="4">
        <v>18600</v>
      </c>
      <c r="H1145" s="5">
        <v>4.3900000000000002E-2</v>
      </c>
      <c r="I1145" s="2">
        <v>36</v>
      </c>
      <c r="J1145" s="2" t="s">
        <v>22</v>
      </c>
      <c r="K1145" s="2" t="s">
        <v>17</v>
      </c>
      <c r="L1145" s="3">
        <v>46261</v>
      </c>
    </row>
    <row r="1146" spans="1:12">
      <c r="A1146" s="2" t="s">
        <v>1875</v>
      </c>
      <c r="B1146" s="3">
        <v>46260</v>
      </c>
      <c r="C1146" s="2" t="s">
        <v>879</v>
      </c>
      <c r="D1146" s="2" t="s">
        <v>25</v>
      </c>
      <c r="E1146" s="2" t="s">
        <v>15</v>
      </c>
      <c r="F1146" s="2" t="s">
        <v>55</v>
      </c>
      <c r="G1146" s="4">
        <v>3700</v>
      </c>
      <c r="H1146" s="5">
        <v>5.4600000000000003E-2</v>
      </c>
      <c r="I1146" s="2">
        <v>24</v>
      </c>
      <c r="J1146" s="2" t="s">
        <v>181</v>
      </c>
      <c r="K1146" s="2" t="s">
        <v>17</v>
      </c>
      <c r="L1146" s="3">
        <v>46264</v>
      </c>
    </row>
    <row r="1147" spans="1:12">
      <c r="A1147" s="2" t="s">
        <v>1876</v>
      </c>
      <c r="B1147" s="3">
        <v>46260</v>
      </c>
      <c r="C1147" s="2" t="s">
        <v>1877</v>
      </c>
      <c r="D1147" s="2" t="s">
        <v>14</v>
      </c>
      <c r="E1147" s="2" t="s">
        <v>43</v>
      </c>
      <c r="F1147" s="2" t="s">
        <v>31</v>
      </c>
      <c r="G1147" s="4">
        <v>36500</v>
      </c>
      <c r="H1147" s="5">
        <v>6.2700000000000006E-2</v>
      </c>
      <c r="I1147" s="2">
        <v>24</v>
      </c>
      <c r="J1147" s="2" t="s">
        <v>48</v>
      </c>
      <c r="K1147" s="2" t="s">
        <v>17</v>
      </c>
      <c r="L1147" s="3">
        <v>46268</v>
      </c>
    </row>
    <row r="1148" spans="1:12">
      <c r="A1148" s="2" t="s">
        <v>1878</v>
      </c>
      <c r="B1148" s="3">
        <v>46261</v>
      </c>
      <c r="C1148" s="2" t="s">
        <v>886</v>
      </c>
      <c r="D1148" s="2" t="s">
        <v>29</v>
      </c>
      <c r="E1148" s="2" t="s">
        <v>43</v>
      </c>
      <c r="F1148" s="2" t="s">
        <v>31</v>
      </c>
      <c r="G1148" s="4">
        <v>108700</v>
      </c>
      <c r="H1148" s="5">
        <v>6.7599999999999993E-2</v>
      </c>
      <c r="I1148" s="2">
        <v>60</v>
      </c>
      <c r="J1148" s="2" t="s">
        <v>61</v>
      </c>
      <c r="K1148" s="2" t="s">
        <v>45</v>
      </c>
      <c r="L1148" s="3">
        <v>46267</v>
      </c>
    </row>
    <row r="1149" spans="1:12">
      <c r="A1149" s="2" t="s">
        <v>1879</v>
      </c>
      <c r="B1149" s="3">
        <v>46261</v>
      </c>
      <c r="C1149" s="2" t="s">
        <v>1880</v>
      </c>
      <c r="D1149" s="2" t="s">
        <v>25</v>
      </c>
      <c r="E1149" s="2" t="s">
        <v>30</v>
      </c>
      <c r="F1149" s="2" t="s">
        <v>3</v>
      </c>
      <c r="G1149" s="4">
        <v>5000</v>
      </c>
      <c r="H1149" s="5">
        <v>4.4999999999999998E-2</v>
      </c>
      <c r="I1149" s="2">
        <v>36</v>
      </c>
      <c r="J1149" s="2" t="s">
        <v>66</v>
      </c>
      <c r="K1149" s="2" t="s">
        <v>17</v>
      </c>
      <c r="L1149" s="3">
        <v>46263</v>
      </c>
    </row>
    <row r="1150" spans="1:12">
      <c r="A1150" s="2" t="s">
        <v>1881</v>
      </c>
      <c r="B1150" s="3">
        <v>46261</v>
      </c>
      <c r="C1150" s="2" t="s">
        <v>1265</v>
      </c>
      <c r="D1150" s="2" t="s">
        <v>25</v>
      </c>
      <c r="E1150" s="2" t="s">
        <v>15</v>
      </c>
      <c r="F1150" s="2" t="s">
        <v>3</v>
      </c>
      <c r="G1150" s="4">
        <v>25000</v>
      </c>
      <c r="H1150" s="5">
        <v>5.4699999999999999E-2</v>
      </c>
      <c r="I1150" s="2">
        <v>48</v>
      </c>
      <c r="J1150" s="2" t="s">
        <v>26</v>
      </c>
      <c r="K1150" s="2" t="s">
        <v>17</v>
      </c>
      <c r="L1150" s="3">
        <v>46265</v>
      </c>
    </row>
    <row r="1151" spans="1:12">
      <c r="A1151" s="2" t="s">
        <v>1882</v>
      </c>
      <c r="B1151" s="3">
        <v>46261</v>
      </c>
      <c r="C1151" s="2" t="s">
        <v>310</v>
      </c>
      <c r="D1151" s="2" t="s">
        <v>25</v>
      </c>
      <c r="E1151" s="2" t="s">
        <v>43</v>
      </c>
      <c r="F1151" s="2" t="s">
        <v>3</v>
      </c>
      <c r="G1151" s="4">
        <v>106100</v>
      </c>
      <c r="H1151" s="5">
        <v>7.0800000000000002E-2</v>
      </c>
      <c r="I1151" s="2">
        <v>60</v>
      </c>
      <c r="J1151" s="2" t="s">
        <v>181</v>
      </c>
      <c r="K1151" s="2" t="s">
        <v>17</v>
      </c>
      <c r="L1151" s="3">
        <v>46273</v>
      </c>
    </row>
    <row r="1152" spans="1:12">
      <c r="A1152" s="2" t="s">
        <v>1883</v>
      </c>
      <c r="B1152" s="3">
        <v>46261</v>
      </c>
      <c r="C1152" s="2" t="s">
        <v>746</v>
      </c>
      <c r="D1152" s="2" t="s">
        <v>71</v>
      </c>
      <c r="E1152" s="2" t="s">
        <v>15</v>
      </c>
      <c r="F1152" s="2" t="s">
        <v>3</v>
      </c>
      <c r="G1152" s="4">
        <v>13400</v>
      </c>
      <c r="H1152" s="5">
        <v>6.4000000000000001E-2</v>
      </c>
      <c r="I1152" s="2">
        <v>48</v>
      </c>
      <c r="J1152" s="2" t="s">
        <v>101</v>
      </c>
      <c r="K1152" s="2" t="s">
        <v>17</v>
      </c>
      <c r="L1152" s="3">
        <v>46272</v>
      </c>
    </row>
    <row r="1153" spans="1:12">
      <c r="A1153" s="2" t="s">
        <v>1884</v>
      </c>
      <c r="B1153" s="3">
        <v>46261</v>
      </c>
      <c r="C1153" s="2" t="s">
        <v>74</v>
      </c>
      <c r="D1153" s="2" t="s">
        <v>54</v>
      </c>
      <c r="E1153" s="2" t="s">
        <v>43</v>
      </c>
      <c r="F1153" s="2" t="s">
        <v>3</v>
      </c>
      <c r="G1153" s="4">
        <v>147500</v>
      </c>
      <c r="H1153" s="5">
        <v>7.4499999999999997E-2</v>
      </c>
      <c r="I1153" s="2">
        <v>36</v>
      </c>
      <c r="J1153" s="2" t="s">
        <v>56</v>
      </c>
      <c r="K1153" s="2" t="s">
        <v>45</v>
      </c>
      <c r="L1153" s="3">
        <v>46280</v>
      </c>
    </row>
    <row r="1154" spans="1:12">
      <c r="A1154" s="2" t="s">
        <v>1885</v>
      </c>
      <c r="B1154" s="3">
        <v>46261</v>
      </c>
      <c r="C1154" s="2" t="s">
        <v>1886</v>
      </c>
      <c r="D1154" s="2" t="s">
        <v>20</v>
      </c>
      <c r="E1154" s="2" t="s">
        <v>30</v>
      </c>
      <c r="F1154" s="2" t="s">
        <v>3</v>
      </c>
      <c r="G1154" s="4">
        <v>15700</v>
      </c>
      <c r="H1154" s="5">
        <v>4.2999999999999997E-2</v>
      </c>
      <c r="I1154" s="2">
        <v>48</v>
      </c>
      <c r="J1154" s="2" t="s">
        <v>37</v>
      </c>
      <c r="K1154" s="2" t="s">
        <v>17</v>
      </c>
      <c r="L1154" s="3">
        <v>46266</v>
      </c>
    </row>
    <row r="1155" spans="1:12">
      <c r="A1155" s="2" t="s">
        <v>1887</v>
      </c>
      <c r="B1155" s="3">
        <v>46262</v>
      </c>
      <c r="C1155" s="2" t="s">
        <v>1815</v>
      </c>
      <c r="D1155" s="2" t="s">
        <v>25</v>
      </c>
      <c r="E1155" s="2" t="s">
        <v>15</v>
      </c>
      <c r="F1155" s="2" t="s">
        <v>31</v>
      </c>
      <c r="G1155" s="4">
        <v>25000</v>
      </c>
      <c r="H1155" s="5">
        <v>6.3799999999999996E-2</v>
      </c>
      <c r="I1155" s="2">
        <v>36</v>
      </c>
      <c r="J1155" s="2" t="s">
        <v>181</v>
      </c>
      <c r="K1155" s="2" t="s">
        <v>17</v>
      </c>
      <c r="L1155" s="3">
        <v>46266</v>
      </c>
    </row>
    <row r="1156" spans="1:12">
      <c r="A1156" s="2" t="s">
        <v>1888</v>
      </c>
      <c r="B1156" s="3">
        <v>46262</v>
      </c>
      <c r="C1156" s="2" t="s">
        <v>1173</v>
      </c>
      <c r="D1156" s="2" t="s">
        <v>25</v>
      </c>
      <c r="E1156" s="2" t="s">
        <v>30</v>
      </c>
      <c r="F1156" s="2" t="s">
        <v>3</v>
      </c>
      <c r="G1156" s="4">
        <v>5900</v>
      </c>
      <c r="H1156" s="5">
        <v>4.5600000000000002E-2</v>
      </c>
      <c r="I1156" s="2">
        <v>36</v>
      </c>
      <c r="J1156" s="2" t="s">
        <v>66</v>
      </c>
      <c r="K1156" s="2" t="s">
        <v>17</v>
      </c>
      <c r="L1156" s="3">
        <v>46267</v>
      </c>
    </row>
    <row r="1157" spans="1:12">
      <c r="A1157" s="2" t="s">
        <v>1889</v>
      </c>
      <c r="B1157" s="3">
        <v>46263</v>
      </c>
      <c r="C1157" s="2" t="s">
        <v>758</v>
      </c>
      <c r="D1157" s="2" t="s">
        <v>20</v>
      </c>
      <c r="E1157" s="2" t="s">
        <v>15</v>
      </c>
      <c r="F1157" s="2" t="s">
        <v>55</v>
      </c>
      <c r="G1157" s="4">
        <v>7100</v>
      </c>
      <c r="H1157" s="5">
        <v>5.62E-2</v>
      </c>
      <c r="I1157" s="2">
        <v>48</v>
      </c>
      <c r="J1157" s="2" t="s">
        <v>22</v>
      </c>
      <c r="K1157" s="2" t="s">
        <v>17</v>
      </c>
      <c r="L1157" s="3">
        <v>46267</v>
      </c>
    </row>
    <row r="1158" spans="1:12">
      <c r="A1158" s="2" t="s">
        <v>1890</v>
      </c>
      <c r="B1158" s="3">
        <v>46263</v>
      </c>
      <c r="C1158" s="2" t="s">
        <v>935</v>
      </c>
      <c r="D1158" s="2" t="s">
        <v>25</v>
      </c>
      <c r="E1158" s="2" t="s">
        <v>160</v>
      </c>
      <c r="F1158" s="2" t="s">
        <v>55</v>
      </c>
      <c r="G1158" s="4">
        <v>12600</v>
      </c>
      <c r="H1158" s="5">
        <v>4.5100000000000001E-2</v>
      </c>
      <c r="I1158" s="2">
        <v>48</v>
      </c>
      <c r="J1158" s="2" t="s">
        <v>26</v>
      </c>
      <c r="K1158" s="2" t="s">
        <v>17</v>
      </c>
      <c r="L1158" s="3">
        <v>46264</v>
      </c>
    </row>
    <row r="1159" spans="1:12">
      <c r="A1159" s="2" t="s">
        <v>1891</v>
      </c>
      <c r="B1159" s="3">
        <v>46263</v>
      </c>
      <c r="C1159" s="2" t="s">
        <v>519</v>
      </c>
      <c r="D1159" s="2" t="s">
        <v>71</v>
      </c>
      <c r="E1159" s="2" t="s">
        <v>43</v>
      </c>
      <c r="F1159" s="2" t="s">
        <v>55</v>
      </c>
      <c r="G1159" s="4">
        <v>130100</v>
      </c>
      <c r="H1159" s="5">
        <v>5.6099999999999997E-2</v>
      </c>
      <c r="I1159" s="2">
        <v>24</v>
      </c>
      <c r="J1159" s="2" t="s">
        <v>94</v>
      </c>
      <c r="K1159" s="2" t="s">
        <v>17</v>
      </c>
      <c r="L1159" s="3">
        <v>46276</v>
      </c>
    </row>
    <row r="1160" spans="1:12">
      <c r="A1160" s="2" t="s">
        <v>1892</v>
      </c>
      <c r="B1160" s="3">
        <v>46263</v>
      </c>
      <c r="C1160" s="2" t="s">
        <v>86</v>
      </c>
      <c r="D1160" s="2" t="s">
        <v>20</v>
      </c>
      <c r="E1160" s="2" t="s">
        <v>43</v>
      </c>
      <c r="F1160" s="2" t="s">
        <v>3</v>
      </c>
      <c r="G1160" s="4">
        <v>81300</v>
      </c>
      <c r="H1160" s="5">
        <v>7.9799999999999996E-2</v>
      </c>
      <c r="I1160" s="2">
        <v>60</v>
      </c>
      <c r="J1160" s="2" t="s">
        <v>44</v>
      </c>
      <c r="K1160" s="2" t="s">
        <v>45</v>
      </c>
      <c r="L1160" s="3">
        <v>46277</v>
      </c>
    </row>
    <row r="1161" spans="1:12">
      <c r="A1161" s="2" t="s">
        <v>1893</v>
      </c>
      <c r="B1161" s="3">
        <v>46263</v>
      </c>
      <c r="C1161" s="2" t="s">
        <v>120</v>
      </c>
      <c r="D1161" s="2" t="s">
        <v>54</v>
      </c>
      <c r="E1161" s="2" t="s">
        <v>30</v>
      </c>
      <c r="F1161" s="2" t="s">
        <v>31</v>
      </c>
      <c r="G1161" s="2" t="s">
        <v>1894</v>
      </c>
      <c r="H1161" s="5">
        <v>4.6100000000000002E-2</v>
      </c>
      <c r="I1161" s="2">
        <v>60</v>
      </c>
      <c r="J1161" s="2" t="s">
        <v>56</v>
      </c>
      <c r="K1161" s="2" t="s">
        <v>45</v>
      </c>
      <c r="L1161" s="3">
        <v>46263</v>
      </c>
    </row>
    <row r="1162" spans="1:12">
      <c r="A1162" s="2" t="s">
        <v>1895</v>
      </c>
      <c r="B1162" s="3">
        <v>46263</v>
      </c>
      <c r="C1162" s="2" t="s">
        <v>1708</v>
      </c>
      <c r="D1162" s="2" t="s">
        <v>14</v>
      </c>
      <c r="E1162" s="2" t="s">
        <v>30</v>
      </c>
      <c r="F1162" s="2" t="s">
        <v>3</v>
      </c>
      <c r="G1162" s="4">
        <v>11300</v>
      </c>
      <c r="H1162" s="5">
        <v>4.7199999999999999E-2</v>
      </c>
      <c r="I1162" s="2">
        <v>60</v>
      </c>
      <c r="J1162" s="2" t="s">
        <v>48</v>
      </c>
      <c r="K1162" s="2" t="s">
        <v>45</v>
      </c>
      <c r="L1162" s="3">
        <v>46264</v>
      </c>
    </row>
    <row r="1163" spans="1:12">
      <c r="A1163" s="2" t="s">
        <v>1896</v>
      </c>
      <c r="B1163" s="3">
        <v>46263</v>
      </c>
      <c r="C1163" s="2" t="s">
        <v>1897</v>
      </c>
      <c r="D1163" s="2" t="s">
        <v>14</v>
      </c>
      <c r="E1163" s="2" t="s">
        <v>15</v>
      </c>
      <c r="F1163" s="2" t="s">
        <v>31</v>
      </c>
      <c r="G1163" s="4">
        <v>6500</v>
      </c>
      <c r="H1163" s="5">
        <v>5.7700000000000001E-2</v>
      </c>
      <c r="I1163" s="2">
        <v>60</v>
      </c>
      <c r="J1163" s="2" t="s">
        <v>40</v>
      </c>
      <c r="K1163" s="2" t="s">
        <v>17</v>
      </c>
      <c r="L1163" s="3">
        <v>46264</v>
      </c>
    </row>
    <row r="1164" spans="1:12">
      <c r="A1164" s="2" t="s">
        <v>1898</v>
      </c>
      <c r="B1164" s="3">
        <v>46263</v>
      </c>
      <c r="C1164" s="2" t="s">
        <v>910</v>
      </c>
      <c r="D1164" s="2" t="s">
        <v>14</v>
      </c>
      <c r="E1164" s="2" t="s">
        <v>15</v>
      </c>
      <c r="F1164" s="2" t="s">
        <v>31</v>
      </c>
      <c r="G1164" s="4">
        <v>20800</v>
      </c>
      <c r="H1164" s="5">
        <v>6.1600000000000002E-2</v>
      </c>
      <c r="I1164" s="2">
        <v>36</v>
      </c>
      <c r="J1164" s="2" t="s">
        <v>16</v>
      </c>
      <c r="K1164" s="2" t="s">
        <v>45</v>
      </c>
      <c r="L1164" s="3">
        <v>46263</v>
      </c>
    </row>
    <row r="1165" spans="1:12">
      <c r="A1165" s="2" t="s">
        <v>1899</v>
      </c>
      <c r="B1165" s="3">
        <v>46263</v>
      </c>
      <c r="C1165" s="2" t="s">
        <v>1900</v>
      </c>
      <c r="D1165" s="2" t="s">
        <v>25</v>
      </c>
      <c r="E1165" s="2" t="s">
        <v>15</v>
      </c>
      <c r="F1165" s="2" t="s">
        <v>31</v>
      </c>
      <c r="G1165" s="4">
        <v>23800</v>
      </c>
      <c r="H1165" s="5">
        <v>6.88E-2</v>
      </c>
      <c r="I1165" s="2">
        <v>12</v>
      </c>
      <c r="J1165" s="2" t="s">
        <v>66</v>
      </c>
      <c r="K1165" s="2" t="s">
        <v>17</v>
      </c>
      <c r="L1165" s="3">
        <v>46267</v>
      </c>
    </row>
    <row r="1166" spans="1:12">
      <c r="A1166" s="2" t="s">
        <v>1901</v>
      </c>
      <c r="B1166" s="3">
        <v>46264</v>
      </c>
      <c r="C1166" s="2" t="s">
        <v>1902</v>
      </c>
      <c r="D1166" s="2" t="s">
        <v>25</v>
      </c>
      <c r="E1166" s="2" t="s">
        <v>43</v>
      </c>
      <c r="F1166" s="2" t="s">
        <v>31</v>
      </c>
      <c r="G1166" s="4">
        <v>172300</v>
      </c>
      <c r="H1166" s="5">
        <v>5.57E-2</v>
      </c>
      <c r="I1166" s="2">
        <v>24</v>
      </c>
      <c r="J1166" s="2" t="s">
        <v>26</v>
      </c>
      <c r="K1166" s="2" t="s">
        <v>45</v>
      </c>
      <c r="L1166" s="3">
        <v>46280</v>
      </c>
    </row>
    <row r="1167" spans="1:12">
      <c r="A1167" s="2" t="s">
        <v>1903</v>
      </c>
      <c r="B1167" s="3">
        <v>46264</v>
      </c>
      <c r="C1167" s="2" t="s">
        <v>84</v>
      </c>
      <c r="D1167" s="2" t="s">
        <v>71</v>
      </c>
      <c r="E1167" s="2" t="s">
        <v>30</v>
      </c>
      <c r="F1167" s="2" t="s">
        <v>3</v>
      </c>
      <c r="G1167" s="4">
        <v>8100</v>
      </c>
      <c r="H1167" s="5">
        <v>3.8199999999999998E-2</v>
      </c>
      <c r="I1167" s="2">
        <v>60</v>
      </c>
      <c r="J1167" s="2" t="s">
        <v>72</v>
      </c>
      <c r="K1167" s="2" t="s">
        <v>17</v>
      </c>
      <c r="L1167" s="3">
        <v>46270</v>
      </c>
    </row>
    <row r="1168" spans="1:12">
      <c r="A1168" s="2" t="s">
        <v>1904</v>
      </c>
      <c r="B1168" s="3">
        <v>46264</v>
      </c>
      <c r="C1168" s="2" t="s">
        <v>776</v>
      </c>
      <c r="D1168" s="2" t="s">
        <v>14</v>
      </c>
      <c r="E1168" s="2" t="s">
        <v>30</v>
      </c>
      <c r="F1168" s="2" t="s">
        <v>31</v>
      </c>
      <c r="G1168" s="4">
        <v>10300</v>
      </c>
      <c r="H1168" s="5">
        <v>3.6200000000000003E-2</v>
      </c>
      <c r="I1168" s="2">
        <v>36</v>
      </c>
      <c r="J1168" s="2" t="s">
        <v>16</v>
      </c>
      <c r="K1168" s="2" t="s">
        <v>17</v>
      </c>
      <c r="L1168" s="3">
        <v>46266</v>
      </c>
    </row>
    <row r="1169" spans="1:12">
      <c r="A1169" s="2" t="s">
        <v>1905</v>
      </c>
      <c r="B1169" s="3">
        <v>46264</v>
      </c>
      <c r="C1169" s="2" t="s">
        <v>1256</v>
      </c>
      <c r="D1169" s="2" t="s">
        <v>14</v>
      </c>
      <c r="E1169" s="2" t="s">
        <v>43</v>
      </c>
      <c r="F1169" s="2" t="s">
        <v>31</v>
      </c>
      <c r="G1169" s="4">
        <v>46500</v>
      </c>
      <c r="H1169" s="5">
        <v>6.4799999999999996E-2</v>
      </c>
      <c r="I1169" s="2">
        <v>84</v>
      </c>
      <c r="J1169" s="2" t="s">
        <v>40</v>
      </c>
      <c r="K1169" s="2" t="s">
        <v>45</v>
      </c>
      <c r="L1169" s="3">
        <v>46274</v>
      </c>
    </row>
    <row r="1170" spans="1:12">
      <c r="A1170" s="2" t="s">
        <v>1906</v>
      </c>
      <c r="B1170" s="3">
        <v>46264</v>
      </c>
      <c r="C1170" s="2" t="s">
        <v>356</v>
      </c>
      <c r="D1170" s="2" t="s">
        <v>20</v>
      </c>
      <c r="E1170" s="2" t="s">
        <v>21</v>
      </c>
      <c r="F1170" s="2" t="s">
        <v>3</v>
      </c>
      <c r="G1170" s="4">
        <v>178300</v>
      </c>
      <c r="H1170" s="5">
        <v>4.2500000000000003E-2</v>
      </c>
      <c r="I1170" s="2">
        <v>240</v>
      </c>
      <c r="J1170" s="2" t="s">
        <v>37</v>
      </c>
      <c r="K1170" s="2" t="s">
        <v>17</v>
      </c>
      <c r="L1170" s="3">
        <v>46286</v>
      </c>
    </row>
    <row r="1171" spans="1:12">
      <c r="A1171" s="2" t="s">
        <v>1907</v>
      </c>
      <c r="B1171" s="3">
        <v>46264</v>
      </c>
      <c r="C1171" s="2" t="s">
        <v>888</v>
      </c>
      <c r="D1171" s="2" t="s">
        <v>14</v>
      </c>
      <c r="E1171" s="2" t="s">
        <v>30</v>
      </c>
      <c r="F1171" s="2" t="s">
        <v>3</v>
      </c>
      <c r="G1171" s="4">
        <v>16200</v>
      </c>
      <c r="H1171" s="5">
        <v>4.4299999999999999E-2</v>
      </c>
      <c r="I1171" s="2">
        <v>48</v>
      </c>
      <c r="J1171" s="2" t="s">
        <v>48</v>
      </c>
      <c r="K1171" s="2" t="s">
        <v>17</v>
      </c>
      <c r="L1171" s="3">
        <v>46269</v>
      </c>
    </row>
    <row r="1172" spans="1:12">
      <c r="A1172" s="2" t="s">
        <v>1908</v>
      </c>
      <c r="B1172" s="3">
        <v>46265</v>
      </c>
      <c r="C1172" s="2" t="s">
        <v>1562</v>
      </c>
      <c r="D1172" s="2" t="s">
        <v>14</v>
      </c>
      <c r="E1172" s="2" t="s">
        <v>30</v>
      </c>
      <c r="F1172" s="2" t="s">
        <v>3</v>
      </c>
      <c r="G1172" s="4">
        <v>13200</v>
      </c>
      <c r="H1172" s="5">
        <v>4.8399999999999999E-2</v>
      </c>
      <c r="I1172" s="2">
        <v>48</v>
      </c>
      <c r="J1172" s="2" t="s">
        <v>48</v>
      </c>
      <c r="K1172" s="2" t="s">
        <v>17</v>
      </c>
      <c r="L1172" s="3">
        <v>46268</v>
      </c>
    </row>
    <row r="1173" spans="1:12">
      <c r="A1173" s="2" t="s">
        <v>1909</v>
      </c>
      <c r="B1173" s="3">
        <v>46265</v>
      </c>
      <c r="C1173" s="2" t="s">
        <v>575</v>
      </c>
      <c r="D1173" s="2" t="s">
        <v>14</v>
      </c>
      <c r="E1173" s="2" t="s">
        <v>30</v>
      </c>
      <c r="F1173" s="2" t="s">
        <v>31</v>
      </c>
      <c r="G1173" s="4">
        <v>10500</v>
      </c>
      <c r="H1173" s="5">
        <v>4.0800000000000003E-2</v>
      </c>
      <c r="I1173" s="2">
        <v>48</v>
      </c>
      <c r="J1173" s="2" t="s">
        <v>48</v>
      </c>
      <c r="K1173" s="2" t="s">
        <v>17</v>
      </c>
      <c r="L1173" s="3">
        <v>46267</v>
      </c>
    </row>
    <row r="1174" spans="1:12">
      <c r="A1174" s="2" t="s">
        <v>1910</v>
      </c>
      <c r="B1174" s="3">
        <v>46265</v>
      </c>
      <c r="C1174" s="2" t="s">
        <v>1194</v>
      </c>
      <c r="D1174" s="2" t="s">
        <v>54</v>
      </c>
      <c r="E1174" s="2" t="s">
        <v>30</v>
      </c>
      <c r="F1174" s="2" t="s">
        <v>31</v>
      </c>
      <c r="G1174" s="4">
        <v>13600</v>
      </c>
      <c r="H1174" s="5">
        <v>4.0399999999999998E-2</v>
      </c>
      <c r="I1174" s="2">
        <v>60</v>
      </c>
      <c r="J1174" s="2" t="s">
        <v>186</v>
      </c>
      <c r="K1174" s="2" t="s">
        <v>17</v>
      </c>
      <c r="L1174" s="3">
        <v>46268</v>
      </c>
    </row>
    <row r="1175" spans="1:12">
      <c r="A1175" s="2" t="s">
        <v>1911</v>
      </c>
      <c r="B1175" s="3">
        <v>46265</v>
      </c>
      <c r="C1175" s="2" t="s">
        <v>1154</v>
      </c>
      <c r="D1175" s="2" t="s">
        <v>20</v>
      </c>
      <c r="E1175" s="2" t="s">
        <v>15</v>
      </c>
      <c r="F1175" s="2" t="s">
        <v>55</v>
      </c>
      <c r="G1175" s="4">
        <v>25000</v>
      </c>
      <c r="H1175" s="5">
        <v>6.6400000000000001E-2</v>
      </c>
      <c r="I1175" s="2">
        <v>12</v>
      </c>
      <c r="J1175" s="2" t="s">
        <v>44</v>
      </c>
      <c r="K1175" s="2" t="s">
        <v>45</v>
      </c>
      <c r="L1175" s="3">
        <v>46268</v>
      </c>
    </row>
    <row r="1176" spans="1:12">
      <c r="A1176" s="2" t="s">
        <v>1912</v>
      </c>
      <c r="B1176" s="3">
        <v>46265</v>
      </c>
      <c r="C1176" s="2" t="s">
        <v>1300</v>
      </c>
      <c r="D1176" s="2" t="s">
        <v>54</v>
      </c>
      <c r="E1176" s="2" t="s">
        <v>43</v>
      </c>
      <c r="F1176" s="2" t="s">
        <v>3</v>
      </c>
      <c r="G1176" s="4">
        <v>34800</v>
      </c>
      <c r="H1176" s="5">
        <v>7.1300000000000002E-2</v>
      </c>
      <c r="I1176" s="2">
        <v>24</v>
      </c>
      <c r="J1176" s="2" t="s">
        <v>186</v>
      </c>
      <c r="K1176" s="2" t="s">
        <v>17</v>
      </c>
      <c r="L1176" s="3">
        <v>46286</v>
      </c>
    </row>
    <row r="1177" spans="1:12">
      <c r="A1177" s="2" t="s">
        <v>1913</v>
      </c>
      <c r="B1177" s="3">
        <v>46265</v>
      </c>
      <c r="C1177" s="2" t="s">
        <v>1413</v>
      </c>
      <c r="D1177" s="2" t="s">
        <v>29</v>
      </c>
      <c r="E1177" s="2" t="s">
        <v>30</v>
      </c>
      <c r="F1177" s="2" t="s">
        <v>31</v>
      </c>
      <c r="G1177" s="4">
        <v>13400</v>
      </c>
      <c r="H1177" s="5">
        <v>4.7300000000000002E-2</v>
      </c>
      <c r="I1177" s="2">
        <v>48</v>
      </c>
      <c r="J1177" s="2" t="s">
        <v>61</v>
      </c>
      <c r="K1177" s="2" t="s">
        <v>17</v>
      </c>
      <c r="L1177" s="3">
        <v>46266</v>
      </c>
    </row>
    <row r="1178" spans="1:12">
      <c r="A1178" s="2" t="s">
        <v>1914</v>
      </c>
      <c r="B1178" s="3">
        <v>46266</v>
      </c>
      <c r="C1178" s="2" t="s">
        <v>571</v>
      </c>
      <c r="D1178" s="2" t="s">
        <v>20</v>
      </c>
      <c r="E1178" s="2" t="s">
        <v>21</v>
      </c>
      <c r="F1178" s="2" t="s">
        <v>55</v>
      </c>
      <c r="G1178" s="4">
        <v>50000</v>
      </c>
      <c r="H1178" s="5">
        <v>4.2999999999999997E-2</v>
      </c>
      <c r="I1178" s="2">
        <v>180</v>
      </c>
      <c r="J1178" s="2" t="s">
        <v>44</v>
      </c>
      <c r="K1178" s="2" t="s">
        <v>17</v>
      </c>
      <c r="L1178" s="3">
        <v>46282</v>
      </c>
    </row>
    <row r="1179" spans="1:12">
      <c r="A1179" s="2" t="s">
        <v>1915</v>
      </c>
      <c r="B1179" s="3">
        <v>46266</v>
      </c>
      <c r="C1179" s="2" t="s">
        <v>1510</v>
      </c>
      <c r="D1179" s="2" t="s">
        <v>25</v>
      </c>
      <c r="E1179" s="2" t="s">
        <v>15</v>
      </c>
      <c r="F1179" s="2" t="s">
        <v>31</v>
      </c>
      <c r="G1179" s="4">
        <v>17600</v>
      </c>
      <c r="H1179" s="5">
        <v>5.6800000000000003E-2</v>
      </c>
      <c r="I1179" s="2">
        <v>12</v>
      </c>
      <c r="J1179" s="2" t="s">
        <v>66</v>
      </c>
      <c r="K1179" s="2" t="s">
        <v>1916</v>
      </c>
      <c r="L1179" s="2"/>
    </row>
    <row r="1180" spans="1:12">
      <c r="A1180" s="2" t="s">
        <v>1917</v>
      </c>
      <c r="B1180" s="3">
        <v>46266</v>
      </c>
      <c r="C1180" s="2" t="s">
        <v>1918</v>
      </c>
      <c r="D1180" s="2" t="s">
        <v>20</v>
      </c>
      <c r="E1180" s="2" t="s">
        <v>945</v>
      </c>
      <c r="F1180" s="2" t="s">
        <v>31</v>
      </c>
      <c r="G1180" s="4">
        <v>246200</v>
      </c>
      <c r="H1180" s="5">
        <v>3.32E-2</v>
      </c>
      <c r="I1180" s="2">
        <v>120</v>
      </c>
      <c r="J1180" s="2" t="s">
        <v>22</v>
      </c>
      <c r="K1180" s="2" t="s">
        <v>17</v>
      </c>
      <c r="L1180" s="3">
        <v>46293</v>
      </c>
    </row>
    <row r="1181" spans="1:12">
      <c r="A1181" s="2" t="s">
        <v>1919</v>
      </c>
      <c r="B1181" s="3">
        <v>46266</v>
      </c>
      <c r="C1181" s="2" t="s">
        <v>1145</v>
      </c>
      <c r="D1181" s="2" t="s">
        <v>54</v>
      </c>
      <c r="E1181" s="2" t="s">
        <v>30</v>
      </c>
      <c r="F1181" s="2" t="s">
        <v>31</v>
      </c>
      <c r="G1181" s="4">
        <v>17400</v>
      </c>
      <c r="H1181" s="5">
        <v>4.2999999999999997E-2</v>
      </c>
      <c r="I1181" s="2">
        <v>36</v>
      </c>
      <c r="J1181" s="2" t="s">
        <v>56</v>
      </c>
      <c r="K1181" s="2" t="s">
        <v>17</v>
      </c>
      <c r="L1181" s="3">
        <v>46269</v>
      </c>
    </row>
    <row r="1182" spans="1:12">
      <c r="A1182" s="2" t="s">
        <v>1920</v>
      </c>
      <c r="B1182" s="3">
        <v>46266</v>
      </c>
      <c r="C1182" s="2" t="s">
        <v>1921</v>
      </c>
      <c r="D1182" s="2" t="s">
        <v>29</v>
      </c>
      <c r="E1182" s="2" t="s">
        <v>21</v>
      </c>
      <c r="F1182" s="2" t="s">
        <v>31</v>
      </c>
      <c r="G1182" s="4">
        <v>190000</v>
      </c>
      <c r="H1182" s="5">
        <v>3.9E-2</v>
      </c>
      <c r="I1182" s="2">
        <v>300</v>
      </c>
      <c r="J1182" s="2" t="s">
        <v>32</v>
      </c>
      <c r="K1182" s="2" t="s">
        <v>45</v>
      </c>
      <c r="L1182" s="3">
        <v>46283</v>
      </c>
    </row>
    <row r="1183" spans="1:12">
      <c r="A1183" s="2" t="s">
        <v>1922</v>
      </c>
      <c r="B1183" s="3">
        <v>46266</v>
      </c>
      <c r="C1183" s="2" t="s">
        <v>1923</v>
      </c>
      <c r="D1183" s="2" t="s">
        <v>29</v>
      </c>
      <c r="E1183" s="2" t="s">
        <v>30</v>
      </c>
      <c r="F1183" s="2" t="s">
        <v>3</v>
      </c>
      <c r="G1183" s="2"/>
      <c r="H1183" s="5">
        <v>4.65E-2</v>
      </c>
      <c r="I1183" s="2">
        <v>60</v>
      </c>
      <c r="J1183" s="2" t="s">
        <v>61</v>
      </c>
      <c r="K1183" s="2" t="s">
        <v>17</v>
      </c>
      <c r="L1183" s="3">
        <v>46268</v>
      </c>
    </row>
    <row r="1184" spans="1:12">
      <c r="A1184" s="2" t="s">
        <v>1924</v>
      </c>
      <c r="B1184" s="3">
        <v>46266</v>
      </c>
      <c r="C1184" s="2" t="s">
        <v>1925</v>
      </c>
      <c r="D1184" s="2" t="s">
        <v>20</v>
      </c>
      <c r="E1184" s="2" t="s">
        <v>43</v>
      </c>
      <c r="F1184" s="2" t="s">
        <v>3</v>
      </c>
      <c r="G1184" s="4">
        <v>75400</v>
      </c>
      <c r="H1184" s="5">
        <v>5.5100000000000003E-2</v>
      </c>
      <c r="I1184" s="2">
        <v>84</v>
      </c>
      <c r="J1184" s="2" t="s">
        <v>44</v>
      </c>
      <c r="K1184" s="2" t="s">
        <v>17</v>
      </c>
      <c r="L1184" s="3">
        <v>46282</v>
      </c>
    </row>
    <row r="1185" spans="1:12">
      <c r="A1185" s="2" t="s">
        <v>1926</v>
      </c>
      <c r="B1185" s="3">
        <v>46266</v>
      </c>
      <c r="C1185" s="2" t="s">
        <v>755</v>
      </c>
      <c r="D1185" s="2" t="s">
        <v>14</v>
      </c>
      <c r="E1185" s="2" t="s">
        <v>15</v>
      </c>
      <c r="F1185" s="2" t="s">
        <v>31</v>
      </c>
      <c r="G1185" s="4">
        <v>11000</v>
      </c>
      <c r="H1185" s="5">
        <v>6.7299999999999999E-2</v>
      </c>
      <c r="I1185" s="2">
        <v>24</v>
      </c>
      <c r="J1185" s="2" t="s">
        <v>40</v>
      </c>
      <c r="K1185" s="2" t="s">
        <v>17</v>
      </c>
      <c r="L1185" s="3">
        <v>46267</v>
      </c>
    </row>
    <row r="1186" spans="1:12">
      <c r="A1186" s="2" t="s">
        <v>1927</v>
      </c>
      <c r="B1186" s="3">
        <v>46267</v>
      </c>
      <c r="C1186" s="2" t="s">
        <v>1928</v>
      </c>
      <c r="D1186" s="2" t="s">
        <v>54</v>
      </c>
      <c r="E1186" s="2" t="s">
        <v>21</v>
      </c>
      <c r="F1186" s="2" t="s">
        <v>31</v>
      </c>
      <c r="G1186" s="4">
        <v>182300</v>
      </c>
      <c r="H1186" s="5">
        <v>4.4900000000000002E-2</v>
      </c>
      <c r="I1186" s="2">
        <v>300</v>
      </c>
      <c r="J1186" s="2" t="s">
        <v>56</v>
      </c>
      <c r="K1186" s="2" t="s">
        <v>45</v>
      </c>
      <c r="L1186" s="3">
        <v>46276</v>
      </c>
    </row>
    <row r="1187" spans="1:12">
      <c r="A1187" s="2" t="s">
        <v>1929</v>
      </c>
      <c r="B1187" s="3">
        <v>46267</v>
      </c>
      <c r="C1187" s="2" t="s">
        <v>996</v>
      </c>
      <c r="D1187" s="2" t="s">
        <v>29</v>
      </c>
      <c r="E1187" s="2" t="s">
        <v>43</v>
      </c>
      <c r="F1187" s="2" t="s">
        <v>55</v>
      </c>
      <c r="G1187" s="4">
        <v>61100</v>
      </c>
      <c r="H1187" s="5">
        <v>7.2300000000000003E-2</v>
      </c>
      <c r="I1187" s="2">
        <v>60</v>
      </c>
      <c r="J1187" s="2" t="s">
        <v>123</v>
      </c>
      <c r="K1187" s="2" t="s">
        <v>45</v>
      </c>
      <c r="L1187" s="3">
        <v>46281</v>
      </c>
    </row>
    <row r="1188" spans="1:12">
      <c r="A1188" s="2" t="s">
        <v>1930</v>
      </c>
      <c r="B1188" s="3">
        <v>46267</v>
      </c>
      <c r="C1188" s="2" t="s">
        <v>370</v>
      </c>
      <c r="D1188" s="2" t="s">
        <v>29</v>
      </c>
      <c r="E1188" s="2" t="s">
        <v>15</v>
      </c>
      <c r="F1188" s="2" t="s">
        <v>55</v>
      </c>
      <c r="G1188" s="4">
        <v>23900</v>
      </c>
      <c r="H1188" s="5">
        <v>5.8400000000000001E-2</v>
      </c>
      <c r="I1188" s="2">
        <v>12</v>
      </c>
      <c r="J1188" s="2" t="s">
        <v>32</v>
      </c>
      <c r="K1188" s="2" t="s">
        <v>17</v>
      </c>
      <c r="L1188" s="3">
        <v>46274</v>
      </c>
    </row>
    <row r="1189" spans="1:12">
      <c r="A1189" s="2" t="s">
        <v>1931</v>
      </c>
      <c r="B1189" s="3">
        <v>46268</v>
      </c>
      <c r="C1189" s="2" t="s">
        <v>1932</v>
      </c>
      <c r="D1189" s="2" t="s">
        <v>25</v>
      </c>
      <c r="E1189" s="2" t="s">
        <v>30</v>
      </c>
      <c r="F1189" s="2" t="s">
        <v>3</v>
      </c>
      <c r="G1189" s="4">
        <v>4800</v>
      </c>
      <c r="H1189" s="5">
        <v>3.7699999999999997E-2</v>
      </c>
      <c r="I1189" s="2">
        <v>60</v>
      </c>
      <c r="J1189" s="2" t="s">
        <v>66</v>
      </c>
      <c r="K1189" s="2" t="s">
        <v>17</v>
      </c>
      <c r="L1189" s="3">
        <v>46273</v>
      </c>
    </row>
    <row r="1190" spans="1:12">
      <c r="A1190" s="2" t="s">
        <v>1933</v>
      </c>
      <c r="B1190" s="3">
        <v>46268</v>
      </c>
      <c r="C1190" s="2" t="s">
        <v>34</v>
      </c>
      <c r="D1190" s="2" t="s">
        <v>14</v>
      </c>
      <c r="E1190" s="2" t="s">
        <v>43</v>
      </c>
      <c r="F1190" s="2" t="s">
        <v>3</v>
      </c>
      <c r="G1190" s="4">
        <v>52000</v>
      </c>
      <c r="H1190" s="5">
        <v>7.0099999999999996E-2</v>
      </c>
      <c r="I1190" s="2">
        <v>60</v>
      </c>
      <c r="J1190" s="2" t="s">
        <v>40</v>
      </c>
      <c r="K1190" s="2" t="s">
        <v>17</v>
      </c>
      <c r="L1190" s="3">
        <v>46288</v>
      </c>
    </row>
    <row r="1191" spans="1:12">
      <c r="A1191" s="2" t="s">
        <v>1934</v>
      </c>
      <c r="B1191" s="3">
        <v>46268</v>
      </c>
      <c r="C1191" s="2" t="s">
        <v>1935</v>
      </c>
      <c r="D1191" s="2" t="s">
        <v>25</v>
      </c>
      <c r="E1191" s="2" t="s">
        <v>15</v>
      </c>
      <c r="F1191" s="2" t="s">
        <v>3</v>
      </c>
      <c r="G1191" s="4">
        <v>11700</v>
      </c>
      <c r="H1191" s="5">
        <v>5.4199999999999998E-2</v>
      </c>
      <c r="I1191" s="2">
        <v>36</v>
      </c>
      <c r="J1191" s="2" t="s">
        <v>66</v>
      </c>
      <c r="K1191" s="2" t="s">
        <v>17</v>
      </c>
      <c r="L1191" s="3">
        <v>46270</v>
      </c>
    </row>
    <row r="1192" spans="1:12">
      <c r="A1192" s="2" t="s">
        <v>1936</v>
      </c>
      <c r="B1192" s="3">
        <v>46268</v>
      </c>
      <c r="C1192" s="2" t="s">
        <v>1759</v>
      </c>
      <c r="D1192" s="2" t="s">
        <v>29</v>
      </c>
      <c r="E1192" s="2" t="s">
        <v>30</v>
      </c>
      <c r="F1192" s="2" t="s">
        <v>656</v>
      </c>
      <c r="G1192" s="4">
        <v>13900</v>
      </c>
      <c r="H1192" s="5">
        <v>4.8599999999999997E-2</v>
      </c>
      <c r="I1192" s="2">
        <v>36</v>
      </c>
      <c r="J1192" s="2" t="s">
        <v>32</v>
      </c>
      <c r="K1192" s="2" t="s">
        <v>45</v>
      </c>
      <c r="L1192" s="3">
        <v>46270</v>
      </c>
    </row>
    <row r="1193" spans="1:12">
      <c r="A1193" s="2" t="s">
        <v>1937</v>
      </c>
      <c r="B1193" s="3">
        <v>46269</v>
      </c>
      <c r="C1193" s="2" t="s">
        <v>771</v>
      </c>
      <c r="D1193" s="2" t="s">
        <v>29</v>
      </c>
      <c r="E1193" s="2" t="s">
        <v>21</v>
      </c>
      <c r="F1193" s="2" t="s">
        <v>31</v>
      </c>
      <c r="G1193" s="4">
        <v>118700</v>
      </c>
      <c r="H1193" s="5">
        <v>3.0700000000000002E-2</v>
      </c>
      <c r="I1193" s="2">
        <v>120</v>
      </c>
      <c r="J1193" s="2" t="s">
        <v>123</v>
      </c>
      <c r="K1193" s="2" t="s">
        <v>17</v>
      </c>
      <c r="L1193" s="3">
        <v>46297</v>
      </c>
    </row>
    <row r="1194" spans="1:12">
      <c r="A1194" s="2" t="s">
        <v>1938</v>
      </c>
      <c r="B1194" s="3">
        <v>46269</v>
      </c>
      <c r="C1194" s="2" t="s">
        <v>709</v>
      </c>
      <c r="D1194" s="2" t="s">
        <v>20</v>
      </c>
      <c r="E1194" s="2" t="s">
        <v>30</v>
      </c>
      <c r="F1194" s="2" t="s">
        <v>3</v>
      </c>
      <c r="G1194" s="4">
        <v>4100</v>
      </c>
      <c r="H1194" s="5">
        <v>3.73E-2</v>
      </c>
      <c r="I1194" s="2">
        <v>48</v>
      </c>
      <c r="J1194" s="2" t="s">
        <v>37</v>
      </c>
      <c r="K1194" s="2" t="s">
        <v>17</v>
      </c>
      <c r="L1194" s="3">
        <v>46272</v>
      </c>
    </row>
    <row r="1195" spans="1:12">
      <c r="A1195" s="2" t="s">
        <v>1939</v>
      </c>
      <c r="B1195" s="3">
        <v>46269</v>
      </c>
      <c r="C1195" s="2" t="s">
        <v>1940</v>
      </c>
      <c r="D1195" s="2" t="s">
        <v>20</v>
      </c>
      <c r="E1195" s="2" t="s">
        <v>43</v>
      </c>
      <c r="F1195" s="2" t="s">
        <v>31</v>
      </c>
      <c r="G1195" s="4">
        <v>31100</v>
      </c>
      <c r="H1195" s="5">
        <v>6.2199999999999998E-2</v>
      </c>
      <c r="I1195" s="2">
        <v>84</v>
      </c>
      <c r="J1195" s="2" t="s">
        <v>22</v>
      </c>
      <c r="K1195" s="2" t="s">
        <v>45</v>
      </c>
      <c r="L1195" s="3">
        <v>46283</v>
      </c>
    </row>
    <row r="1196" spans="1:12">
      <c r="A1196" s="2" t="s">
        <v>1941</v>
      </c>
      <c r="B1196" s="3">
        <v>46269</v>
      </c>
      <c r="C1196" s="2" t="s">
        <v>1213</v>
      </c>
      <c r="D1196" s="2" t="s">
        <v>29</v>
      </c>
      <c r="E1196" s="2" t="s">
        <v>30</v>
      </c>
      <c r="F1196" s="2" t="s">
        <v>31</v>
      </c>
      <c r="G1196" s="4">
        <v>7900</v>
      </c>
      <c r="H1196" s="5">
        <v>3.8300000000000001E-2</v>
      </c>
      <c r="I1196" s="2">
        <v>60</v>
      </c>
      <c r="J1196" s="2" t="s">
        <v>61</v>
      </c>
      <c r="K1196" s="2" t="s">
        <v>45</v>
      </c>
      <c r="L1196" s="3">
        <v>46272</v>
      </c>
    </row>
    <row r="1197" spans="1:12">
      <c r="A1197" s="2" t="s">
        <v>1942</v>
      </c>
      <c r="B1197" s="3">
        <v>46269</v>
      </c>
      <c r="C1197" s="2" t="s">
        <v>1369</v>
      </c>
      <c r="D1197" s="2" t="s">
        <v>25</v>
      </c>
      <c r="E1197" s="2" t="s">
        <v>43</v>
      </c>
      <c r="F1197" s="2" t="s">
        <v>3</v>
      </c>
      <c r="G1197" s="4">
        <v>79800</v>
      </c>
      <c r="H1197" s="5">
        <v>5.8900000000000001E-2</v>
      </c>
      <c r="I1197" s="2">
        <v>36</v>
      </c>
      <c r="J1197" s="2" t="s">
        <v>181</v>
      </c>
      <c r="K1197" s="2" t="s">
        <v>45</v>
      </c>
      <c r="L1197" s="3">
        <v>46276</v>
      </c>
    </row>
    <row r="1198" spans="1:12">
      <c r="A1198" s="2" t="s">
        <v>1943</v>
      </c>
      <c r="B1198" s="3">
        <v>46270</v>
      </c>
      <c r="C1198" s="2" t="s">
        <v>849</v>
      </c>
      <c r="D1198" s="2" t="s">
        <v>14</v>
      </c>
      <c r="E1198" s="2" t="s">
        <v>15</v>
      </c>
      <c r="F1198" s="2" t="s">
        <v>31</v>
      </c>
      <c r="G1198" s="4">
        <v>19400</v>
      </c>
      <c r="H1198" s="5">
        <v>6.7000000000000004E-2</v>
      </c>
      <c r="I1198" s="2">
        <v>60</v>
      </c>
      <c r="J1198" s="2" t="s">
        <v>16</v>
      </c>
      <c r="K1198" s="2" t="s">
        <v>45</v>
      </c>
      <c r="L1198" s="3">
        <v>46276</v>
      </c>
    </row>
    <row r="1199" spans="1:12">
      <c r="A1199" s="2" t="s">
        <v>1944</v>
      </c>
      <c r="B1199" s="3">
        <v>46270</v>
      </c>
      <c r="C1199" s="2" t="s">
        <v>1945</v>
      </c>
      <c r="D1199" s="2" t="s">
        <v>14</v>
      </c>
      <c r="E1199" s="2" t="s">
        <v>160</v>
      </c>
      <c r="F1199" s="2" t="s">
        <v>55</v>
      </c>
      <c r="G1199" s="4">
        <v>15100</v>
      </c>
      <c r="H1199" s="5">
        <v>4.9399999999999999E-2</v>
      </c>
      <c r="I1199" s="2">
        <v>60</v>
      </c>
      <c r="J1199" s="2" t="s">
        <v>16</v>
      </c>
      <c r="K1199" s="2" t="s">
        <v>1916</v>
      </c>
      <c r="L1199" s="2"/>
    </row>
    <row r="1200" spans="1:12">
      <c r="A1200" s="2" t="s">
        <v>1946</v>
      </c>
      <c r="B1200" s="3">
        <v>46270</v>
      </c>
      <c r="C1200" s="2" t="s">
        <v>439</v>
      </c>
      <c r="D1200" s="2" t="s">
        <v>29</v>
      </c>
      <c r="E1200" s="2" t="s">
        <v>15</v>
      </c>
      <c r="F1200" s="2" t="s">
        <v>3</v>
      </c>
      <c r="G1200" s="4">
        <v>13700</v>
      </c>
      <c r="H1200" s="5">
        <v>6.1499999999999999E-2</v>
      </c>
      <c r="I1200" s="2">
        <v>60</v>
      </c>
      <c r="J1200" s="2" t="s">
        <v>32</v>
      </c>
      <c r="K1200" s="2" t="s">
        <v>17</v>
      </c>
      <c r="L1200" s="3">
        <v>46271</v>
      </c>
    </row>
    <row r="1201" spans="1:12">
      <c r="A1201" s="2" t="s">
        <v>1947</v>
      </c>
      <c r="B1201" s="3">
        <v>46271</v>
      </c>
      <c r="C1201" s="2" t="s">
        <v>1948</v>
      </c>
      <c r="D1201" s="2" t="s">
        <v>71</v>
      </c>
      <c r="E1201" s="2" t="s">
        <v>21</v>
      </c>
      <c r="F1201" s="2" t="s">
        <v>31</v>
      </c>
      <c r="G1201" s="4">
        <v>174500</v>
      </c>
      <c r="H1201" s="5">
        <v>3.9600000000000003E-2</v>
      </c>
      <c r="I1201" s="2">
        <v>180</v>
      </c>
      <c r="J1201" s="2" t="s">
        <v>72</v>
      </c>
      <c r="K1201" s="2" t="s">
        <v>45</v>
      </c>
      <c r="L1201" s="3">
        <v>46296</v>
      </c>
    </row>
    <row r="1202" spans="1:12">
      <c r="A1202" s="2" t="s">
        <v>1949</v>
      </c>
      <c r="B1202" s="3">
        <v>46271</v>
      </c>
      <c r="C1202" s="2" t="s">
        <v>796</v>
      </c>
      <c r="D1202" s="2" t="s">
        <v>25</v>
      </c>
      <c r="E1202" s="2" t="s">
        <v>30</v>
      </c>
      <c r="F1202" s="2" t="s">
        <v>55</v>
      </c>
      <c r="G1202" s="4">
        <v>14100</v>
      </c>
      <c r="H1202" s="5">
        <v>4.3799999999999999E-2</v>
      </c>
      <c r="I1202" s="2">
        <v>36</v>
      </c>
      <c r="J1202" s="2" t="s">
        <v>26</v>
      </c>
      <c r="K1202" s="2" t="s">
        <v>17</v>
      </c>
      <c r="L1202" s="3">
        <v>46275</v>
      </c>
    </row>
    <row r="1203" spans="1:12">
      <c r="A1203" s="2" t="s">
        <v>1950</v>
      </c>
      <c r="B1203" s="3">
        <v>46271</v>
      </c>
      <c r="C1203" s="2" t="s">
        <v>1951</v>
      </c>
      <c r="D1203" s="2" t="s">
        <v>25</v>
      </c>
      <c r="E1203" s="2" t="s">
        <v>30</v>
      </c>
      <c r="F1203" s="2" t="s">
        <v>31</v>
      </c>
      <c r="G1203" s="4">
        <v>16700</v>
      </c>
      <c r="H1203" s="5">
        <v>4.9299999999999997E-2</v>
      </c>
      <c r="I1203" s="2">
        <v>60</v>
      </c>
      <c r="J1203" s="2" t="s">
        <v>181</v>
      </c>
      <c r="K1203" s="2" t="s">
        <v>17</v>
      </c>
      <c r="L1203" s="3">
        <v>46272</v>
      </c>
    </row>
    <row r="1204" spans="1:12">
      <c r="A1204" s="2" t="s">
        <v>1952</v>
      </c>
      <c r="B1204" s="3">
        <v>46272</v>
      </c>
      <c r="C1204" s="2" t="s">
        <v>1953</v>
      </c>
      <c r="D1204" s="2" t="s">
        <v>14</v>
      </c>
      <c r="E1204" s="2" t="s">
        <v>21</v>
      </c>
      <c r="F1204" s="2" t="s">
        <v>3</v>
      </c>
      <c r="G1204" s="4">
        <v>177800</v>
      </c>
      <c r="H1204" s="5">
        <v>4.3799999999999999E-2</v>
      </c>
      <c r="I1204" s="2">
        <v>180</v>
      </c>
      <c r="J1204" s="2" t="s">
        <v>16</v>
      </c>
      <c r="K1204" s="2" t="s">
        <v>45</v>
      </c>
      <c r="L1204" s="3">
        <v>46297</v>
      </c>
    </row>
    <row r="1205" spans="1:12">
      <c r="A1205" s="2" t="s">
        <v>1954</v>
      </c>
      <c r="B1205" s="3">
        <v>46272</v>
      </c>
      <c r="C1205" s="2" t="s">
        <v>1567</v>
      </c>
      <c r="D1205" s="2" t="s">
        <v>20</v>
      </c>
      <c r="E1205" s="2" t="s">
        <v>30</v>
      </c>
      <c r="F1205" s="2" t="s">
        <v>31</v>
      </c>
      <c r="G1205" s="4">
        <v>8700</v>
      </c>
      <c r="H1205" s="5">
        <v>4.99E-2</v>
      </c>
      <c r="I1205" s="2">
        <v>36</v>
      </c>
      <c r="J1205" s="2" t="s">
        <v>37</v>
      </c>
      <c r="K1205" s="2" t="s">
        <v>17</v>
      </c>
      <c r="L1205" s="3">
        <v>46276</v>
      </c>
    </row>
    <row r="1206" spans="1:12">
      <c r="A1206" s="2" t="s">
        <v>1955</v>
      </c>
      <c r="B1206" s="3">
        <v>46272</v>
      </c>
      <c r="C1206" s="2" t="s">
        <v>1956</v>
      </c>
      <c r="D1206" s="2" t="s">
        <v>14</v>
      </c>
      <c r="E1206" s="2" t="s">
        <v>30</v>
      </c>
      <c r="F1206" s="2" t="s">
        <v>55</v>
      </c>
      <c r="G1206" s="4">
        <v>5800</v>
      </c>
      <c r="H1206" s="5">
        <v>4.3299999999999998E-2</v>
      </c>
      <c r="I1206" s="2">
        <v>36</v>
      </c>
      <c r="J1206" s="2" t="s">
        <v>40</v>
      </c>
      <c r="K1206" s="2" t="s">
        <v>1916</v>
      </c>
      <c r="L1206" s="2"/>
    </row>
    <row r="1207" spans="1:12">
      <c r="A1207" s="2" t="s">
        <v>1957</v>
      </c>
      <c r="B1207" s="3">
        <v>46272</v>
      </c>
      <c r="C1207" s="2" t="s">
        <v>1026</v>
      </c>
      <c r="D1207" s="2" t="s">
        <v>25</v>
      </c>
      <c r="E1207" s="2" t="s">
        <v>43</v>
      </c>
      <c r="F1207" s="2" t="s">
        <v>3</v>
      </c>
      <c r="G1207" s="4">
        <v>76700</v>
      </c>
      <c r="H1207" s="5">
        <v>6.1400000000000003E-2</v>
      </c>
      <c r="I1207" s="2">
        <v>84</v>
      </c>
      <c r="J1207" s="2" t="s">
        <v>181</v>
      </c>
      <c r="K1207" s="2" t="s">
        <v>1916</v>
      </c>
      <c r="L1207" s="2"/>
    </row>
    <row r="1208" spans="1:12">
      <c r="A1208" s="2" t="s">
        <v>1958</v>
      </c>
      <c r="B1208" s="3">
        <v>46272</v>
      </c>
      <c r="C1208" s="2" t="s">
        <v>1959</v>
      </c>
      <c r="D1208" s="2" t="s">
        <v>71</v>
      </c>
      <c r="E1208" s="2" t="s">
        <v>340</v>
      </c>
      <c r="F1208" s="2" t="s">
        <v>55</v>
      </c>
      <c r="G1208" s="4">
        <v>10900</v>
      </c>
      <c r="H1208" s="5">
        <v>6.4600000000000005E-2</v>
      </c>
      <c r="I1208" s="2">
        <v>48</v>
      </c>
      <c r="J1208" s="2" t="s">
        <v>94</v>
      </c>
      <c r="K1208" s="2" t="s">
        <v>17</v>
      </c>
      <c r="L1208" s="3">
        <v>46278</v>
      </c>
    </row>
    <row r="1209" spans="1:12">
      <c r="A1209" s="2" t="s">
        <v>1960</v>
      </c>
      <c r="B1209" s="3">
        <v>46272</v>
      </c>
      <c r="C1209" s="2" t="s">
        <v>1659</v>
      </c>
      <c r="D1209" s="2" t="s">
        <v>29</v>
      </c>
      <c r="E1209" s="2" t="s">
        <v>15</v>
      </c>
      <c r="F1209" s="2" t="s">
        <v>31</v>
      </c>
      <c r="G1209" s="4">
        <v>20500</v>
      </c>
      <c r="H1209" s="5">
        <v>6.4299999999999996E-2</v>
      </c>
      <c r="I1209" s="2">
        <v>36</v>
      </c>
      <c r="J1209" s="2" t="s">
        <v>32</v>
      </c>
      <c r="K1209" s="2" t="s">
        <v>17</v>
      </c>
      <c r="L1209" s="3">
        <v>46277</v>
      </c>
    </row>
    <row r="1210" spans="1:12">
      <c r="A1210" s="2" t="s">
        <v>1961</v>
      </c>
      <c r="B1210" s="3">
        <v>46272</v>
      </c>
      <c r="C1210" s="2" t="s">
        <v>1962</v>
      </c>
      <c r="D1210" s="2" t="s">
        <v>25</v>
      </c>
      <c r="E1210" s="2" t="s">
        <v>30</v>
      </c>
      <c r="F1210" s="2" t="s">
        <v>31</v>
      </c>
      <c r="G1210" s="4">
        <v>5100</v>
      </c>
      <c r="H1210" s="5">
        <v>4.36E-2</v>
      </c>
      <c r="I1210" s="2">
        <v>36</v>
      </c>
      <c r="J1210" s="2" t="s">
        <v>181</v>
      </c>
      <c r="K1210" s="2" t="s">
        <v>17</v>
      </c>
      <c r="L1210" s="3">
        <v>46273</v>
      </c>
    </row>
    <row r="1211" spans="1:12">
      <c r="A1211" s="2" t="s">
        <v>1963</v>
      </c>
      <c r="B1211" s="3">
        <v>46273</v>
      </c>
      <c r="C1211" s="2" t="s">
        <v>1964</v>
      </c>
      <c r="D1211" s="2" t="s">
        <v>14</v>
      </c>
      <c r="E1211" s="2" t="s">
        <v>30</v>
      </c>
      <c r="F1211" s="2" t="s">
        <v>55</v>
      </c>
      <c r="G1211" s="4">
        <v>11200</v>
      </c>
      <c r="H1211" s="5">
        <v>4.7800000000000002E-2</v>
      </c>
      <c r="I1211" s="2">
        <v>48</v>
      </c>
      <c r="J1211" s="2" t="s">
        <v>16</v>
      </c>
      <c r="K1211" s="2" t="s">
        <v>17</v>
      </c>
      <c r="L1211" s="3">
        <v>46277</v>
      </c>
    </row>
    <row r="1212" spans="1:12">
      <c r="A1212" s="2" t="s">
        <v>1965</v>
      </c>
      <c r="B1212" s="3">
        <v>46273</v>
      </c>
      <c r="C1212" s="2" t="s">
        <v>1493</v>
      </c>
      <c r="D1212" s="2" t="s">
        <v>20</v>
      </c>
      <c r="E1212" s="2" t="s">
        <v>15</v>
      </c>
      <c r="F1212" s="2" t="s">
        <v>31</v>
      </c>
      <c r="G1212" s="4">
        <v>22000</v>
      </c>
      <c r="H1212" s="5">
        <v>6.59E-2</v>
      </c>
      <c r="I1212" s="2">
        <v>60</v>
      </c>
      <c r="J1212" s="2" t="s">
        <v>44</v>
      </c>
      <c r="K1212" s="2" t="s">
        <v>1916</v>
      </c>
      <c r="L1212" s="2"/>
    </row>
    <row r="1213" spans="1:12">
      <c r="A1213" s="2" t="s">
        <v>1966</v>
      </c>
      <c r="B1213" s="3">
        <v>46273</v>
      </c>
      <c r="C1213" s="2" t="s">
        <v>1967</v>
      </c>
      <c r="D1213" s="2" t="s">
        <v>25</v>
      </c>
      <c r="E1213" s="2" t="s">
        <v>30</v>
      </c>
      <c r="F1213" s="2" t="s">
        <v>31</v>
      </c>
      <c r="G1213" s="4">
        <v>18000</v>
      </c>
      <c r="H1213" s="5">
        <v>4.36E-2</v>
      </c>
      <c r="I1213" s="2">
        <v>60</v>
      </c>
      <c r="J1213" s="2" t="s">
        <v>181</v>
      </c>
      <c r="K1213" s="2" t="s">
        <v>17</v>
      </c>
      <c r="L1213" s="3">
        <v>46274</v>
      </c>
    </row>
    <row r="1214" spans="1:12">
      <c r="A1214" s="2" t="s">
        <v>1968</v>
      </c>
      <c r="B1214" s="3">
        <v>46273</v>
      </c>
      <c r="C1214" s="2" t="s">
        <v>607</v>
      </c>
      <c r="D1214" s="2" t="s">
        <v>14</v>
      </c>
      <c r="E1214" s="2" t="s">
        <v>30</v>
      </c>
      <c r="F1214" s="2" t="s">
        <v>3</v>
      </c>
      <c r="G1214" s="4">
        <v>14800</v>
      </c>
      <c r="H1214" s="5">
        <v>3.6900000000000002E-2</v>
      </c>
      <c r="I1214" s="2">
        <v>48</v>
      </c>
      <c r="J1214" s="2" t="s">
        <v>40</v>
      </c>
      <c r="K1214" s="2" t="s">
        <v>1916</v>
      </c>
      <c r="L1214" s="2"/>
    </row>
    <row r="1215" spans="1:12">
      <c r="A1215" s="2" t="s">
        <v>1969</v>
      </c>
      <c r="B1215" s="3">
        <v>46273</v>
      </c>
      <c r="C1215" s="2" t="s">
        <v>337</v>
      </c>
      <c r="D1215" s="2" t="s">
        <v>20</v>
      </c>
      <c r="E1215" s="2" t="s">
        <v>21</v>
      </c>
      <c r="F1215" s="2" t="s">
        <v>3</v>
      </c>
      <c r="G1215" s="4">
        <v>117000</v>
      </c>
      <c r="H1215" s="5">
        <v>3.9300000000000002E-2</v>
      </c>
      <c r="I1215" s="2">
        <v>300</v>
      </c>
      <c r="J1215" s="2" t="s">
        <v>22</v>
      </c>
      <c r="K1215" s="2" t="s">
        <v>17</v>
      </c>
      <c r="L1215" s="3">
        <v>46294</v>
      </c>
    </row>
    <row r="1216" spans="1:12">
      <c r="A1216" s="2" t="s">
        <v>1970</v>
      </c>
      <c r="B1216" s="3">
        <v>46273</v>
      </c>
      <c r="C1216" s="2" t="s">
        <v>571</v>
      </c>
      <c r="D1216" s="2" t="s">
        <v>20</v>
      </c>
      <c r="E1216" s="2" t="s">
        <v>110</v>
      </c>
      <c r="F1216" s="2" t="s">
        <v>31</v>
      </c>
      <c r="G1216" s="4">
        <v>131500</v>
      </c>
      <c r="H1216" s="5">
        <v>7.1900000000000006E-2</v>
      </c>
      <c r="I1216" s="2">
        <v>60</v>
      </c>
      <c r="J1216" s="2" t="s">
        <v>44</v>
      </c>
      <c r="K1216" s="2" t="s">
        <v>17</v>
      </c>
      <c r="L1216" s="3">
        <v>46291</v>
      </c>
    </row>
    <row r="1217" spans="1:12">
      <c r="A1217" s="2" t="s">
        <v>1971</v>
      </c>
      <c r="B1217" s="3">
        <v>46274</v>
      </c>
      <c r="C1217" s="2" t="s">
        <v>896</v>
      </c>
      <c r="D1217" s="2" t="s">
        <v>25</v>
      </c>
      <c r="E1217" s="2" t="s">
        <v>15</v>
      </c>
      <c r="F1217" s="2" t="s">
        <v>31</v>
      </c>
      <c r="G1217" s="4">
        <v>18700</v>
      </c>
      <c r="H1217" s="5">
        <v>6.8000000000000005E-2</v>
      </c>
      <c r="I1217" s="2">
        <v>24</v>
      </c>
      <c r="J1217" s="2" t="s">
        <v>181</v>
      </c>
      <c r="K1217" s="2" t="s">
        <v>17</v>
      </c>
      <c r="L1217" s="3">
        <v>46274</v>
      </c>
    </row>
    <row r="1218" spans="1:12">
      <c r="A1218" s="2" t="s">
        <v>1972</v>
      </c>
      <c r="B1218" s="3">
        <v>46274</v>
      </c>
      <c r="C1218" s="2" t="s">
        <v>443</v>
      </c>
      <c r="D1218" s="2" t="s">
        <v>25</v>
      </c>
      <c r="E1218" s="2" t="s">
        <v>30</v>
      </c>
      <c r="F1218" s="2" t="s">
        <v>31</v>
      </c>
      <c r="G1218" s="4">
        <v>9800</v>
      </c>
      <c r="H1218" s="5">
        <v>3.95E-2</v>
      </c>
      <c r="I1218" s="2">
        <v>36</v>
      </c>
      <c r="J1218" s="2" t="s">
        <v>26</v>
      </c>
      <c r="K1218" s="2" t="s">
        <v>17</v>
      </c>
      <c r="L1218" s="3">
        <v>46275</v>
      </c>
    </row>
    <row r="1219" spans="1:12">
      <c r="A1219" s="2" t="s">
        <v>1973</v>
      </c>
      <c r="B1219" s="3">
        <v>46275</v>
      </c>
      <c r="C1219" s="2" t="s">
        <v>1213</v>
      </c>
      <c r="D1219" s="2" t="s">
        <v>54</v>
      </c>
      <c r="E1219" s="2" t="s">
        <v>15</v>
      </c>
      <c r="F1219" s="2" t="s">
        <v>31</v>
      </c>
      <c r="G1219" s="4">
        <v>9100</v>
      </c>
      <c r="H1219" s="5">
        <v>6.8500000000000005E-2</v>
      </c>
      <c r="I1219" s="2">
        <v>12</v>
      </c>
      <c r="J1219" s="2" t="s">
        <v>56</v>
      </c>
      <c r="K1219" s="2" t="s">
        <v>17</v>
      </c>
      <c r="L1219" s="3">
        <v>46278</v>
      </c>
    </row>
    <row r="1220" spans="1:12">
      <c r="A1220" s="2" t="s">
        <v>1974</v>
      </c>
      <c r="B1220" s="3">
        <v>46275</v>
      </c>
      <c r="C1220" s="2" t="s">
        <v>746</v>
      </c>
      <c r="D1220" s="2" t="s">
        <v>71</v>
      </c>
      <c r="E1220" s="2" t="s">
        <v>15</v>
      </c>
      <c r="F1220" s="2" t="s">
        <v>3</v>
      </c>
      <c r="G1220" s="4">
        <v>5900</v>
      </c>
      <c r="H1220" s="5">
        <v>6.7400000000000002E-2</v>
      </c>
      <c r="I1220" s="2">
        <v>12</v>
      </c>
      <c r="J1220" s="2" t="s">
        <v>101</v>
      </c>
      <c r="K1220" s="2" t="s">
        <v>17</v>
      </c>
      <c r="L1220" s="3">
        <v>46281</v>
      </c>
    </row>
    <row r="1221" spans="1:12">
      <c r="A1221" s="2" t="s">
        <v>1975</v>
      </c>
      <c r="B1221" s="3">
        <v>46275</v>
      </c>
      <c r="C1221" s="2" t="s">
        <v>70</v>
      </c>
      <c r="D1221" s="2" t="s">
        <v>54</v>
      </c>
      <c r="E1221" s="2" t="s">
        <v>43</v>
      </c>
      <c r="F1221" s="2" t="s">
        <v>3</v>
      </c>
      <c r="G1221" s="4">
        <v>132200</v>
      </c>
      <c r="H1221" s="5">
        <v>5.8299999999999998E-2</v>
      </c>
      <c r="I1221" s="2">
        <v>36</v>
      </c>
      <c r="J1221" s="2" t="s">
        <v>56</v>
      </c>
      <c r="K1221" s="2" t="s">
        <v>45</v>
      </c>
      <c r="L1221" s="3">
        <v>46285</v>
      </c>
    </row>
    <row r="1222" spans="1:12">
      <c r="A1222" s="2" t="s">
        <v>1976</v>
      </c>
      <c r="B1222" s="3">
        <v>46275</v>
      </c>
      <c r="C1222" s="2" t="s">
        <v>1055</v>
      </c>
      <c r="D1222" s="2" t="s">
        <v>25</v>
      </c>
      <c r="E1222" s="2" t="s">
        <v>43</v>
      </c>
      <c r="F1222" s="2" t="s">
        <v>31</v>
      </c>
      <c r="G1222" s="4">
        <v>106100</v>
      </c>
      <c r="H1222" s="5">
        <v>5.9200000000000003E-2</v>
      </c>
      <c r="I1222" s="2">
        <v>24</v>
      </c>
      <c r="J1222" s="2" t="s">
        <v>66</v>
      </c>
      <c r="K1222" s="2" t="s">
        <v>1916</v>
      </c>
      <c r="L1222" s="2"/>
    </row>
    <row r="1223" spans="1:12">
      <c r="A1223" s="2" t="s">
        <v>1977</v>
      </c>
      <c r="B1223" s="3">
        <v>46275</v>
      </c>
      <c r="C1223" s="2" t="s">
        <v>425</v>
      </c>
      <c r="D1223" s="2" t="s">
        <v>54</v>
      </c>
      <c r="E1223" s="2" t="s">
        <v>30</v>
      </c>
      <c r="F1223" s="2" t="s">
        <v>3</v>
      </c>
      <c r="G1223" s="4">
        <v>7200</v>
      </c>
      <c r="H1223" s="5">
        <v>4.6800000000000001E-2</v>
      </c>
      <c r="I1223" s="2">
        <v>60</v>
      </c>
      <c r="J1223" s="2" t="s">
        <v>186</v>
      </c>
      <c r="K1223" s="2" t="s">
        <v>45</v>
      </c>
      <c r="L1223" s="3">
        <v>46276</v>
      </c>
    </row>
    <row r="1224" spans="1:12">
      <c r="A1224" s="2" t="s">
        <v>1978</v>
      </c>
      <c r="B1224" s="3">
        <v>46275</v>
      </c>
      <c r="C1224" s="2" t="s">
        <v>274</v>
      </c>
      <c r="D1224" s="2" t="s">
        <v>29</v>
      </c>
      <c r="E1224" s="2" t="s">
        <v>43</v>
      </c>
      <c r="F1224" s="2" t="s">
        <v>31</v>
      </c>
      <c r="G1224" s="4">
        <v>123900</v>
      </c>
      <c r="H1224" s="5">
        <v>7.0699999999999999E-2</v>
      </c>
      <c r="I1224" s="2">
        <v>36</v>
      </c>
      <c r="J1224" s="2" t="s">
        <v>123</v>
      </c>
      <c r="K1224" s="2" t="s">
        <v>17</v>
      </c>
      <c r="L1224" s="3">
        <v>46294</v>
      </c>
    </row>
    <row r="1225" spans="1:12">
      <c r="A1225" s="2" t="s">
        <v>1979</v>
      </c>
      <c r="B1225" s="3">
        <v>46275</v>
      </c>
      <c r="C1225" s="2" t="s">
        <v>264</v>
      </c>
      <c r="D1225" s="2" t="s">
        <v>25</v>
      </c>
      <c r="E1225" s="2" t="s">
        <v>30</v>
      </c>
      <c r="F1225" s="2" t="s">
        <v>329</v>
      </c>
      <c r="G1225" s="4">
        <v>7300</v>
      </c>
      <c r="H1225" s="5">
        <v>3.5200000000000002E-2</v>
      </c>
      <c r="I1225" s="2">
        <v>36</v>
      </c>
      <c r="J1225" s="2" t="s">
        <v>181</v>
      </c>
      <c r="K1225" s="2" t="s">
        <v>17</v>
      </c>
      <c r="L1225" s="3">
        <v>46276</v>
      </c>
    </row>
    <row r="1226" spans="1:12">
      <c r="A1226" s="2" t="s">
        <v>1980</v>
      </c>
      <c r="B1226" s="3">
        <v>46275</v>
      </c>
      <c r="C1226" s="2" t="s">
        <v>870</v>
      </c>
      <c r="D1226" s="2" t="s">
        <v>71</v>
      </c>
      <c r="E1226" s="2" t="s">
        <v>21</v>
      </c>
      <c r="F1226" s="2" t="s">
        <v>31</v>
      </c>
      <c r="G1226" s="4">
        <v>168200</v>
      </c>
      <c r="H1226" s="5">
        <v>3.5499999999999997E-2</v>
      </c>
      <c r="I1226" s="2">
        <v>120</v>
      </c>
      <c r="J1226" s="2" t="s">
        <v>72</v>
      </c>
      <c r="K1226" s="2" t="s">
        <v>17</v>
      </c>
      <c r="L1226" s="3">
        <v>46298</v>
      </c>
    </row>
    <row r="1227" spans="1:12">
      <c r="A1227" s="2" t="s">
        <v>1981</v>
      </c>
      <c r="B1227" s="3">
        <v>46275</v>
      </c>
      <c r="C1227" s="2" t="s">
        <v>1982</v>
      </c>
      <c r="D1227" s="2" t="s">
        <v>20</v>
      </c>
      <c r="E1227" s="2" t="s">
        <v>43</v>
      </c>
      <c r="F1227" s="2" t="s">
        <v>31</v>
      </c>
      <c r="G1227" s="4">
        <v>20400</v>
      </c>
      <c r="H1227" s="5">
        <v>6.8599999999999994E-2</v>
      </c>
      <c r="I1227" s="2">
        <v>60</v>
      </c>
      <c r="J1227" s="2" t="s">
        <v>22</v>
      </c>
      <c r="K1227" s="2" t="s">
        <v>17</v>
      </c>
      <c r="L1227" s="3">
        <v>46286</v>
      </c>
    </row>
    <row r="1228" spans="1:12">
      <c r="A1228" s="2" t="s">
        <v>1983</v>
      </c>
      <c r="B1228" s="3">
        <v>46276</v>
      </c>
      <c r="C1228" s="2" t="s">
        <v>1593</v>
      </c>
      <c r="D1228" s="2" t="s">
        <v>20</v>
      </c>
      <c r="E1228" s="2" t="s">
        <v>43</v>
      </c>
      <c r="F1228" s="2" t="s">
        <v>31</v>
      </c>
      <c r="G1228" s="4">
        <v>65000</v>
      </c>
      <c r="H1228" s="5">
        <v>7.7299999999999994E-2</v>
      </c>
      <c r="I1228" s="2">
        <v>60</v>
      </c>
      <c r="J1228" s="2" t="s">
        <v>37</v>
      </c>
      <c r="K1228" s="2" t="s">
        <v>17</v>
      </c>
      <c r="L1228" s="3">
        <v>46286</v>
      </c>
    </row>
    <row r="1229" spans="1:12">
      <c r="A1229" s="2" t="s">
        <v>1984</v>
      </c>
      <c r="B1229" s="3">
        <v>46276</v>
      </c>
      <c r="C1229" s="2" t="s">
        <v>1323</v>
      </c>
      <c r="D1229" s="2" t="s">
        <v>25</v>
      </c>
      <c r="E1229" s="2" t="s">
        <v>15</v>
      </c>
      <c r="F1229" s="2" t="s">
        <v>3</v>
      </c>
      <c r="G1229" s="4">
        <v>14000</v>
      </c>
      <c r="H1229" s="5">
        <v>5.5100000000000003E-2</v>
      </c>
      <c r="I1229" s="2">
        <v>60</v>
      </c>
      <c r="J1229" s="2" t="s">
        <v>26</v>
      </c>
      <c r="K1229" s="2" t="s">
        <v>17</v>
      </c>
      <c r="L1229" s="3">
        <v>46277</v>
      </c>
    </row>
    <row r="1230" spans="1:12">
      <c r="A1230" s="2" t="s">
        <v>1985</v>
      </c>
      <c r="B1230" s="3">
        <v>46276</v>
      </c>
      <c r="C1230" s="2" t="s">
        <v>1986</v>
      </c>
      <c r="D1230" s="2" t="s">
        <v>29</v>
      </c>
      <c r="E1230" s="2" t="s">
        <v>21</v>
      </c>
      <c r="F1230" s="2" t="s">
        <v>55</v>
      </c>
      <c r="G1230" s="4">
        <v>186400</v>
      </c>
      <c r="H1230" s="5">
        <v>4.0899999999999999E-2</v>
      </c>
      <c r="I1230" s="2">
        <v>180</v>
      </c>
      <c r="J1230" s="2" t="s">
        <v>123</v>
      </c>
      <c r="K1230" s="2" t="s">
        <v>45</v>
      </c>
      <c r="L1230" s="3">
        <v>46297</v>
      </c>
    </row>
    <row r="1231" spans="1:12">
      <c r="A1231" s="2" t="s">
        <v>1987</v>
      </c>
      <c r="B1231" s="3">
        <v>46276</v>
      </c>
      <c r="C1231" s="2" t="s">
        <v>1988</v>
      </c>
      <c r="D1231" s="2" t="s">
        <v>71</v>
      </c>
      <c r="E1231" s="2" t="s">
        <v>30</v>
      </c>
      <c r="F1231" s="2" t="s">
        <v>3</v>
      </c>
      <c r="G1231" s="4">
        <v>6100</v>
      </c>
      <c r="H1231" s="5">
        <v>4.8099999999999997E-2</v>
      </c>
      <c r="I1231" s="2">
        <v>36</v>
      </c>
      <c r="J1231" s="2" t="s">
        <v>72</v>
      </c>
      <c r="K1231" s="2" t="s">
        <v>45</v>
      </c>
      <c r="L1231" s="3">
        <v>46285</v>
      </c>
    </row>
    <row r="1232" spans="1:12">
      <c r="A1232" s="2" t="s">
        <v>1989</v>
      </c>
      <c r="B1232" s="3">
        <v>46276</v>
      </c>
      <c r="C1232" s="2" t="s">
        <v>671</v>
      </c>
      <c r="D1232" s="2" t="s">
        <v>71</v>
      </c>
      <c r="E1232" s="2" t="s">
        <v>15</v>
      </c>
      <c r="F1232" s="2" t="s">
        <v>55</v>
      </c>
      <c r="G1232" s="4">
        <v>10300</v>
      </c>
      <c r="H1232" s="5">
        <v>6.3E-2</v>
      </c>
      <c r="I1232" s="2">
        <v>48</v>
      </c>
      <c r="J1232" s="2" t="s">
        <v>94</v>
      </c>
      <c r="K1232" s="2" t="s">
        <v>45</v>
      </c>
      <c r="L1232" s="3">
        <v>46285</v>
      </c>
    </row>
    <row r="1233" spans="1:12">
      <c r="A1233" s="2" t="s">
        <v>1990</v>
      </c>
      <c r="B1233" s="3">
        <v>46277</v>
      </c>
      <c r="C1233" s="2" t="s">
        <v>868</v>
      </c>
      <c r="D1233" s="2" t="s">
        <v>20</v>
      </c>
      <c r="E1233" s="2" t="s">
        <v>30</v>
      </c>
      <c r="F1233" s="2" t="s">
        <v>55</v>
      </c>
      <c r="G1233" s="4">
        <v>13600</v>
      </c>
      <c r="H1233" s="5">
        <v>4.3700000000000003E-2</v>
      </c>
      <c r="I1233" s="2">
        <v>36</v>
      </c>
      <c r="J1233" s="2" t="s">
        <v>22</v>
      </c>
      <c r="K1233" s="2" t="s">
        <v>17</v>
      </c>
      <c r="L1233" s="3">
        <v>46280</v>
      </c>
    </row>
    <row r="1234" spans="1:12">
      <c r="A1234" s="2" t="s">
        <v>1991</v>
      </c>
      <c r="B1234" s="3">
        <v>46277</v>
      </c>
      <c r="C1234" s="2" t="s">
        <v>1575</v>
      </c>
      <c r="D1234" s="2" t="s">
        <v>14</v>
      </c>
      <c r="E1234" s="2" t="s">
        <v>30</v>
      </c>
      <c r="F1234" s="2" t="s">
        <v>55</v>
      </c>
      <c r="G1234" s="4">
        <v>5600</v>
      </c>
      <c r="H1234" s="5">
        <v>3.9399999999999998E-2</v>
      </c>
      <c r="I1234" s="2">
        <v>60</v>
      </c>
      <c r="J1234" s="2" t="s">
        <v>40</v>
      </c>
      <c r="K1234" s="2" t="s">
        <v>17</v>
      </c>
      <c r="L1234" s="3">
        <v>46280</v>
      </c>
    </row>
    <row r="1235" spans="1:12">
      <c r="A1235" s="2" t="s">
        <v>1991</v>
      </c>
      <c r="B1235" s="3">
        <v>46277</v>
      </c>
      <c r="C1235" s="2" t="s">
        <v>1575</v>
      </c>
      <c r="D1235" s="2" t="s">
        <v>14</v>
      </c>
      <c r="E1235" s="2" t="s">
        <v>30</v>
      </c>
      <c r="F1235" s="2" t="s">
        <v>55</v>
      </c>
      <c r="G1235" s="4">
        <v>5600</v>
      </c>
      <c r="H1235" s="5">
        <v>3.9399999999999998E-2</v>
      </c>
      <c r="I1235" s="2">
        <v>60</v>
      </c>
      <c r="J1235" s="2" t="s">
        <v>40</v>
      </c>
      <c r="K1235" s="2" t="s">
        <v>17</v>
      </c>
      <c r="L1235" s="3">
        <v>46280</v>
      </c>
    </row>
    <row r="1236" spans="1:12">
      <c r="A1236" s="2" t="s">
        <v>1992</v>
      </c>
      <c r="B1236" s="3">
        <v>46277</v>
      </c>
      <c r="C1236" s="2" t="s">
        <v>603</v>
      </c>
      <c r="D1236" s="2" t="s">
        <v>25</v>
      </c>
      <c r="E1236" s="2" t="s">
        <v>151</v>
      </c>
      <c r="F1236" s="2" t="s">
        <v>31</v>
      </c>
      <c r="G1236" s="4">
        <v>128600</v>
      </c>
      <c r="H1236" s="5">
        <v>5.6000000000000001E-2</v>
      </c>
      <c r="I1236" s="2">
        <v>84</v>
      </c>
      <c r="J1236" s="2" t="s">
        <v>66</v>
      </c>
      <c r="K1236" s="2" t="s">
        <v>45</v>
      </c>
      <c r="L1236" s="3">
        <v>46294</v>
      </c>
    </row>
    <row r="1237" spans="1:12">
      <c r="A1237" s="2" t="s">
        <v>1993</v>
      </c>
      <c r="B1237" s="3">
        <v>46278</v>
      </c>
      <c r="C1237" s="2" t="s">
        <v>1994</v>
      </c>
      <c r="D1237" s="2" t="s">
        <v>29</v>
      </c>
      <c r="E1237" s="2" t="s">
        <v>15</v>
      </c>
      <c r="F1237" s="2" t="s">
        <v>3</v>
      </c>
      <c r="G1237" s="4">
        <v>14100</v>
      </c>
      <c r="H1237" s="5">
        <v>6.2100000000000002E-2</v>
      </c>
      <c r="I1237" s="2">
        <v>60</v>
      </c>
      <c r="J1237" s="2" t="s">
        <v>32</v>
      </c>
      <c r="K1237" s="2" t="s">
        <v>1916</v>
      </c>
      <c r="L1237" s="2"/>
    </row>
    <row r="1238" spans="1:12">
      <c r="A1238" s="2" t="s">
        <v>1995</v>
      </c>
      <c r="B1238" s="3">
        <v>46278</v>
      </c>
      <c r="C1238" s="2" t="s">
        <v>1440</v>
      </c>
      <c r="D1238" s="2" t="s">
        <v>25</v>
      </c>
      <c r="E1238" s="2" t="s">
        <v>30</v>
      </c>
      <c r="F1238" s="2" t="s">
        <v>31</v>
      </c>
      <c r="G1238" s="4">
        <v>9500</v>
      </c>
      <c r="H1238" s="5">
        <v>4.8899999999999999E-2</v>
      </c>
      <c r="I1238" s="2">
        <v>60</v>
      </c>
      <c r="J1238" s="2" t="s">
        <v>26</v>
      </c>
      <c r="K1238" s="2" t="s">
        <v>17</v>
      </c>
      <c r="L1238" s="3">
        <v>46279</v>
      </c>
    </row>
    <row r="1239" spans="1:12">
      <c r="A1239" s="2" t="s">
        <v>1996</v>
      </c>
      <c r="B1239" s="3">
        <v>46278</v>
      </c>
      <c r="C1239" s="2" t="s">
        <v>1997</v>
      </c>
      <c r="D1239" s="2" t="s">
        <v>71</v>
      </c>
      <c r="E1239" s="2" t="s">
        <v>43</v>
      </c>
      <c r="F1239" s="2" t="s">
        <v>55</v>
      </c>
      <c r="G1239" s="4">
        <v>134500</v>
      </c>
      <c r="H1239" s="5">
        <v>7.9200000000000007E-2</v>
      </c>
      <c r="I1239" s="2">
        <v>24</v>
      </c>
      <c r="J1239" s="2" t="s">
        <v>101</v>
      </c>
      <c r="K1239" s="2" t="s">
        <v>45</v>
      </c>
      <c r="L1239" s="3">
        <v>46300</v>
      </c>
    </row>
    <row r="1240" spans="1:12">
      <c r="A1240" s="2" t="s">
        <v>1998</v>
      </c>
      <c r="B1240" s="3">
        <v>46278</v>
      </c>
      <c r="C1240" s="2" t="s">
        <v>1531</v>
      </c>
      <c r="D1240" s="2" t="s">
        <v>29</v>
      </c>
      <c r="E1240" s="2" t="s">
        <v>21</v>
      </c>
      <c r="F1240" s="2" t="s">
        <v>31</v>
      </c>
      <c r="G1240" s="4">
        <v>85700</v>
      </c>
      <c r="H1240" s="5">
        <v>4.0800000000000003E-2</v>
      </c>
      <c r="I1240" s="2">
        <v>120</v>
      </c>
      <c r="J1240" s="2" t="s">
        <v>32</v>
      </c>
      <c r="K1240" s="2" t="s">
        <v>45</v>
      </c>
      <c r="L1240" s="3">
        <v>46293</v>
      </c>
    </row>
    <row r="1241" spans="1:12">
      <c r="A1241" s="2" t="s">
        <v>1999</v>
      </c>
      <c r="B1241" s="3">
        <v>46278</v>
      </c>
      <c r="C1241" s="2" t="s">
        <v>734</v>
      </c>
      <c r="D1241" s="2" t="s">
        <v>25</v>
      </c>
      <c r="E1241" s="2" t="s">
        <v>15</v>
      </c>
      <c r="F1241" s="2" t="s">
        <v>31</v>
      </c>
      <c r="G1241" s="4">
        <v>8400</v>
      </c>
      <c r="H1241" s="5">
        <v>5.8000000000000003E-2</v>
      </c>
      <c r="I1241" s="2">
        <v>60</v>
      </c>
      <c r="J1241" s="2" t="s">
        <v>181</v>
      </c>
      <c r="K1241" s="2" t="s">
        <v>1916</v>
      </c>
      <c r="L1241" s="2"/>
    </row>
    <row r="1242" spans="1:12">
      <c r="A1242" s="2" t="s">
        <v>2000</v>
      </c>
      <c r="B1242" s="3">
        <v>46278</v>
      </c>
      <c r="C1242" s="2" t="s">
        <v>908</v>
      </c>
      <c r="D1242" s="2" t="s">
        <v>14</v>
      </c>
      <c r="E1242" s="2" t="s">
        <v>15</v>
      </c>
      <c r="F1242" s="2" t="s">
        <v>31</v>
      </c>
      <c r="G1242" s="4">
        <v>9300</v>
      </c>
      <c r="H1242" s="5">
        <v>5.6399999999999999E-2</v>
      </c>
      <c r="I1242" s="2">
        <v>48</v>
      </c>
      <c r="J1242" s="2" t="s">
        <v>40</v>
      </c>
      <c r="K1242" s="2" t="s">
        <v>45</v>
      </c>
      <c r="L1242" s="3">
        <v>46281</v>
      </c>
    </row>
    <row r="1243" spans="1:12">
      <c r="A1243" s="2" t="s">
        <v>2001</v>
      </c>
      <c r="B1243" s="3">
        <v>46278</v>
      </c>
      <c r="C1243" s="2" t="s">
        <v>164</v>
      </c>
      <c r="D1243" s="2" t="s">
        <v>54</v>
      </c>
      <c r="E1243" s="2" t="s">
        <v>340</v>
      </c>
      <c r="F1243" s="2" t="s">
        <v>3</v>
      </c>
      <c r="G1243" s="4">
        <v>25000</v>
      </c>
      <c r="H1243" s="5">
        <v>5.2200000000000003E-2</v>
      </c>
      <c r="I1243" s="2">
        <v>36</v>
      </c>
      <c r="J1243" s="2" t="s">
        <v>148</v>
      </c>
      <c r="K1243" s="2" t="s">
        <v>17</v>
      </c>
      <c r="L1243" s="3">
        <v>46281</v>
      </c>
    </row>
    <row r="1244" spans="1:12">
      <c r="A1244" s="2" t="s">
        <v>2002</v>
      </c>
      <c r="B1244" s="3">
        <v>46278</v>
      </c>
      <c r="C1244" s="2" t="s">
        <v>2003</v>
      </c>
      <c r="D1244" s="2" t="s">
        <v>20</v>
      </c>
      <c r="E1244" s="2" t="s">
        <v>15</v>
      </c>
      <c r="F1244" s="2" t="s">
        <v>3</v>
      </c>
      <c r="G1244" s="4">
        <v>18000</v>
      </c>
      <c r="H1244" s="5">
        <v>5.6399999999999999E-2</v>
      </c>
      <c r="I1244" s="2">
        <v>12</v>
      </c>
      <c r="J1244" s="2" t="s">
        <v>22</v>
      </c>
      <c r="K1244" s="2" t="s">
        <v>1916</v>
      </c>
      <c r="L1244" s="2"/>
    </row>
    <row r="1245" spans="1:12">
      <c r="A1245" s="2" t="s">
        <v>2004</v>
      </c>
      <c r="B1245" s="3">
        <v>46278</v>
      </c>
      <c r="C1245" s="2" t="s">
        <v>1079</v>
      </c>
      <c r="D1245" s="2" t="s">
        <v>20</v>
      </c>
      <c r="E1245" s="2" t="s">
        <v>43</v>
      </c>
      <c r="F1245" s="2" t="s">
        <v>31</v>
      </c>
      <c r="G1245" s="4">
        <v>87600</v>
      </c>
      <c r="H1245" s="5">
        <v>7.0900000000000005E-2</v>
      </c>
      <c r="I1245" s="2">
        <v>24</v>
      </c>
      <c r="J1245" s="2" t="s">
        <v>44</v>
      </c>
      <c r="K1245" s="2" t="s">
        <v>17</v>
      </c>
      <c r="L1245" s="3">
        <v>46295</v>
      </c>
    </row>
    <row r="1246" spans="1:12">
      <c r="A1246" s="2" t="s">
        <v>2005</v>
      </c>
      <c r="B1246" s="3">
        <v>46279</v>
      </c>
      <c r="C1246" s="2" t="s">
        <v>1713</v>
      </c>
      <c r="D1246" s="2" t="s">
        <v>29</v>
      </c>
      <c r="E1246" s="2" t="s">
        <v>15</v>
      </c>
      <c r="F1246" s="2" t="s">
        <v>3</v>
      </c>
      <c r="G1246" s="4">
        <v>9000</v>
      </c>
      <c r="H1246" s="5">
        <v>6.6100000000000006E-2</v>
      </c>
      <c r="I1246" s="2">
        <v>60</v>
      </c>
      <c r="J1246" s="2" t="s">
        <v>32</v>
      </c>
      <c r="K1246" s="2" t="s">
        <v>17</v>
      </c>
      <c r="L1246" s="3">
        <v>46282</v>
      </c>
    </row>
    <row r="1247" spans="1:12">
      <c r="A1247" s="2" t="s">
        <v>2006</v>
      </c>
      <c r="B1247" s="3">
        <v>46279</v>
      </c>
      <c r="C1247" s="2" t="s">
        <v>2007</v>
      </c>
      <c r="D1247" s="2" t="s">
        <v>71</v>
      </c>
      <c r="E1247" s="2" t="s">
        <v>15</v>
      </c>
      <c r="F1247" s="2" t="s">
        <v>31</v>
      </c>
      <c r="G1247" s="4">
        <v>25000</v>
      </c>
      <c r="H1247" s="5">
        <v>6.3399999999999998E-2</v>
      </c>
      <c r="I1247" s="2">
        <v>60</v>
      </c>
      <c r="J1247" s="2" t="s">
        <v>72</v>
      </c>
      <c r="K1247" s="2" t="s">
        <v>45</v>
      </c>
      <c r="L1247" s="3">
        <v>46286</v>
      </c>
    </row>
    <row r="1248" spans="1:12">
      <c r="A1248" s="2" t="s">
        <v>2008</v>
      </c>
      <c r="B1248" s="3">
        <v>46279</v>
      </c>
      <c r="C1248" s="2" t="s">
        <v>28</v>
      </c>
      <c r="D1248" s="2" t="s">
        <v>14</v>
      </c>
      <c r="E1248" s="2" t="s">
        <v>21</v>
      </c>
      <c r="F1248" s="2" t="s">
        <v>3</v>
      </c>
      <c r="G1248" s="4">
        <v>164800</v>
      </c>
      <c r="H1248" s="5">
        <v>3.9800000000000002E-2</v>
      </c>
      <c r="I1248" s="2">
        <v>300</v>
      </c>
      <c r="J1248" s="2" t="s">
        <v>16</v>
      </c>
      <c r="K1248" s="2" t="s">
        <v>17</v>
      </c>
      <c r="L1248" s="3">
        <v>46306</v>
      </c>
    </row>
    <row r="1249" spans="1:12">
      <c r="A1249" s="2" t="s">
        <v>2009</v>
      </c>
      <c r="B1249" s="3">
        <v>46279</v>
      </c>
      <c r="C1249" s="2" t="s">
        <v>2010</v>
      </c>
      <c r="D1249" s="2" t="s">
        <v>29</v>
      </c>
      <c r="E1249" s="2" t="s">
        <v>15</v>
      </c>
      <c r="F1249" s="2" t="s">
        <v>3</v>
      </c>
      <c r="G1249" s="4">
        <v>15300</v>
      </c>
      <c r="H1249" s="5">
        <v>6.8500000000000005E-2</v>
      </c>
      <c r="I1249" s="2">
        <v>36</v>
      </c>
      <c r="J1249" s="2" t="s">
        <v>123</v>
      </c>
      <c r="K1249" s="2" t="s">
        <v>45</v>
      </c>
      <c r="L1249" s="3">
        <v>46281</v>
      </c>
    </row>
    <row r="1250" spans="1:12">
      <c r="A1250" s="2" t="s">
        <v>2011</v>
      </c>
      <c r="B1250" s="3">
        <v>46279</v>
      </c>
      <c r="C1250" s="2" t="s">
        <v>1339</v>
      </c>
      <c r="D1250" s="2" t="s">
        <v>71</v>
      </c>
      <c r="E1250" s="2" t="s">
        <v>21</v>
      </c>
      <c r="F1250" s="2" t="s">
        <v>3</v>
      </c>
      <c r="G1250" s="4">
        <v>97200</v>
      </c>
      <c r="H1250" s="5">
        <v>3.7499999999999999E-2</v>
      </c>
      <c r="I1250" s="2">
        <v>180</v>
      </c>
      <c r="J1250" s="2" t="s">
        <v>101</v>
      </c>
      <c r="K1250" s="2" t="s">
        <v>45</v>
      </c>
      <c r="L1250" s="3">
        <v>46299</v>
      </c>
    </row>
    <row r="1251" spans="1:12">
      <c r="A1251" s="2" t="s">
        <v>2012</v>
      </c>
      <c r="B1251" s="3">
        <v>46279</v>
      </c>
      <c r="C1251" s="2" t="s">
        <v>2013</v>
      </c>
      <c r="D1251" s="2" t="s">
        <v>71</v>
      </c>
      <c r="E1251" s="2" t="s">
        <v>30</v>
      </c>
      <c r="F1251" s="2" t="s">
        <v>31</v>
      </c>
      <c r="G1251" s="4">
        <v>13700</v>
      </c>
      <c r="H1251" s="5">
        <v>4.58E-2</v>
      </c>
      <c r="I1251" s="2">
        <v>60</v>
      </c>
      <c r="J1251" s="2" t="s">
        <v>101</v>
      </c>
      <c r="K1251" s="2" t="s">
        <v>17</v>
      </c>
      <c r="L1251" s="3">
        <v>46283</v>
      </c>
    </row>
    <row r="1252" spans="1:12">
      <c r="A1252" s="2" t="s">
        <v>2014</v>
      </c>
      <c r="B1252" s="3">
        <v>46279</v>
      </c>
      <c r="C1252" s="2" t="s">
        <v>1030</v>
      </c>
      <c r="D1252" s="2" t="s">
        <v>20</v>
      </c>
      <c r="E1252" s="2" t="s">
        <v>30</v>
      </c>
      <c r="F1252" s="2" t="s">
        <v>3</v>
      </c>
      <c r="G1252" s="4">
        <v>21400</v>
      </c>
      <c r="H1252" s="5">
        <v>4.7E-2</v>
      </c>
      <c r="I1252" s="2">
        <v>60</v>
      </c>
      <c r="J1252" s="2" t="s">
        <v>22</v>
      </c>
      <c r="K1252" s="2" t="s">
        <v>17</v>
      </c>
      <c r="L1252" s="3">
        <v>46283</v>
      </c>
    </row>
    <row r="1253" spans="1:12">
      <c r="A1253" s="2" t="s">
        <v>2015</v>
      </c>
      <c r="B1253" s="3">
        <v>46280</v>
      </c>
      <c r="C1253" s="2" t="s">
        <v>346</v>
      </c>
      <c r="D1253" s="2" t="s">
        <v>54</v>
      </c>
      <c r="E1253" s="2" t="s">
        <v>30</v>
      </c>
      <c r="F1253" s="2" t="s">
        <v>3</v>
      </c>
      <c r="G1253" s="4">
        <v>13300</v>
      </c>
      <c r="H1253" s="5">
        <v>3.9300000000000002E-2</v>
      </c>
      <c r="I1253" s="2">
        <v>48</v>
      </c>
      <c r="J1253" s="2" t="s">
        <v>186</v>
      </c>
      <c r="K1253" s="2" t="s">
        <v>1916</v>
      </c>
      <c r="L1253" s="2"/>
    </row>
    <row r="1254" spans="1:12">
      <c r="A1254" s="2" t="s">
        <v>2015</v>
      </c>
      <c r="B1254" s="3">
        <v>46280</v>
      </c>
      <c r="C1254" s="2" t="s">
        <v>346</v>
      </c>
      <c r="D1254" s="2" t="s">
        <v>54</v>
      </c>
      <c r="E1254" s="2" t="s">
        <v>30</v>
      </c>
      <c r="F1254" s="2" t="s">
        <v>3</v>
      </c>
      <c r="G1254" s="4">
        <v>13300</v>
      </c>
      <c r="H1254" s="5">
        <v>3.9300000000000002E-2</v>
      </c>
      <c r="I1254" s="2">
        <v>48</v>
      </c>
      <c r="J1254" s="2" t="s">
        <v>186</v>
      </c>
      <c r="K1254" s="2" t="s">
        <v>1916</v>
      </c>
      <c r="L1254" s="2"/>
    </row>
    <row r="1255" spans="1:12">
      <c r="A1255" s="2" t="s">
        <v>2016</v>
      </c>
      <c r="B1255" s="3">
        <v>46280</v>
      </c>
      <c r="C1255" s="2" t="s">
        <v>640</v>
      </c>
      <c r="D1255" s="2" t="s">
        <v>20</v>
      </c>
      <c r="E1255" s="2" t="s">
        <v>15</v>
      </c>
      <c r="F1255" s="2" t="s">
        <v>3</v>
      </c>
      <c r="G1255" s="4">
        <v>21000</v>
      </c>
      <c r="H1255" s="5">
        <v>5.4300000000000001E-2</v>
      </c>
      <c r="I1255" s="2">
        <v>12</v>
      </c>
      <c r="J1255" s="2" t="s">
        <v>44</v>
      </c>
      <c r="K1255" s="2" t="s">
        <v>1916</v>
      </c>
      <c r="L1255" s="2"/>
    </row>
    <row r="1256" spans="1:12">
      <c r="A1256" s="2" t="s">
        <v>2017</v>
      </c>
      <c r="B1256" s="3">
        <v>46280</v>
      </c>
      <c r="C1256" s="2" t="s">
        <v>242</v>
      </c>
      <c r="D1256" s="2" t="s">
        <v>71</v>
      </c>
      <c r="E1256" s="2" t="s">
        <v>15</v>
      </c>
      <c r="F1256" s="2" t="s">
        <v>3</v>
      </c>
      <c r="G1256" s="4">
        <v>16600</v>
      </c>
      <c r="H1256" s="5">
        <v>0.06</v>
      </c>
      <c r="I1256" s="2">
        <v>24</v>
      </c>
      <c r="J1256" s="2" t="s">
        <v>101</v>
      </c>
      <c r="K1256" s="2" t="s">
        <v>45</v>
      </c>
      <c r="L1256" s="3">
        <v>46287</v>
      </c>
    </row>
    <row r="1257" spans="1:12">
      <c r="A1257" s="2" t="s">
        <v>2018</v>
      </c>
      <c r="B1257" s="3">
        <v>46280</v>
      </c>
      <c r="C1257" s="2" t="s">
        <v>50</v>
      </c>
      <c r="D1257" s="2" t="s">
        <v>14</v>
      </c>
      <c r="E1257" s="2" t="s">
        <v>15</v>
      </c>
      <c r="F1257" s="2" t="s">
        <v>3</v>
      </c>
      <c r="G1257" s="4">
        <v>21000</v>
      </c>
      <c r="H1257" s="5">
        <v>5.1799999999999999E-2</v>
      </c>
      <c r="I1257" s="2">
        <v>24</v>
      </c>
      <c r="J1257" s="2" t="s">
        <v>48</v>
      </c>
      <c r="K1257" s="2" t="s">
        <v>1916</v>
      </c>
      <c r="L1257" s="2"/>
    </row>
    <row r="1258" spans="1:12">
      <c r="A1258" s="2" t="s">
        <v>2019</v>
      </c>
      <c r="B1258" s="3">
        <v>46280</v>
      </c>
      <c r="C1258" s="2" t="s">
        <v>793</v>
      </c>
      <c r="D1258" s="2" t="s">
        <v>25</v>
      </c>
      <c r="E1258" s="2" t="s">
        <v>43</v>
      </c>
      <c r="F1258" s="2" t="s">
        <v>3</v>
      </c>
      <c r="G1258" s="4">
        <v>82900</v>
      </c>
      <c r="H1258" s="5">
        <v>7.1800000000000003E-2</v>
      </c>
      <c r="I1258" s="2">
        <v>24</v>
      </c>
      <c r="J1258" s="2" t="s">
        <v>26</v>
      </c>
      <c r="K1258" s="2" t="s">
        <v>1916</v>
      </c>
      <c r="L1258" s="2"/>
    </row>
    <row r="1259" spans="1:12">
      <c r="A1259" s="2" t="s">
        <v>2020</v>
      </c>
      <c r="B1259" s="3">
        <v>46281</v>
      </c>
      <c r="C1259" s="2" t="s">
        <v>2021</v>
      </c>
      <c r="D1259" s="2" t="s">
        <v>20</v>
      </c>
      <c r="E1259" s="2" t="s">
        <v>30</v>
      </c>
      <c r="F1259" s="2" t="s">
        <v>3</v>
      </c>
      <c r="G1259" s="4">
        <v>14200</v>
      </c>
      <c r="H1259" s="5">
        <v>3.8600000000000002E-2</v>
      </c>
      <c r="I1259" s="2">
        <v>60</v>
      </c>
      <c r="J1259" s="2" t="s">
        <v>37</v>
      </c>
      <c r="K1259" s="2" t="s">
        <v>17</v>
      </c>
      <c r="L1259" s="3">
        <v>46286</v>
      </c>
    </row>
    <row r="1260" spans="1:12">
      <c r="A1260" s="2" t="s">
        <v>2022</v>
      </c>
      <c r="B1260" s="3">
        <v>46281</v>
      </c>
      <c r="C1260" s="2" t="s">
        <v>1314</v>
      </c>
      <c r="D1260" s="2" t="s">
        <v>14</v>
      </c>
      <c r="E1260" s="2" t="s">
        <v>15</v>
      </c>
      <c r="F1260" s="2" t="s">
        <v>3</v>
      </c>
      <c r="G1260" s="4">
        <v>11600</v>
      </c>
      <c r="H1260" s="5">
        <v>6.25E-2</v>
      </c>
      <c r="I1260" s="2">
        <v>36</v>
      </c>
      <c r="J1260" s="2" t="s">
        <v>16</v>
      </c>
      <c r="K1260" s="2" t="s">
        <v>1916</v>
      </c>
      <c r="L1260" s="2"/>
    </row>
    <row r="1261" spans="1:12">
      <c r="A1261" s="2" t="s">
        <v>2023</v>
      </c>
      <c r="B1261" s="3">
        <v>46281</v>
      </c>
      <c r="C1261" s="2" t="s">
        <v>236</v>
      </c>
      <c r="D1261" s="2" t="s">
        <v>14</v>
      </c>
      <c r="E1261" s="2" t="s">
        <v>43</v>
      </c>
      <c r="F1261" s="2" t="s">
        <v>3</v>
      </c>
      <c r="G1261" s="2" t="s">
        <v>2024</v>
      </c>
      <c r="H1261" s="5">
        <v>6.1899999999999997E-2</v>
      </c>
      <c r="I1261" s="2">
        <v>60</v>
      </c>
      <c r="J1261" s="2" t="s">
        <v>16</v>
      </c>
      <c r="K1261" s="2" t="s">
        <v>1916</v>
      </c>
      <c r="L1261" s="2"/>
    </row>
    <row r="1262" spans="1:12">
      <c r="A1262" s="2" t="s">
        <v>2025</v>
      </c>
      <c r="B1262" s="3">
        <v>46281</v>
      </c>
      <c r="C1262" s="2" t="s">
        <v>1206</v>
      </c>
      <c r="D1262" s="2" t="s">
        <v>20</v>
      </c>
      <c r="E1262" s="2" t="s">
        <v>43</v>
      </c>
      <c r="F1262" s="2" t="s">
        <v>3</v>
      </c>
      <c r="G1262" s="4">
        <v>145500</v>
      </c>
      <c r="H1262" s="5">
        <v>6.5299999999999997E-2</v>
      </c>
      <c r="I1262" s="2">
        <v>36</v>
      </c>
      <c r="J1262" s="2" t="s">
        <v>37</v>
      </c>
      <c r="K1262" s="2" t="s">
        <v>1916</v>
      </c>
      <c r="L1262" s="2"/>
    </row>
    <row r="1263" spans="1:12">
      <c r="A1263" s="2" t="s">
        <v>2026</v>
      </c>
      <c r="B1263" s="3">
        <v>46281</v>
      </c>
      <c r="C1263" s="2" t="s">
        <v>2027</v>
      </c>
      <c r="D1263" s="2" t="s">
        <v>54</v>
      </c>
      <c r="E1263" s="2" t="s">
        <v>15</v>
      </c>
      <c r="F1263" s="2" t="s">
        <v>3</v>
      </c>
      <c r="G1263" s="4">
        <v>23900</v>
      </c>
      <c r="H1263" s="5">
        <v>6.4899999999999999E-2</v>
      </c>
      <c r="I1263" s="2">
        <v>60</v>
      </c>
      <c r="J1263" s="2" t="s">
        <v>56</v>
      </c>
      <c r="K1263" s="2" t="s">
        <v>1916</v>
      </c>
      <c r="L1263" s="2"/>
    </row>
    <row r="1264" spans="1:12">
      <c r="A1264" s="2" t="s">
        <v>2028</v>
      </c>
      <c r="B1264" s="3">
        <v>46282</v>
      </c>
      <c r="C1264" s="2" t="s">
        <v>2029</v>
      </c>
      <c r="D1264" s="2" t="s">
        <v>71</v>
      </c>
      <c r="E1264" s="2" t="s">
        <v>340</v>
      </c>
      <c r="F1264" s="2" t="s">
        <v>31</v>
      </c>
      <c r="G1264" s="4">
        <v>22600</v>
      </c>
      <c r="H1264" s="5">
        <v>6.0999999999999999E-2</v>
      </c>
      <c r="I1264" s="2">
        <v>36</v>
      </c>
      <c r="J1264" s="2" t="s">
        <v>94</v>
      </c>
      <c r="K1264" s="2" t="s">
        <v>1916</v>
      </c>
      <c r="L1264" s="2"/>
    </row>
    <row r="1265" spans="1:12">
      <c r="A1265" s="2" t="s">
        <v>2030</v>
      </c>
      <c r="B1265" s="3">
        <v>46282</v>
      </c>
      <c r="C1265" s="2" t="s">
        <v>1168</v>
      </c>
      <c r="D1265" s="2" t="s">
        <v>54</v>
      </c>
      <c r="E1265" s="2" t="s">
        <v>110</v>
      </c>
      <c r="F1265" s="2" t="s">
        <v>31</v>
      </c>
      <c r="G1265" s="4">
        <v>53800</v>
      </c>
      <c r="H1265" s="5">
        <v>6.0499999999999998E-2</v>
      </c>
      <c r="I1265" s="2">
        <v>60</v>
      </c>
      <c r="J1265" s="2" t="s">
        <v>56</v>
      </c>
      <c r="K1265" s="2" t="s">
        <v>1916</v>
      </c>
      <c r="L1265" s="2"/>
    </row>
    <row r="1266" spans="1:12">
      <c r="A1266" s="2" t="s">
        <v>2031</v>
      </c>
      <c r="B1266" s="3">
        <v>46283</v>
      </c>
      <c r="C1266" s="2" t="s">
        <v>713</v>
      </c>
      <c r="D1266" s="2" t="s">
        <v>14</v>
      </c>
      <c r="E1266" s="2" t="s">
        <v>43</v>
      </c>
      <c r="F1266" s="2" t="s">
        <v>3</v>
      </c>
      <c r="G1266" s="4">
        <v>31800</v>
      </c>
      <c r="H1266" s="5">
        <v>5.67E-2</v>
      </c>
      <c r="I1266" s="2">
        <v>36</v>
      </c>
      <c r="J1266" s="2" t="s">
        <v>40</v>
      </c>
      <c r="K1266" s="2" t="s">
        <v>17</v>
      </c>
      <c r="L1266" s="3">
        <v>46301</v>
      </c>
    </row>
    <row r="1267" spans="1:12">
      <c r="A1267" s="2" t="s">
        <v>2032</v>
      </c>
      <c r="B1267" s="3">
        <v>46283</v>
      </c>
      <c r="C1267" s="2" t="s">
        <v>1470</v>
      </c>
      <c r="D1267" s="2" t="s">
        <v>71</v>
      </c>
      <c r="E1267" s="2" t="s">
        <v>30</v>
      </c>
      <c r="F1267" s="2" t="s">
        <v>55</v>
      </c>
      <c r="G1267" s="4">
        <v>6200</v>
      </c>
      <c r="H1267" s="5">
        <v>4.7E-2</v>
      </c>
      <c r="I1267" s="2">
        <v>60</v>
      </c>
      <c r="J1267" s="2" t="s">
        <v>101</v>
      </c>
      <c r="K1267" s="2" t="s">
        <v>1916</v>
      </c>
      <c r="L1267" s="2"/>
    </row>
    <row r="1268" spans="1:12">
      <c r="A1268" s="2" t="s">
        <v>2033</v>
      </c>
      <c r="B1268" s="3">
        <v>46283</v>
      </c>
      <c r="C1268" s="2" t="s">
        <v>2034</v>
      </c>
      <c r="D1268" s="2" t="s">
        <v>29</v>
      </c>
      <c r="E1268" s="2" t="s">
        <v>30</v>
      </c>
      <c r="F1268" s="2" t="s">
        <v>3</v>
      </c>
      <c r="G1268" s="4">
        <v>21500</v>
      </c>
      <c r="H1268" s="5">
        <v>4.0899999999999999E-2</v>
      </c>
      <c r="I1268" s="2">
        <v>60</v>
      </c>
      <c r="J1268" s="2" t="s">
        <v>32</v>
      </c>
      <c r="K1268" s="2" t="s">
        <v>17</v>
      </c>
      <c r="L1268" s="3">
        <v>46286</v>
      </c>
    </row>
    <row r="1269" spans="1:12">
      <c r="A1269" s="2" t="s">
        <v>2035</v>
      </c>
      <c r="B1269" s="3">
        <v>46284</v>
      </c>
      <c r="C1269" s="2" t="s">
        <v>1382</v>
      </c>
      <c r="D1269" s="2" t="s">
        <v>54</v>
      </c>
      <c r="E1269" s="2" t="s">
        <v>15</v>
      </c>
      <c r="F1269" s="2" t="s">
        <v>3</v>
      </c>
      <c r="G1269" s="4">
        <v>22700</v>
      </c>
      <c r="H1269" s="5">
        <v>6.93E-2</v>
      </c>
      <c r="I1269" s="2">
        <v>36</v>
      </c>
      <c r="J1269" s="2" t="s">
        <v>186</v>
      </c>
      <c r="K1269" s="2" t="s">
        <v>17</v>
      </c>
      <c r="L1269" s="3">
        <v>46291</v>
      </c>
    </row>
    <row r="1270" spans="1:12">
      <c r="A1270" s="2" t="s">
        <v>2036</v>
      </c>
      <c r="B1270" s="3">
        <v>46284</v>
      </c>
      <c r="C1270" s="2" t="s">
        <v>445</v>
      </c>
      <c r="D1270" s="2" t="s">
        <v>25</v>
      </c>
      <c r="E1270" s="2" t="s">
        <v>30</v>
      </c>
      <c r="F1270" s="2" t="s">
        <v>3</v>
      </c>
      <c r="G1270" s="4">
        <v>10000</v>
      </c>
      <c r="H1270" s="5">
        <v>3.5000000000000003E-2</v>
      </c>
      <c r="I1270" s="2">
        <v>36</v>
      </c>
      <c r="J1270" s="2" t="s">
        <v>66</v>
      </c>
      <c r="K1270" s="2" t="s">
        <v>1916</v>
      </c>
      <c r="L1270" s="2"/>
    </row>
    <row r="1271" spans="1:12">
      <c r="A1271" s="2" t="s">
        <v>2037</v>
      </c>
      <c r="B1271" s="3">
        <v>46284</v>
      </c>
      <c r="C1271" s="2" t="s">
        <v>979</v>
      </c>
      <c r="D1271" s="2" t="s">
        <v>14</v>
      </c>
      <c r="E1271" s="2" t="s">
        <v>15</v>
      </c>
      <c r="F1271" s="2" t="s">
        <v>31</v>
      </c>
      <c r="G1271" s="4">
        <v>22700</v>
      </c>
      <c r="H1271" s="5">
        <v>6.5000000000000002E-2</v>
      </c>
      <c r="I1271" s="2">
        <v>48</v>
      </c>
      <c r="J1271" s="2" t="s">
        <v>40</v>
      </c>
      <c r="K1271" s="2" t="s">
        <v>45</v>
      </c>
      <c r="L1271" s="3">
        <v>46286</v>
      </c>
    </row>
    <row r="1272" spans="1:12">
      <c r="A1272" s="2" t="s">
        <v>2038</v>
      </c>
      <c r="B1272" s="3">
        <v>46285</v>
      </c>
      <c r="C1272" s="2" t="s">
        <v>2039</v>
      </c>
      <c r="D1272" s="2" t="s">
        <v>29</v>
      </c>
      <c r="E1272" s="2" t="s">
        <v>43</v>
      </c>
      <c r="F1272" s="2" t="s">
        <v>55</v>
      </c>
      <c r="G1272" s="4">
        <v>104700</v>
      </c>
      <c r="H1272" s="5">
        <v>7.3099999999999998E-2</v>
      </c>
      <c r="I1272" s="2">
        <v>60</v>
      </c>
      <c r="J1272" s="2" t="s">
        <v>32</v>
      </c>
      <c r="K1272" s="2" t="s">
        <v>1916</v>
      </c>
      <c r="L1272" s="2"/>
    </row>
    <row r="1273" spans="1:12">
      <c r="A1273" s="2" t="s">
        <v>2040</v>
      </c>
      <c r="B1273" s="3">
        <v>46285</v>
      </c>
      <c r="C1273" s="2" t="s">
        <v>2041</v>
      </c>
      <c r="D1273" s="2" t="s">
        <v>25</v>
      </c>
      <c r="E1273" s="2" t="s">
        <v>43</v>
      </c>
      <c r="F1273" s="2" t="s">
        <v>31</v>
      </c>
      <c r="G1273" s="4">
        <v>86700</v>
      </c>
      <c r="H1273" s="5">
        <v>5.9799999999999999E-2</v>
      </c>
      <c r="I1273" s="2">
        <v>84</v>
      </c>
      <c r="J1273" s="2" t="s">
        <v>181</v>
      </c>
      <c r="K1273" s="2" t="s">
        <v>1916</v>
      </c>
      <c r="L1273" s="2"/>
    </row>
    <row r="1274" spans="1:12">
      <c r="A1274" s="2" t="s">
        <v>2042</v>
      </c>
      <c r="B1274" s="3">
        <v>46286</v>
      </c>
      <c r="C1274" s="2" t="s">
        <v>2043</v>
      </c>
      <c r="D1274" s="2" t="s">
        <v>54</v>
      </c>
      <c r="E1274" s="2" t="s">
        <v>30</v>
      </c>
      <c r="F1274" s="2" t="s">
        <v>3</v>
      </c>
      <c r="G1274" s="4">
        <v>14200</v>
      </c>
      <c r="H1274" s="5">
        <v>4.3499999999999997E-2</v>
      </c>
      <c r="I1274" s="2">
        <v>60</v>
      </c>
      <c r="J1274" s="2" t="s">
        <v>56</v>
      </c>
      <c r="K1274" s="2" t="s">
        <v>1916</v>
      </c>
      <c r="L1274" s="2"/>
    </row>
    <row r="1275" spans="1:12">
      <c r="A1275" s="2" t="s">
        <v>2044</v>
      </c>
      <c r="B1275" s="3">
        <v>46286</v>
      </c>
      <c r="C1275" s="2" t="s">
        <v>940</v>
      </c>
      <c r="D1275" s="2" t="s">
        <v>29</v>
      </c>
      <c r="E1275" s="2" t="s">
        <v>15</v>
      </c>
      <c r="F1275" s="2" t="s">
        <v>3</v>
      </c>
      <c r="G1275" s="4">
        <v>5700</v>
      </c>
      <c r="H1275" s="5">
        <v>6.7599999999999993E-2</v>
      </c>
      <c r="I1275" s="2">
        <v>24</v>
      </c>
      <c r="J1275" s="2" t="s">
        <v>61</v>
      </c>
      <c r="K1275" s="2" t="s">
        <v>1916</v>
      </c>
      <c r="L1275" s="2"/>
    </row>
    <row r="1276" spans="1:12">
      <c r="A1276" s="2" t="s">
        <v>2045</v>
      </c>
      <c r="B1276" s="3">
        <v>46287</v>
      </c>
      <c r="C1276" s="2" t="s">
        <v>399</v>
      </c>
      <c r="D1276" s="2" t="s">
        <v>20</v>
      </c>
      <c r="E1276" s="2" t="s">
        <v>30</v>
      </c>
      <c r="F1276" s="2" t="s">
        <v>3</v>
      </c>
      <c r="G1276" s="4">
        <v>10500</v>
      </c>
      <c r="H1276" s="5">
        <v>4.4999999999999998E-2</v>
      </c>
      <c r="I1276" s="2">
        <v>48</v>
      </c>
      <c r="J1276" s="2" t="s">
        <v>22</v>
      </c>
      <c r="K1276" s="2" t="s">
        <v>45</v>
      </c>
      <c r="L1276" s="3">
        <v>46290</v>
      </c>
    </row>
    <row r="1277" spans="1:12">
      <c r="A1277" s="2" t="s">
        <v>2046</v>
      </c>
      <c r="B1277" s="3">
        <v>46287</v>
      </c>
      <c r="C1277" s="2" t="s">
        <v>1305</v>
      </c>
      <c r="D1277" s="2" t="s">
        <v>14</v>
      </c>
      <c r="E1277" s="2" t="s">
        <v>30</v>
      </c>
      <c r="F1277" s="2" t="s">
        <v>3</v>
      </c>
      <c r="G1277" s="4">
        <v>7000</v>
      </c>
      <c r="H1277" s="5">
        <v>4.2799999999999998E-2</v>
      </c>
      <c r="I1277" s="2">
        <v>48</v>
      </c>
      <c r="J1277" s="2" t="s">
        <v>40</v>
      </c>
      <c r="K1277" s="2" t="s">
        <v>1916</v>
      </c>
      <c r="L1277" s="2"/>
    </row>
    <row r="1278" spans="1:12">
      <c r="A1278" s="2" t="s">
        <v>2047</v>
      </c>
      <c r="B1278" s="3">
        <v>46287</v>
      </c>
      <c r="C1278" s="2" t="s">
        <v>473</v>
      </c>
      <c r="D1278" s="2" t="s">
        <v>20</v>
      </c>
      <c r="E1278" s="2" t="s">
        <v>43</v>
      </c>
      <c r="F1278" s="2" t="s">
        <v>55</v>
      </c>
      <c r="G1278" s="4">
        <v>96200</v>
      </c>
      <c r="H1278" s="5">
        <v>6.8699999999999997E-2</v>
      </c>
      <c r="I1278" s="2">
        <v>84</v>
      </c>
      <c r="J1278" s="2" t="s">
        <v>22</v>
      </c>
      <c r="K1278" s="2" t="s">
        <v>1916</v>
      </c>
      <c r="L1278" s="2"/>
    </row>
    <row r="1279" spans="1:12">
      <c r="A1279" s="2" t="s">
        <v>2048</v>
      </c>
      <c r="B1279" s="3">
        <v>46287</v>
      </c>
      <c r="C1279" s="2" t="s">
        <v>244</v>
      </c>
      <c r="D1279" s="2" t="s">
        <v>14</v>
      </c>
      <c r="E1279" s="2" t="s">
        <v>15</v>
      </c>
      <c r="F1279" s="2" t="s">
        <v>31</v>
      </c>
      <c r="G1279" s="4">
        <v>25000</v>
      </c>
      <c r="H1279" s="5">
        <v>6.0699999999999997E-2</v>
      </c>
      <c r="I1279" s="2">
        <v>60</v>
      </c>
      <c r="J1279" s="2" t="s">
        <v>16</v>
      </c>
      <c r="K1279" s="2" t="s">
        <v>17</v>
      </c>
      <c r="L1279" s="3">
        <v>46289</v>
      </c>
    </row>
    <row r="1280" spans="1:12">
      <c r="A1280" s="2" t="s">
        <v>2049</v>
      </c>
      <c r="B1280" s="3">
        <v>46287</v>
      </c>
      <c r="C1280" s="2" t="s">
        <v>493</v>
      </c>
      <c r="D1280" s="2" t="s">
        <v>54</v>
      </c>
      <c r="E1280" s="2" t="s">
        <v>43</v>
      </c>
      <c r="F1280" s="2" t="s">
        <v>31</v>
      </c>
      <c r="G1280" s="4">
        <v>172300</v>
      </c>
      <c r="H1280" s="5">
        <v>5.7299999999999997E-2</v>
      </c>
      <c r="I1280" s="2">
        <v>36</v>
      </c>
      <c r="J1280" s="2" t="s">
        <v>186</v>
      </c>
      <c r="K1280" s="2" t="s">
        <v>45</v>
      </c>
      <c r="L1280" s="3">
        <v>46296</v>
      </c>
    </row>
    <row r="1281" spans="1:12">
      <c r="A1281" s="2" t="s">
        <v>2050</v>
      </c>
      <c r="B1281" s="3">
        <v>46287</v>
      </c>
      <c r="C1281" s="2" t="s">
        <v>2051</v>
      </c>
      <c r="D1281" s="2" t="s">
        <v>29</v>
      </c>
      <c r="E1281" s="2" t="s">
        <v>30</v>
      </c>
      <c r="F1281" s="2" t="s">
        <v>3</v>
      </c>
      <c r="G1281" s="4">
        <v>8800</v>
      </c>
      <c r="H1281" s="5">
        <v>4.3900000000000002E-2</v>
      </c>
      <c r="I1281" s="2">
        <v>60</v>
      </c>
      <c r="J1281" s="2" t="s">
        <v>61</v>
      </c>
      <c r="K1281" s="2" t="s">
        <v>17</v>
      </c>
      <c r="L1281" s="3">
        <v>46288</v>
      </c>
    </row>
    <row r="1282" spans="1:12">
      <c r="A1282" s="2" t="s">
        <v>2052</v>
      </c>
      <c r="B1282" s="3">
        <v>46287</v>
      </c>
      <c r="C1282" s="2" t="s">
        <v>1154</v>
      </c>
      <c r="D1282" s="2" t="s">
        <v>54</v>
      </c>
      <c r="E1282" s="2" t="s">
        <v>15</v>
      </c>
      <c r="F1282" s="2" t="s">
        <v>31</v>
      </c>
      <c r="G1282" s="4">
        <v>24200</v>
      </c>
      <c r="H1282" s="5">
        <v>5.6800000000000003E-2</v>
      </c>
      <c r="I1282" s="2">
        <v>48</v>
      </c>
      <c r="J1282" s="2" t="s">
        <v>148</v>
      </c>
      <c r="K1282" s="2" t="s">
        <v>1916</v>
      </c>
      <c r="L1282" s="2"/>
    </row>
    <row r="1283" spans="1:12">
      <c r="A1283" s="2" t="s">
        <v>2053</v>
      </c>
      <c r="B1283" s="3">
        <v>46288</v>
      </c>
      <c r="C1283" s="2" t="s">
        <v>2054</v>
      </c>
      <c r="D1283" s="2" t="s">
        <v>14</v>
      </c>
      <c r="E1283" s="2" t="s">
        <v>15</v>
      </c>
      <c r="F1283" s="2" t="s">
        <v>31</v>
      </c>
      <c r="G1283" s="4">
        <v>10700</v>
      </c>
      <c r="H1283" s="5">
        <v>6.0499999999999998E-2</v>
      </c>
      <c r="I1283" s="2">
        <v>24</v>
      </c>
      <c r="J1283" s="2" t="s">
        <v>16</v>
      </c>
      <c r="K1283" s="2" t="s">
        <v>45</v>
      </c>
      <c r="L1283" s="3">
        <v>46292</v>
      </c>
    </row>
    <row r="1284" spans="1:12">
      <c r="A1284" s="2" t="s">
        <v>2055</v>
      </c>
      <c r="B1284" s="3">
        <v>46288</v>
      </c>
      <c r="C1284" s="2" t="s">
        <v>1923</v>
      </c>
      <c r="D1284" s="2" t="s">
        <v>25</v>
      </c>
      <c r="E1284" s="2" t="s">
        <v>21</v>
      </c>
      <c r="F1284" s="2" t="s">
        <v>55</v>
      </c>
      <c r="G1284" s="4">
        <v>73500</v>
      </c>
      <c r="H1284" s="5">
        <v>3.3399999999999999E-2</v>
      </c>
      <c r="I1284" s="2">
        <v>120</v>
      </c>
      <c r="J1284" s="2" t="s">
        <v>66</v>
      </c>
      <c r="K1284" s="2" t="s">
        <v>17</v>
      </c>
      <c r="L1284" s="3">
        <v>46304</v>
      </c>
    </row>
    <row r="1285" spans="1:12">
      <c r="A1285" s="2" t="s">
        <v>2056</v>
      </c>
      <c r="B1285" s="3">
        <v>46288</v>
      </c>
      <c r="C1285" s="2" t="s">
        <v>204</v>
      </c>
      <c r="D1285" s="2" t="s">
        <v>29</v>
      </c>
      <c r="E1285" s="2" t="s">
        <v>15</v>
      </c>
      <c r="F1285" s="2" t="s">
        <v>55</v>
      </c>
      <c r="G1285" s="4">
        <v>4300</v>
      </c>
      <c r="H1285" s="5">
        <v>6.9500000000000006E-2</v>
      </c>
      <c r="I1285" s="2">
        <v>12</v>
      </c>
      <c r="J1285" s="2" t="s">
        <v>123</v>
      </c>
      <c r="K1285" s="2" t="s">
        <v>1916</v>
      </c>
      <c r="L1285" s="2"/>
    </row>
    <row r="1286" spans="1:12">
      <c r="A1286" s="2" t="s">
        <v>2057</v>
      </c>
      <c r="B1286" s="3">
        <v>46288</v>
      </c>
      <c r="C1286" s="2" t="s">
        <v>1098</v>
      </c>
      <c r="D1286" s="2" t="s">
        <v>14</v>
      </c>
      <c r="E1286" s="2" t="s">
        <v>30</v>
      </c>
      <c r="F1286" s="2" t="s">
        <v>31</v>
      </c>
      <c r="G1286" s="4">
        <v>4900</v>
      </c>
      <c r="H1286" s="5">
        <v>4.9200000000000001E-2</v>
      </c>
      <c r="I1286" s="2">
        <v>48</v>
      </c>
      <c r="J1286" s="2" t="s">
        <v>40</v>
      </c>
      <c r="K1286" s="2" t="s">
        <v>45</v>
      </c>
      <c r="L1286" s="3">
        <v>46289</v>
      </c>
    </row>
    <row r="1287" spans="1:12">
      <c r="A1287" s="2" t="s">
        <v>2058</v>
      </c>
      <c r="B1287" s="3">
        <v>46288</v>
      </c>
      <c r="C1287" s="2" t="s">
        <v>1645</v>
      </c>
      <c r="D1287" s="2" t="s">
        <v>25</v>
      </c>
      <c r="E1287" s="2" t="s">
        <v>15</v>
      </c>
      <c r="F1287" s="2" t="s">
        <v>31</v>
      </c>
      <c r="G1287" s="4">
        <v>25000</v>
      </c>
      <c r="H1287" s="5">
        <v>6.3600000000000004E-2</v>
      </c>
      <c r="I1287" s="2">
        <v>48</v>
      </c>
      <c r="J1287" s="2" t="s">
        <v>26</v>
      </c>
      <c r="K1287" s="2" t="s">
        <v>17</v>
      </c>
      <c r="L1287" s="3">
        <v>46290</v>
      </c>
    </row>
    <row r="1288" spans="1:12">
      <c r="A1288" s="2" t="s">
        <v>2059</v>
      </c>
      <c r="B1288" s="3">
        <v>46288</v>
      </c>
      <c r="C1288" s="2" t="s">
        <v>693</v>
      </c>
      <c r="D1288" s="2" t="s">
        <v>71</v>
      </c>
      <c r="E1288" s="2" t="s">
        <v>21</v>
      </c>
      <c r="F1288" s="2" t="s">
        <v>3</v>
      </c>
      <c r="G1288" s="4">
        <v>225600</v>
      </c>
      <c r="H1288" s="5">
        <v>3.3599999999999998E-2</v>
      </c>
      <c r="I1288" s="2">
        <v>300</v>
      </c>
      <c r="J1288" s="2" t="s">
        <v>101</v>
      </c>
      <c r="K1288" s="2" t="s">
        <v>17</v>
      </c>
      <c r="L1288" s="3">
        <v>46320</v>
      </c>
    </row>
    <row r="1289" spans="1:12">
      <c r="A1289" s="2" t="s">
        <v>2060</v>
      </c>
      <c r="B1289" s="3">
        <v>46288</v>
      </c>
      <c r="C1289" s="2" t="s">
        <v>592</v>
      </c>
      <c r="D1289" s="2" t="s">
        <v>14</v>
      </c>
      <c r="E1289" s="2" t="s">
        <v>21</v>
      </c>
      <c r="F1289" s="2" t="s">
        <v>55</v>
      </c>
      <c r="G1289" s="2"/>
      <c r="H1289" s="5">
        <v>3.44E-2</v>
      </c>
      <c r="I1289" s="2">
        <v>240</v>
      </c>
      <c r="J1289" s="2" t="s">
        <v>48</v>
      </c>
      <c r="K1289" s="2" t="s">
        <v>1916</v>
      </c>
      <c r="L1289" s="2"/>
    </row>
    <row r="1290" spans="1:12">
      <c r="A1290" s="2" t="s">
        <v>2061</v>
      </c>
      <c r="B1290" s="3">
        <v>46289</v>
      </c>
      <c r="C1290" s="2" t="s">
        <v>1677</v>
      </c>
      <c r="D1290" s="2" t="s">
        <v>54</v>
      </c>
      <c r="E1290" s="2" t="s">
        <v>43</v>
      </c>
      <c r="F1290" s="2" t="s">
        <v>55</v>
      </c>
      <c r="G1290" s="4">
        <v>169200</v>
      </c>
      <c r="H1290" s="5">
        <v>6.3600000000000004E-2</v>
      </c>
      <c r="I1290" s="2">
        <v>84</v>
      </c>
      <c r="J1290" s="2" t="s">
        <v>186</v>
      </c>
      <c r="K1290" s="2" t="s">
        <v>45</v>
      </c>
      <c r="L1290" s="3">
        <v>46310</v>
      </c>
    </row>
    <row r="1291" spans="1:12">
      <c r="A1291" s="2" t="s">
        <v>2062</v>
      </c>
      <c r="B1291" s="3">
        <v>46290</v>
      </c>
      <c r="C1291" s="2" t="s">
        <v>242</v>
      </c>
      <c r="D1291" s="2" t="s">
        <v>14</v>
      </c>
      <c r="E1291" s="2" t="s">
        <v>30</v>
      </c>
      <c r="F1291" s="2" t="s">
        <v>31</v>
      </c>
      <c r="G1291" s="4">
        <v>4100</v>
      </c>
      <c r="H1291" s="5">
        <v>4.19E-2</v>
      </c>
      <c r="I1291" s="2">
        <v>36</v>
      </c>
      <c r="J1291" s="2" t="s">
        <v>48</v>
      </c>
      <c r="K1291" s="2" t="s">
        <v>1916</v>
      </c>
      <c r="L1291" s="2"/>
    </row>
    <row r="1292" spans="1:12">
      <c r="A1292" s="2" t="s">
        <v>2063</v>
      </c>
      <c r="B1292" s="3">
        <v>46290</v>
      </c>
      <c r="C1292" s="2" t="s">
        <v>2064</v>
      </c>
      <c r="D1292" s="2" t="s">
        <v>14</v>
      </c>
      <c r="E1292" s="2" t="s">
        <v>15</v>
      </c>
      <c r="F1292" s="2" t="s">
        <v>3</v>
      </c>
      <c r="G1292" s="4">
        <v>25000</v>
      </c>
      <c r="H1292" s="5">
        <v>5.96E-2</v>
      </c>
      <c r="I1292" s="2">
        <v>36</v>
      </c>
      <c r="J1292" s="2" t="s">
        <v>48</v>
      </c>
      <c r="K1292" s="2" t="s">
        <v>17</v>
      </c>
      <c r="L1292" s="3">
        <v>46294</v>
      </c>
    </row>
    <row r="1293" spans="1:12">
      <c r="A1293" s="2" t="s">
        <v>2065</v>
      </c>
      <c r="B1293" s="3">
        <v>46290</v>
      </c>
      <c r="C1293" s="2" t="s">
        <v>2066</v>
      </c>
      <c r="D1293" s="2" t="s">
        <v>20</v>
      </c>
      <c r="E1293" s="2" t="s">
        <v>15</v>
      </c>
      <c r="F1293" s="2" t="s">
        <v>3</v>
      </c>
      <c r="G1293" s="4">
        <v>16000</v>
      </c>
      <c r="H1293" s="5">
        <v>6.6900000000000001E-2</v>
      </c>
      <c r="I1293" s="2">
        <v>60</v>
      </c>
      <c r="J1293" s="2" t="s">
        <v>44</v>
      </c>
      <c r="K1293" s="2" t="s">
        <v>1916</v>
      </c>
      <c r="L1293" s="2"/>
    </row>
    <row r="1294" spans="1:12">
      <c r="A1294" s="2" t="s">
        <v>2067</v>
      </c>
      <c r="B1294" s="3">
        <v>46290</v>
      </c>
      <c r="C1294" s="2" t="s">
        <v>2068</v>
      </c>
      <c r="D1294" s="2" t="s">
        <v>14</v>
      </c>
      <c r="E1294" s="2" t="s">
        <v>30</v>
      </c>
      <c r="F1294" s="2" t="s">
        <v>55</v>
      </c>
      <c r="G1294" s="4">
        <v>5900</v>
      </c>
      <c r="H1294" s="5">
        <v>4.48E-2</v>
      </c>
      <c r="I1294" s="2">
        <v>60</v>
      </c>
      <c r="J1294" s="2" t="s">
        <v>40</v>
      </c>
      <c r="K1294" s="2" t="s">
        <v>1916</v>
      </c>
      <c r="L1294" s="2"/>
    </row>
    <row r="1295" spans="1:12">
      <c r="A1295" s="2" t="s">
        <v>2069</v>
      </c>
      <c r="B1295" s="3">
        <v>46290</v>
      </c>
      <c r="C1295" s="2" t="s">
        <v>798</v>
      </c>
      <c r="D1295" s="2" t="s">
        <v>25</v>
      </c>
      <c r="E1295" s="2" t="s">
        <v>21</v>
      </c>
      <c r="F1295" s="2" t="s">
        <v>31</v>
      </c>
      <c r="G1295" s="4">
        <v>110300</v>
      </c>
      <c r="H1295" s="5">
        <v>3.5999999999999997E-2</v>
      </c>
      <c r="I1295" s="2">
        <v>240</v>
      </c>
      <c r="J1295" s="2" t="s">
        <v>66</v>
      </c>
      <c r="K1295" s="2" t="s">
        <v>45</v>
      </c>
      <c r="L1295" s="3">
        <v>46309</v>
      </c>
    </row>
    <row r="1296" spans="1:12">
      <c r="A1296" s="2" t="s">
        <v>2070</v>
      </c>
      <c r="B1296" s="3">
        <v>46290</v>
      </c>
      <c r="C1296" s="2" t="s">
        <v>192</v>
      </c>
      <c r="D1296" s="2" t="s">
        <v>14</v>
      </c>
      <c r="E1296" s="2" t="s">
        <v>15</v>
      </c>
      <c r="F1296" s="2" t="s">
        <v>55</v>
      </c>
      <c r="G1296" s="4">
        <v>19300</v>
      </c>
      <c r="H1296" s="5">
        <v>5.3600000000000002E-2</v>
      </c>
      <c r="I1296" s="2">
        <v>48</v>
      </c>
      <c r="J1296" s="2" t="s">
        <v>40</v>
      </c>
      <c r="K1296" s="2" t="s">
        <v>45</v>
      </c>
      <c r="L1296" s="3">
        <v>46296</v>
      </c>
    </row>
    <row r="1297" spans="1:12">
      <c r="A1297" s="2" t="s">
        <v>2071</v>
      </c>
      <c r="B1297" s="3">
        <v>46290</v>
      </c>
      <c r="C1297" s="2" t="s">
        <v>276</v>
      </c>
      <c r="D1297" s="2" t="s">
        <v>54</v>
      </c>
      <c r="E1297" s="2" t="s">
        <v>15</v>
      </c>
      <c r="F1297" s="2" t="s">
        <v>3</v>
      </c>
      <c r="G1297" s="4">
        <v>10400</v>
      </c>
      <c r="H1297" s="5">
        <v>5.9499999999999997E-2</v>
      </c>
      <c r="I1297" s="2">
        <v>48</v>
      </c>
      <c r="J1297" s="2" t="s">
        <v>56</v>
      </c>
      <c r="K1297" s="2" t="s">
        <v>17</v>
      </c>
      <c r="L1297" s="3">
        <v>46293</v>
      </c>
    </row>
    <row r="1298" spans="1:12">
      <c r="A1298" s="2" t="s">
        <v>2072</v>
      </c>
      <c r="B1298" s="3">
        <v>46291</v>
      </c>
      <c r="C1298" s="2" t="s">
        <v>144</v>
      </c>
      <c r="D1298" s="2" t="s">
        <v>25</v>
      </c>
      <c r="E1298" s="2" t="s">
        <v>30</v>
      </c>
      <c r="F1298" s="2" t="s">
        <v>31</v>
      </c>
      <c r="G1298" s="2" t="s">
        <v>968</v>
      </c>
      <c r="H1298" s="5">
        <v>4.2900000000000001E-2</v>
      </c>
      <c r="I1298" s="2">
        <v>36</v>
      </c>
      <c r="J1298" s="2" t="s">
        <v>181</v>
      </c>
      <c r="K1298" s="2" t="s">
        <v>1916</v>
      </c>
      <c r="L1298" s="2"/>
    </row>
    <row r="1299" spans="1:12">
      <c r="A1299" s="2" t="s">
        <v>2073</v>
      </c>
      <c r="B1299" s="3">
        <v>46291</v>
      </c>
      <c r="C1299" s="2" t="s">
        <v>627</v>
      </c>
      <c r="D1299" s="2" t="s">
        <v>71</v>
      </c>
      <c r="E1299" s="2" t="s">
        <v>15</v>
      </c>
      <c r="F1299" s="2" t="s">
        <v>3</v>
      </c>
      <c r="G1299" s="4">
        <v>22600</v>
      </c>
      <c r="H1299" s="5">
        <v>6.3500000000000001E-2</v>
      </c>
      <c r="I1299" s="2">
        <v>36</v>
      </c>
      <c r="J1299" s="2" t="s">
        <v>101</v>
      </c>
      <c r="K1299" s="2" t="s">
        <v>1916</v>
      </c>
      <c r="L1299" s="2"/>
    </row>
    <row r="1300" spans="1:12">
      <c r="A1300" s="2" t="s">
        <v>2074</v>
      </c>
      <c r="B1300" s="3">
        <v>46291</v>
      </c>
      <c r="C1300" s="2" t="s">
        <v>1948</v>
      </c>
      <c r="D1300" s="2" t="s">
        <v>25</v>
      </c>
      <c r="E1300" s="2" t="s">
        <v>15</v>
      </c>
      <c r="F1300" s="2" t="s">
        <v>55</v>
      </c>
      <c r="G1300" s="4">
        <v>15900</v>
      </c>
      <c r="H1300" s="5">
        <v>5.4899999999999997E-2</v>
      </c>
      <c r="I1300" s="2">
        <v>36</v>
      </c>
      <c r="J1300" s="2" t="s">
        <v>66</v>
      </c>
      <c r="K1300" s="2" t="s">
        <v>1916</v>
      </c>
      <c r="L1300" s="2"/>
    </row>
    <row r="1301" spans="1:12">
      <c r="A1301" s="2" t="s">
        <v>2075</v>
      </c>
      <c r="B1301" s="3">
        <v>46291</v>
      </c>
      <c r="C1301" s="2" t="s">
        <v>2041</v>
      </c>
      <c r="D1301" s="2" t="s">
        <v>20</v>
      </c>
      <c r="E1301" s="2" t="s">
        <v>340</v>
      </c>
      <c r="F1301" s="2" t="s">
        <v>31</v>
      </c>
      <c r="G1301" s="4">
        <v>23100</v>
      </c>
      <c r="H1301" s="5">
        <v>5.6099999999999997E-2</v>
      </c>
      <c r="I1301" s="2">
        <v>24</v>
      </c>
      <c r="J1301" s="2" t="s">
        <v>37</v>
      </c>
      <c r="K1301" s="2" t="s">
        <v>45</v>
      </c>
      <c r="L1301" s="3">
        <v>46293</v>
      </c>
    </row>
    <row r="1302" spans="1:12">
      <c r="A1302" s="2" t="s">
        <v>2076</v>
      </c>
      <c r="B1302" s="3">
        <v>46291</v>
      </c>
      <c r="C1302" s="2" t="s">
        <v>2077</v>
      </c>
      <c r="D1302" s="2" t="s">
        <v>20</v>
      </c>
      <c r="E1302" s="2" t="s">
        <v>15</v>
      </c>
      <c r="F1302" s="2" t="s">
        <v>3</v>
      </c>
      <c r="G1302" s="4">
        <v>16500</v>
      </c>
      <c r="H1302" s="5">
        <v>5.2699999999999997E-2</v>
      </c>
      <c r="I1302" s="2">
        <v>24</v>
      </c>
      <c r="J1302" s="2" t="s">
        <v>44</v>
      </c>
      <c r="K1302" s="2" t="s">
        <v>1916</v>
      </c>
      <c r="L1302" s="2"/>
    </row>
    <row r="1303" spans="1:12">
      <c r="A1303" s="2" t="s">
        <v>2078</v>
      </c>
      <c r="B1303" s="3">
        <v>46292</v>
      </c>
      <c r="C1303" s="2" t="s">
        <v>206</v>
      </c>
      <c r="D1303" s="2" t="s">
        <v>25</v>
      </c>
      <c r="E1303" s="2" t="s">
        <v>30</v>
      </c>
      <c r="F1303" s="2" t="s">
        <v>3</v>
      </c>
      <c r="G1303" s="4">
        <v>7200</v>
      </c>
      <c r="H1303" s="5">
        <v>4.6199999999999998E-2</v>
      </c>
      <c r="I1303" s="2">
        <v>36</v>
      </c>
      <c r="J1303" s="2" t="s">
        <v>26</v>
      </c>
      <c r="K1303" s="2" t="s">
        <v>1916</v>
      </c>
      <c r="L1303" s="2"/>
    </row>
    <row r="1304" spans="1:12">
      <c r="A1304" s="2" t="s">
        <v>2079</v>
      </c>
      <c r="B1304" s="3">
        <v>46292</v>
      </c>
      <c r="C1304" s="2" t="s">
        <v>1020</v>
      </c>
      <c r="D1304" s="2" t="s">
        <v>25</v>
      </c>
      <c r="E1304" s="2" t="s">
        <v>43</v>
      </c>
      <c r="F1304" s="2" t="s">
        <v>3</v>
      </c>
      <c r="G1304" s="4">
        <v>147000</v>
      </c>
      <c r="H1304" s="5">
        <v>5.9200000000000003E-2</v>
      </c>
      <c r="I1304" s="2">
        <v>60</v>
      </c>
      <c r="J1304" s="2" t="s">
        <v>181</v>
      </c>
      <c r="K1304" s="2" t="s">
        <v>17</v>
      </c>
      <c r="L1304" s="3">
        <v>46309</v>
      </c>
    </row>
    <row r="1305" spans="1:12">
      <c r="A1305" s="2" t="s">
        <v>2080</v>
      </c>
      <c r="B1305" s="3">
        <v>46292</v>
      </c>
      <c r="C1305" s="2" t="s">
        <v>2081</v>
      </c>
      <c r="D1305" s="2" t="s">
        <v>25</v>
      </c>
      <c r="E1305" s="2" t="s">
        <v>30</v>
      </c>
      <c r="F1305" s="2" t="s">
        <v>31</v>
      </c>
      <c r="G1305" s="4">
        <v>14700</v>
      </c>
      <c r="H1305" s="5">
        <v>4.4299999999999999E-2</v>
      </c>
      <c r="I1305" s="2">
        <v>48</v>
      </c>
      <c r="J1305" s="2" t="s">
        <v>26</v>
      </c>
      <c r="K1305" s="2" t="s">
        <v>45</v>
      </c>
      <c r="L1305" s="3">
        <v>46294</v>
      </c>
    </row>
    <row r="1306" spans="1:12">
      <c r="A1306" s="2" t="s">
        <v>2082</v>
      </c>
      <c r="B1306" s="3">
        <v>46292</v>
      </c>
      <c r="C1306" s="2" t="s">
        <v>417</v>
      </c>
      <c r="D1306" s="2" t="s">
        <v>25</v>
      </c>
      <c r="E1306" s="2" t="s">
        <v>15</v>
      </c>
      <c r="F1306" s="2" t="s">
        <v>55</v>
      </c>
      <c r="G1306" s="4">
        <v>11400</v>
      </c>
      <c r="H1306" s="5">
        <v>6.2799999999999995E-2</v>
      </c>
      <c r="I1306" s="2">
        <v>12</v>
      </c>
      <c r="J1306" s="2" t="s">
        <v>26</v>
      </c>
      <c r="K1306" s="2" t="s">
        <v>17</v>
      </c>
      <c r="L1306" s="3">
        <v>46298</v>
      </c>
    </row>
    <row r="1307" spans="1:12">
      <c r="A1307" s="2" t="s">
        <v>2083</v>
      </c>
      <c r="B1307" s="3">
        <v>46292</v>
      </c>
      <c r="C1307" s="2" t="s">
        <v>1655</v>
      </c>
      <c r="D1307" s="2" t="s">
        <v>20</v>
      </c>
      <c r="E1307" s="2" t="s">
        <v>30</v>
      </c>
      <c r="F1307" s="2" t="s">
        <v>55</v>
      </c>
      <c r="G1307" s="4">
        <v>10500</v>
      </c>
      <c r="H1307" s="5">
        <v>4.7399999999999998E-2</v>
      </c>
      <c r="I1307" s="2">
        <v>60</v>
      </c>
      <c r="J1307" s="2" t="s">
        <v>44</v>
      </c>
      <c r="K1307" s="2" t="s">
        <v>1916</v>
      </c>
      <c r="L1307" s="2"/>
    </row>
    <row r="1308" spans="1:12">
      <c r="A1308" s="2" t="s">
        <v>2084</v>
      </c>
      <c r="B1308" s="3">
        <v>46292</v>
      </c>
      <c r="C1308" s="2" t="s">
        <v>543</v>
      </c>
      <c r="D1308" s="2" t="s">
        <v>20</v>
      </c>
      <c r="E1308" s="2" t="s">
        <v>15</v>
      </c>
      <c r="F1308" s="2" t="s">
        <v>55</v>
      </c>
      <c r="G1308" s="4">
        <v>9500</v>
      </c>
      <c r="H1308" s="5">
        <v>5.3199999999999997E-2</v>
      </c>
      <c r="I1308" s="2">
        <v>12</v>
      </c>
      <c r="J1308" s="2" t="s">
        <v>22</v>
      </c>
      <c r="K1308" s="2" t="s">
        <v>17</v>
      </c>
      <c r="L1308" s="3">
        <v>46298</v>
      </c>
    </row>
    <row r="1309" spans="1:12">
      <c r="A1309" s="2" t="s">
        <v>2085</v>
      </c>
      <c r="B1309" s="3">
        <v>46292</v>
      </c>
      <c r="C1309" s="2" t="s">
        <v>1371</v>
      </c>
      <c r="D1309" s="2" t="s">
        <v>14</v>
      </c>
      <c r="E1309" s="2" t="s">
        <v>21</v>
      </c>
      <c r="F1309" s="2" t="s">
        <v>31</v>
      </c>
      <c r="G1309" s="4">
        <v>163100</v>
      </c>
      <c r="H1309" s="5">
        <v>3.9E-2</v>
      </c>
      <c r="I1309" s="2">
        <v>180</v>
      </c>
      <c r="J1309" s="2" t="s">
        <v>40</v>
      </c>
      <c r="K1309" s="2" t="s">
        <v>1916</v>
      </c>
      <c r="L1309" s="2"/>
    </row>
    <row r="1310" spans="1:12">
      <c r="A1310" s="2" t="s">
        <v>2086</v>
      </c>
      <c r="B1310" s="3">
        <v>46292</v>
      </c>
      <c r="C1310" s="2" t="s">
        <v>2087</v>
      </c>
      <c r="D1310" s="2" t="s">
        <v>54</v>
      </c>
      <c r="E1310" s="2" t="s">
        <v>15</v>
      </c>
      <c r="F1310" s="2" t="s">
        <v>31</v>
      </c>
      <c r="G1310" s="4">
        <v>11600</v>
      </c>
      <c r="H1310" s="5">
        <v>6.9900000000000004E-2</v>
      </c>
      <c r="I1310" s="2">
        <v>60</v>
      </c>
      <c r="J1310" s="2" t="s">
        <v>186</v>
      </c>
      <c r="K1310" s="2" t="s">
        <v>1916</v>
      </c>
      <c r="L1310" s="2"/>
    </row>
    <row r="1311" spans="1:12">
      <c r="A1311" s="2" t="s">
        <v>2088</v>
      </c>
      <c r="B1311" s="3">
        <v>46293</v>
      </c>
      <c r="C1311" s="2" t="s">
        <v>671</v>
      </c>
      <c r="D1311" s="2" t="s">
        <v>14</v>
      </c>
      <c r="E1311" s="2" t="s">
        <v>15</v>
      </c>
      <c r="F1311" s="2" t="s">
        <v>31</v>
      </c>
      <c r="G1311" s="4">
        <v>16000</v>
      </c>
      <c r="H1311" s="5">
        <v>5.7599999999999998E-2</v>
      </c>
      <c r="I1311" s="2">
        <v>12</v>
      </c>
      <c r="J1311" s="2" t="s">
        <v>48</v>
      </c>
      <c r="K1311" s="2" t="s">
        <v>1916</v>
      </c>
      <c r="L1311" s="2"/>
    </row>
    <row r="1312" spans="1:12">
      <c r="A1312" s="2" t="s">
        <v>2089</v>
      </c>
      <c r="B1312" s="3">
        <v>46293</v>
      </c>
      <c r="C1312" s="2" t="s">
        <v>1263</v>
      </c>
      <c r="D1312" s="2" t="s">
        <v>29</v>
      </c>
      <c r="E1312" s="2" t="s">
        <v>15</v>
      </c>
      <c r="F1312" s="2" t="s">
        <v>31</v>
      </c>
      <c r="G1312" s="4">
        <v>24800</v>
      </c>
      <c r="H1312" s="5">
        <v>6.6299999999999998E-2</v>
      </c>
      <c r="I1312" s="2">
        <v>36</v>
      </c>
      <c r="J1312" s="2" t="s">
        <v>32</v>
      </c>
      <c r="K1312" s="2" t="s">
        <v>17</v>
      </c>
      <c r="L1312" s="3">
        <v>46298</v>
      </c>
    </row>
    <row r="1313" spans="1:12">
      <c r="A1313" s="2" t="s">
        <v>2090</v>
      </c>
      <c r="B1313" s="3">
        <v>46293</v>
      </c>
      <c r="C1313" s="2" t="s">
        <v>2091</v>
      </c>
      <c r="D1313" s="2" t="s">
        <v>25</v>
      </c>
      <c r="E1313" s="2" t="s">
        <v>15</v>
      </c>
      <c r="F1313" s="2" t="s">
        <v>3</v>
      </c>
      <c r="G1313" s="4">
        <v>13000</v>
      </c>
      <c r="H1313" s="5">
        <v>6.3299999999999995E-2</v>
      </c>
      <c r="I1313" s="2">
        <v>24</v>
      </c>
      <c r="J1313" s="2" t="s">
        <v>66</v>
      </c>
      <c r="K1313" s="2" t="s">
        <v>17</v>
      </c>
      <c r="L1313" s="3">
        <v>46296</v>
      </c>
    </row>
    <row r="1314" spans="1:12">
      <c r="A1314" s="2" t="s">
        <v>2090</v>
      </c>
      <c r="B1314" s="3">
        <v>46293</v>
      </c>
      <c r="C1314" s="2" t="s">
        <v>2091</v>
      </c>
      <c r="D1314" s="2" t="s">
        <v>25</v>
      </c>
      <c r="E1314" s="2" t="s">
        <v>15</v>
      </c>
      <c r="F1314" s="2" t="s">
        <v>3</v>
      </c>
      <c r="G1314" s="4">
        <v>13000</v>
      </c>
      <c r="H1314" s="5">
        <v>6.3299999999999995E-2</v>
      </c>
      <c r="I1314" s="2">
        <v>24</v>
      </c>
      <c r="J1314" s="2" t="s">
        <v>66</v>
      </c>
      <c r="K1314" s="2" t="s">
        <v>17</v>
      </c>
      <c r="L1314" s="3">
        <v>46296</v>
      </c>
    </row>
    <row r="1315" spans="1:12">
      <c r="A1315" s="2" t="s">
        <v>2092</v>
      </c>
      <c r="B1315" s="3">
        <v>46293</v>
      </c>
      <c r="C1315" s="2" t="s">
        <v>2093</v>
      </c>
      <c r="D1315" s="2" t="s">
        <v>14</v>
      </c>
      <c r="E1315" s="2" t="s">
        <v>21</v>
      </c>
      <c r="F1315" s="2" t="s">
        <v>3</v>
      </c>
      <c r="G1315" s="4">
        <v>232600</v>
      </c>
      <c r="H1315" s="5">
        <v>4.0300000000000002E-2</v>
      </c>
      <c r="I1315" s="2">
        <v>300</v>
      </c>
      <c r="J1315" s="2" t="s">
        <v>16</v>
      </c>
      <c r="K1315" s="2" t="s">
        <v>17</v>
      </c>
      <c r="L1315" s="3">
        <v>46318</v>
      </c>
    </row>
    <row r="1316" spans="1:12">
      <c r="A1316" s="2" t="s">
        <v>2094</v>
      </c>
      <c r="B1316" s="3">
        <v>46293</v>
      </c>
      <c r="C1316" s="2" t="s">
        <v>425</v>
      </c>
      <c r="D1316" s="2" t="s">
        <v>29</v>
      </c>
      <c r="E1316" s="2" t="s">
        <v>30</v>
      </c>
      <c r="F1316" s="2" t="s">
        <v>55</v>
      </c>
      <c r="G1316" s="4">
        <v>4200</v>
      </c>
      <c r="H1316" s="5">
        <v>4.7E-2</v>
      </c>
      <c r="I1316" s="2">
        <v>60</v>
      </c>
      <c r="J1316" s="2" t="s">
        <v>123</v>
      </c>
      <c r="K1316" s="2" t="s">
        <v>45</v>
      </c>
      <c r="L1316" s="3">
        <v>46294</v>
      </c>
    </row>
    <row r="1317" spans="1:12">
      <c r="A1317" s="2" t="s">
        <v>2095</v>
      </c>
      <c r="B1317" s="3">
        <v>46294</v>
      </c>
      <c r="C1317" s="2" t="s">
        <v>129</v>
      </c>
      <c r="D1317" s="2" t="s">
        <v>25</v>
      </c>
      <c r="E1317" s="2" t="s">
        <v>945</v>
      </c>
      <c r="F1317" s="2" t="s">
        <v>31</v>
      </c>
      <c r="G1317" s="4">
        <v>66100</v>
      </c>
      <c r="H1317" s="5">
        <v>3.95E-2</v>
      </c>
      <c r="I1317" s="2">
        <v>120</v>
      </c>
      <c r="J1317" s="2" t="s">
        <v>26</v>
      </c>
      <c r="K1317" s="2" t="s">
        <v>1916</v>
      </c>
      <c r="L1317" s="2"/>
    </row>
    <row r="1318" spans="1:12">
      <c r="A1318" s="2" t="s">
        <v>2096</v>
      </c>
      <c r="B1318" s="3">
        <v>46294</v>
      </c>
      <c r="C1318" s="2" t="s">
        <v>2097</v>
      </c>
      <c r="D1318" s="2" t="s">
        <v>29</v>
      </c>
      <c r="E1318" s="2" t="s">
        <v>21</v>
      </c>
      <c r="F1318" s="2" t="s">
        <v>55</v>
      </c>
      <c r="G1318" s="4">
        <v>87600</v>
      </c>
      <c r="H1318" s="5">
        <v>4.0399999999999998E-2</v>
      </c>
      <c r="I1318" s="2">
        <v>120</v>
      </c>
      <c r="J1318" s="2" t="s">
        <v>61</v>
      </c>
      <c r="K1318" s="2" t="s">
        <v>1916</v>
      </c>
      <c r="L1318" s="2"/>
    </row>
    <row r="1319" spans="1:12">
      <c r="A1319" s="2" t="s">
        <v>2098</v>
      </c>
      <c r="B1319" s="3">
        <v>46294</v>
      </c>
      <c r="C1319" s="2" t="s">
        <v>1645</v>
      </c>
      <c r="D1319" s="2" t="s">
        <v>29</v>
      </c>
      <c r="E1319" s="2" t="s">
        <v>15</v>
      </c>
      <c r="F1319" s="2" t="s">
        <v>3</v>
      </c>
      <c r="G1319" s="4">
        <v>18600</v>
      </c>
      <c r="H1319" s="5">
        <v>5.2999999999999999E-2</v>
      </c>
      <c r="I1319" s="2">
        <v>60</v>
      </c>
      <c r="J1319" s="2" t="s">
        <v>32</v>
      </c>
      <c r="K1319" s="2" t="s">
        <v>1916</v>
      </c>
      <c r="L1319" s="2"/>
    </row>
    <row r="1320" spans="1:12">
      <c r="A1320" s="2" t="s">
        <v>2099</v>
      </c>
      <c r="B1320" s="3">
        <v>46294</v>
      </c>
      <c r="C1320" s="2" t="s">
        <v>125</v>
      </c>
      <c r="D1320" s="2" t="s">
        <v>54</v>
      </c>
      <c r="E1320" s="2" t="s">
        <v>15</v>
      </c>
      <c r="F1320" s="2" t="s">
        <v>3</v>
      </c>
      <c r="G1320" s="4">
        <v>6700</v>
      </c>
      <c r="H1320" s="5">
        <v>5.67E-2</v>
      </c>
      <c r="I1320" s="2">
        <v>60</v>
      </c>
      <c r="J1320" s="2" t="s">
        <v>148</v>
      </c>
      <c r="K1320" s="2" t="s">
        <v>1916</v>
      </c>
      <c r="L1320" s="2"/>
    </row>
    <row r="1321" spans="1:12">
      <c r="A1321" s="2" t="s">
        <v>2100</v>
      </c>
      <c r="B1321" s="3">
        <v>46294</v>
      </c>
      <c r="C1321" s="2" t="s">
        <v>1479</v>
      </c>
      <c r="D1321" s="2" t="s">
        <v>29</v>
      </c>
      <c r="E1321" s="2" t="s">
        <v>15</v>
      </c>
      <c r="F1321" s="2" t="s">
        <v>31</v>
      </c>
      <c r="G1321" s="4">
        <v>23900</v>
      </c>
      <c r="H1321" s="5">
        <v>5.6500000000000002E-2</v>
      </c>
      <c r="I1321" s="2">
        <v>36</v>
      </c>
      <c r="J1321" s="2" t="s">
        <v>61</v>
      </c>
      <c r="K1321" s="2" t="s">
        <v>1916</v>
      </c>
      <c r="L1321" s="2"/>
    </row>
    <row r="1322" spans="1:12">
      <c r="A1322" s="2" t="s">
        <v>2101</v>
      </c>
      <c r="B1322" s="3">
        <v>46295</v>
      </c>
      <c r="C1322" s="2" t="s">
        <v>1982</v>
      </c>
      <c r="D1322" s="2" t="s">
        <v>20</v>
      </c>
      <c r="E1322" s="2" t="s">
        <v>21</v>
      </c>
      <c r="F1322" s="2" t="s">
        <v>55</v>
      </c>
      <c r="G1322" s="4">
        <v>240800</v>
      </c>
      <c r="H1322" s="5">
        <v>3.15E-2</v>
      </c>
      <c r="I1322" s="2">
        <v>180</v>
      </c>
      <c r="J1322" s="2" t="s">
        <v>37</v>
      </c>
      <c r="K1322" s="2" t="s">
        <v>1916</v>
      </c>
      <c r="L1322" s="2"/>
    </row>
    <row r="1323" spans="1:12">
      <c r="A1323" s="2" t="s">
        <v>2102</v>
      </c>
      <c r="B1323" s="3">
        <v>46295</v>
      </c>
      <c r="C1323" s="2" t="s">
        <v>513</v>
      </c>
      <c r="D1323" s="2" t="s">
        <v>20</v>
      </c>
      <c r="E1323" s="2" t="s">
        <v>30</v>
      </c>
      <c r="F1323" s="2" t="s">
        <v>3</v>
      </c>
      <c r="G1323" s="4">
        <v>10100</v>
      </c>
      <c r="H1323" s="5">
        <v>4.36E-2</v>
      </c>
      <c r="I1323" s="2">
        <v>36</v>
      </c>
      <c r="J1323" s="2" t="s">
        <v>22</v>
      </c>
      <c r="K1323" s="2" t="s">
        <v>1916</v>
      </c>
      <c r="L1323" s="2"/>
    </row>
    <row r="1324" spans="1:12">
      <c r="A1324" s="2" t="s">
        <v>2103</v>
      </c>
      <c r="B1324" s="3">
        <v>46295</v>
      </c>
      <c r="C1324" s="2" t="s">
        <v>523</v>
      </c>
      <c r="D1324" s="2" t="s">
        <v>14</v>
      </c>
      <c r="E1324" s="2" t="s">
        <v>43</v>
      </c>
      <c r="F1324" s="2" t="s">
        <v>3</v>
      </c>
      <c r="G1324" s="4">
        <v>67900</v>
      </c>
      <c r="H1324" s="5">
        <v>7.6999999999999999E-2</v>
      </c>
      <c r="I1324" s="2">
        <v>84</v>
      </c>
      <c r="J1324" s="2" t="s">
        <v>40</v>
      </c>
      <c r="K1324" s="2" t="s">
        <v>1916</v>
      </c>
      <c r="L1324" s="2"/>
    </row>
    <row r="1325" spans="1:12">
      <c r="A1325" s="2" t="s">
        <v>2104</v>
      </c>
      <c r="B1325" s="3">
        <v>46295</v>
      </c>
      <c r="C1325" s="2" t="s">
        <v>1163</v>
      </c>
      <c r="D1325" s="2" t="s">
        <v>14</v>
      </c>
      <c r="E1325" s="2" t="s">
        <v>15</v>
      </c>
      <c r="F1325" s="2" t="s">
        <v>31</v>
      </c>
      <c r="G1325" s="4">
        <v>18800</v>
      </c>
      <c r="H1325" s="5">
        <v>6.5799999999999997E-2</v>
      </c>
      <c r="I1325" s="2">
        <v>24</v>
      </c>
      <c r="J1325" s="2" t="s">
        <v>40</v>
      </c>
      <c r="K1325" s="2" t="s">
        <v>17</v>
      </c>
      <c r="L1325" s="3">
        <v>46301</v>
      </c>
    </row>
    <row r="1326" spans="1:12">
      <c r="A1326" s="2" t="s">
        <v>2105</v>
      </c>
      <c r="B1326" s="3">
        <v>46295</v>
      </c>
      <c r="C1326" s="2" t="s">
        <v>717</v>
      </c>
      <c r="D1326" s="2" t="s">
        <v>29</v>
      </c>
      <c r="E1326" s="2" t="s">
        <v>43</v>
      </c>
      <c r="F1326" s="2" t="s">
        <v>31</v>
      </c>
      <c r="G1326" s="4">
        <v>71800</v>
      </c>
      <c r="H1326" s="5">
        <v>7.3599999999999999E-2</v>
      </c>
      <c r="I1326" s="2">
        <v>36</v>
      </c>
      <c r="J1326" s="2" t="s">
        <v>32</v>
      </c>
      <c r="K1326" s="2" t="s">
        <v>1916</v>
      </c>
      <c r="L1326" s="2"/>
    </row>
    <row r="1327" spans="1:12">
      <c r="A1327" s="2" t="s">
        <v>2106</v>
      </c>
      <c r="B1327" s="3">
        <v>46295</v>
      </c>
      <c r="C1327" s="2" t="s">
        <v>1246</v>
      </c>
      <c r="D1327" s="2" t="s">
        <v>14</v>
      </c>
      <c r="E1327" s="2" t="s">
        <v>43</v>
      </c>
      <c r="F1327" s="2" t="s">
        <v>31</v>
      </c>
      <c r="G1327" s="4">
        <v>116000</v>
      </c>
      <c r="H1327" s="5">
        <v>7.1800000000000003E-2</v>
      </c>
      <c r="I1327" s="2">
        <v>60</v>
      </c>
      <c r="J1327" s="2" t="s">
        <v>40</v>
      </c>
      <c r="K1327" s="2" t="s">
        <v>1916</v>
      </c>
      <c r="L1327" s="2"/>
    </row>
    <row r="1328" spans="1:12">
      <c r="A1328" s="2" t="s">
        <v>2107</v>
      </c>
      <c r="B1328" s="3">
        <v>46295</v>
      </c>
      <c r="C1328" s="2" t="s">
        <v>2108</v>
      </c>
      <c r="D1328" s="2" t="s">
        <v>14</v>
      </c>
      <c r="E1328" s="2" t="s">
        <v>30</v>
      </c>
      <c r="F1328" s="2" t="s">
        <v>31</v>
      </c>
      <c r="G1328" s="2"/>
      <c r="H1328" s="5">
        <v>3.9899999999999998E-2</v>
      </c>
      <c r="I1328" s="2">
        <v>36</v>
      </c>
      <c r="J1328" s="2" t="s">
        <v>40</v>
      </c>
      <c r="K1328" s="2" t="s">
        <v>17</v>
      </c>
      <c r="L1328" s="3">
        <v>46299</v>
      </c>
    </row>
    <row r="1329" spans="1:12">
      <c r="A1329" s="2" t="s">
        <v>2109</v>
      </c>
      <c r="B1329" s="3">
        <v>46295</v>
      </c>
      <c r="C1329" s="2" t="s">
        <v>350</v>
      </c>
      <c r="D1329" s="2" t="s">
        <v>25</v>
      </c>
      <c r="E1329" s="2" t="s">
        <v>15</v>
      </c>
      <c r="F1329" s="2" t="s">
        <v>3</v>
      </c>
      <c r="G1329" s="4">
        <v>21500</v>
      </c>
      <c r="H1329" s="5">
        <v>5.8799999999999998E-2</v>
      </c>
      <c r="I1329" s="2">
        <v>36</v>
      </c>
      <c r="J1329" s="2" t="s">
        <v>181</v>
      </c>
      <c r="K1329" s="2" t="s">
        <v>1916</v>
      </c>
      <c r="L1329" s="2"/>
    </row>
    <row r="1330" spans="1:12">
      <c r="A1330" s="2" t="s">
        <v>2110</v>
      </c>
      <c r="B1330" s="3">
        <v>46295</v>
      </c>
      <c r="C1330" s="2" t="s">
        <v>1675</v>
      </c>
      <c r="D1330" s="2" t="s">
        <v>25</v>
      </c>
      <c r="E1330" s="2" t="s">
        <v>21</v>
      </c>
      <c r="F1330" s="2" t="s">
        <v>3</v>
      </c>
      <c r="G1330" s="4">
        <v>123200</v>
      </c>
      <c r="H1330" s="5">
        <v>3.6799999999999999E-2</v>
      </c>
      <c r="I1330" s="2">
        <v>240</v>
      </c>
      <c r="J1330" s="2" t="s">
        <v>66</v>
      </c>
      <c r="K1330" s="2" t="s">
        <v>1916</v>
      </c>
      <c r="L1330"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C1E3E-5842-4562-AFF5-6E8143A69D64}">
  <sheetPr codeName="Sheet5"/>
  <dimension ref="A1:L13"/>
  <sheetViews>
    <sheetView workbookViewId="0">
      <selection activeCell="H1" sqref="H1:H1048576"/>
    </sheetView>
  </sheetViews>
  <sheetFormatPr defaultRowHeight="14.5"/>
  <cols>
    <col min="2" max="2" width="15.453125" bestFit="1" customWidth="1"/>
    <col min="3" max="3" width="11.81640625" bestFit="1" customWidth="1"/>
    <col min="4" max="4" width="9.81640625" bestFit="1" customWidth="1"/>
    <col min="5" max="5" width="16.08984375" bestFit="1" customWidth="1"/>
    <col min="6" max="6" width="9.81640625" bestFit="1" customWidth="1"/>
    <col min="7" max="7" width="8.08984375" bestFit="1" customWidth="1"/>
    <col min="8" max="8" width="10.08984375" bestFit="1" customWidth="1"/>
    <col min="9" max="9" width="13.26953125" bestFit="1" customWidth="1"/>
    <col min="10" max="10" width="10.81640625" bestFit="1" customWidth="1"/>
    <col min="11" max="11" width="8.453125" bestFit="1" customWidth="1"/>
    <col min="12" max="12" width="13.1796875" bestFit="1" customWidth="1"/>
  </cols>
  <sheetData>
    <row r="1" spans="1:12">
      <c r="A1" s="6" t="s">
        <v>0</v>
      </c>
      <c r="B1" s="7" t="s">
        <v>1</v>
      </c>
      <c r="C1" s="7" t="s">
        <v>2</v>
      </c>
      <c r="D1" s="7" t="s">
        <v>3</v>
      </c>
      <c r="E1" s="7" t="s">
        <v>4</v>
      </c>
      <c r="F1" s="7" t="s">
        <v>5</v>
      </c>
      <c r="G1" s="7" t="s">
        <v>6</v>
      </c>
      <c r="H1" s="7" t="s">
        <v>7</v>
      </c>
      <c r="I1" s="7" t="s">
        <v>8</v>
      </c>
      <c r="J1" s="7" t="s">
        <v>9</v>
      </c>
      <c r="K1" s="7" t="s">
        <v>10</v>
      </c>
      <c r="L1" s="8" t="s">
        <v>11</v>
      </c>
    </row>
    <row r="2" spans="1:12">
      <c r="A2" s="9" t="s">
        <v>81</v>
      </c>
      <c r="B2" s="10">
        <v>46027</v>
      </c>
      <c r="C2" s="11" t="s">
        <v>82</v>
      </c>
      <c r="D2" s="11" t="s">
        <v>14</v>
      </c>
      <c r="E2" s="11" t="s">
        <v>43</v>
      </c>
      <c r="F2" s="11" t="s">
        <v>3</v>
      </c>
      <c r="G2" s="11"/>
      <c r="H2" s="12">
        <v>6.9400000000000003E-2</v>
      </c>
      <c r="I2" s="11">
        <v>36</v>
      </c>
      <c r="J2" s="11" t="s">
        <v>40</v>
      </c>
      <c r="K2" s="11" t="s">
        <v>17</v>
      </c>
      <c r="L2" s="13">
        <v>46034</v>
      </c>
    </row>
    <row r="3" spans="1:12">
      <c r="A3" s="9" t="s">
        <v>522</v>
      </c>
      <c r="B3" s="10">
        <v>46081</v>
      </c>
      <c r="C3" s="11" t="s">
        <v>523</v>
      </c>
      <c r="D3" s="11" t="s">
        <v>14</v>
      </c>
      <c r="E3" s="11" t="s">
        <v>15</v>
      </c>
      <c r="F3" s="11" t="s">
        <v>31</v>
      </c>
      <c r="G3" s="11"/>
      <c r="H3" s="12">
        <v>6.0900000000000003E-2</v>
      </c>
      <c r="I3" s="11">
        <v>60</v>
      </c>
      <c r="J3" s="11" t="s">
        <v>48</v>
      </c>
      <c r="K3" s="11" t="s">
        <v>17</v>
      </c>
      <c r="L3" s="13">
        <v>46084</v>
      </c>
    </row>
    <row r="4" spans="1:12">
      <c r="A4" s="9" t="s">
        <v>848</v>
      </c>
      <c r="B4" s="10">
        <v>46117</v>
      </c>
      <c r="C4" s="11" t="s">
        <v>849</v>
      </c>
      <c r="D4" s="11" t="s">
        <v>14</v>
      </c>
      <c r="E4" s="11" t="s">
        <v>15</v>
      </c>
      <c r="F4" s="11" t="s">
        <v>3</v>
      </c>
      <c r="G4" s="11"/>
      <c r="H4" s="12">
        <v>6.6600000000000006E-2</v>
      </c>
      <c r="I4" s="11">
        <v>60</v>
      </c>
      <c r="J4" s="11" t="s">
        <v>16</v>
      </c>
      <c r="K4" s="11" t="s">
        <v>17</v>
      </c>
      <c r="L4" s="13">
        <v>46122</v>
      </c>
    </row>
    <row r="5" spans="1:12">
      <c r="A5" s="9" t="s">
        <v>1066</v>
      </c>
      <c r="B5" s="10">
        <v>46148</v>
      </c>
      <c r="C5" s="11" t="s">
        <v>898</v>
      </c>
      <c r="D5" s="11" t="s">
        <v>54</v>
      </c>
      <c r="E5" s="11" t="s">
        <v>43</v>
      </c>
      <c r="F5" s="11" t="s">
        <v>31</v>
      </c>
      <c r="G5" s="11"/>
      <c r="H5" s="12">
        <v>7.5800000000000006E-2</v>
      </c>
      <c r="I5" s="11">
        <v>24</v>
      </c>
      <c r="J5" s="11" t="s">
        <v>186</v>
      </c>
      <c r="K5" s="11" t="s">
        <v>45</v>
      </c>
      <c r="L5" s="13">
        <v>46155</v>
      </c>
    </row>
    <row r="6" spans="1:12">
      <c r="A6" s="9" t="s">
        <v>1091</v>
      </c>
      <c r="B6" s="10">
        <v>46149</v>
      </c>
      <c r="C6" s="11" t="s">
        <v>541</v>
      </c>
      <c r="D6" s="11" t="s">
        <v>54</v>
      </c>
      <c r="E6" s="11" t="s">
        <v>21</v>
      </c>
      <c r="F6" s="11" t="s">
        <v>3</v>
      </c>
      <c r="G6" s="11"/>
      <c r="H6" s="12">
        <v>3.4099999999999998E-2</v>
      </c>
      <c r="I6" s="11">
        <v>180</v>
      </c>
      <c r="J6" s="11" t="s">
        <v>148</v>
      </c>
      <c r="K6" s="11" t="s">
        <v>45</v>
      </c>
      <c r="L6" s="13">
        <v>46161</v>
      </c>
    </row>
    <row r="7" spans="1:12">
      <c r="A7" s="9" t="s">
        <v>1205</v>
      </c>
      <c r="B7" s="10">
        <v>46166</v>
      </c>
      <c r="C7" s="11" t="s">
        <v>1206</v>
      </c>
      <c r="D7" s="11" t="s">
        <v>20</v>
      </c>
      <c r="E7" s="11" t="s">
        <v>30</v>
      </c>
      <c r="F7" s="11" t="s">
        <v>31</v>
      </c>
      <c r="G7" s="11"/>
      <c r="H7" s="12">
        <v>3.6299999999999999E-2</v>
      </c>
      <c r="I7" s="11">
        <v>60</v>
      </c>
      <c r="J7" s="11" t="s">
        <v>37</v>
      </c>
      <c r="K7" s="11" t="s">
        <v>17</v>
      </c>
      <c r="L7" s="13">
        <v>46169</v>
      </c>
    </row>
    <row r="8" spans="1:12">
      <c r="A8" s="9" t="s">
        <v>1218</v>
      </c>
      <c r="B8" s="10">
        <v>46168</v>
      </c>
      <c r="C8" s="11" t="s">
        <v>1219</v>
      </c>
      <c r="D8" s="11" t="s">
        <v>25</v>
      </c>
      <c r="E8" s="11" t="s">
        <v>43</v>
      </c>
      <c r="F8" s="11" t="s">
        <v>3</v>
      </c>
      <c r="G8" s="11"/>
      <c r="H8" s="12">
        <v>6.9900000000000004E-2</v>
      </c>
      <c r="I8" s="11">
        <v>36</v>
      </c>
      <c r="J8" s="11" t="s">
        <v>181</v>
      </c>
      <c r="K8" s="11" t="s">
        <v>17</v>
      </c>
      <c r="L8" s="13">
        <v>46181</v>
      </c>
    </row>
    <row r="9" spans="1:12">
      <c r="A9" s="9" t="s">
        <v>1751</v>
      </c>
      <c r="B9" s="10">
        <v>46244</v>
      </c>
      <c r="C9" s="11" t="s">
        <v>1708</v>
      </c>
      <c r="D9" s="11" t="s">
        <v>20</v>
      </c>
      <c r="E9" s="11" t="s">
        <v>30</v>
      </c>
      <c r="F9" s="11" t="s">
        <v>55</v>
      </c>
      <c r="G9" s="11"/>
      <c r="H9" s="12">
        <v>4.3299999999999998E-2</v>
      </c>
      <c r="I9" s="11">
        <v>36</v>
      </c>
      <c r="J9" s="11" t="s">
        <v>37</v>
      </c>
      <c r="K9" s="11" t="s">
        <v>17</v>
      </c>
      <c r="L9" s="13">
        <v>46245</v>
      </c>
    </row>
    <row r="10" spans="1:12">
      <c r="A10" s="9" t="s">
        <v>1819</v>
      </c>
      <c r="B10" s="10">
        <v>46252</v>
      </c>
      <c r="C10" s="11" t="s">
        <v>98</v>
      </c>
      <c r="D10" s="11" t="s">
        <v>20</v>
      </c>
      <c r="E10" s="11" t="s">
        <v>15</v>
      </c>
      <c r="F10" s="11" t="s">
        <v>3</v>
      </c>
      <c r="G10" s="11"/>
      <c r="H10" s="12">
        <v>6.4600000000000005E-2</v>
      </c>
      <c r="I10" s="11">
        <v>48</v>
      </c>
      <c r="J10" s="11" t="s">
        <v>37</v>
      </c>
      <c r="K10" s="11" t="s">
        <v>45</v>
      </c>
      <c r="L10" s="13">
        <v>46255</v>
      </c>
    </row>
    <row r="11" spans="1:12">
      <c r="A11" s="9" t="s">
        <v>1922</v>
      </c>
      <c r="B11" s="10">
        <v>46266</v>
      </c>
      <c r="C11" s="11" t="s">
        <v>1923</v>
      </c>
      <c r="D11" s="11" t="s">
        <v>29</v>
      </c>
      <c r="E11" s="11" t="s">
        <v>30</v>
      </c>
      <c r="F11" s="11" t="s">
        <v>3</v>
      </c>
      <c r="G11" s="11"/>
      <c r="H11" s="12">
        <v>4.65E-2</v>
      </c>
      <c r="I11" s="11">
        <v>60</v>
      </c>
      <c r="J11" s="11" t="s">
        <v>61</v>
      </c>
      <c r="K11" s="11" t="s">
        <v>17</v>
      </c>
      <c r="L11" s="13">
        <v>46268</v>
      </c>
    </row>
    <row r="12" spans="1:12">
      <c r="A12" s="9" t="s">
        <v>2060</v>
      </c>
      <c r="B12" s="10">
        <v>46288</v>
      </c>
      <c r="C12" s="11" t="s">
        <v>592</v>
      </c>
      <c r="D12" s="11" t="s">
        <v>14</v>
      </c>
      <c r="E12" s="11" t="s">
        <v>21</v>
      </c>
      <c r="F12" s="11" t="s">
        <v>55</v>
      </c>
      <c r="G12" s="11"/>
      <c r="H12" s="12">
        <v>3.44E-2</v>
      </c>
      <c r="I12" s="11">
        <v>240</v>
      </c>
      <c r="J12" s="11" t="s">
        <v>48</v>
      </c>
      <c r="K12" s="11" t="s">
        <v>1916</v>
      </c>
      <c r="L12" s="14"/>
    </row>
    <row r="13" spans="1:12">
      <c r="A13" s="15" t="s">
        <v>2107</v>
      </c>
      <c r="B13" s="16">
        <v>46295</v>
      </c>
      <c r="C13" s="17" t="s">
        <v>2108</v>
      </c>
      <c r="D13" s="17" t="s">
        <v>14</v>
      </c>
      <c r="E13" s="17" t="s">
        <v>30</v>
      </c>
      <c r="F13" s="17" t="s">
        <v>31</v>
      </c>
      <c r="G13" s="17"/>
      <c r="H13" s="18">
        <v>3.9899999999999998E-2</v>
      </c>
      <c r="I13" s="17">
        <v>36</v>
      </c>
      <c r="J13" s="17" t="s">
        <v>40</v>
      </c>
      <c r="K13" s="17" t="s">
        <v>17</v>
      </c>
      <c r="L13" s="19">
        <v>46299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Answer</vt:lpstr>
      <vt:lpstr>calc</vt:lpstr>
      <vt:lpstr>Deals</vt:lpstr>
      <vt:lpstr>Customers</vt:lpstr>
      <vt:lpstr>Deals_Raw</vt:lpstr>
      <vt:lpstr>Rejected_Data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Nehaya Sadaqa</cp:lastModifiedBy>
  <dcterms:created xsi:type="dcterms:W3CDTF">2026-10-22T00:14:51Z</dcterms:created>
  <dcterms:modified xsi:type="dcterms:W3CDTF">2026-10-24T19:10:06Z</dcterms:modified>
</cp:coreProperties>
</file>